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vinod\Ankit_Data\HANA - Overdue &amp; TB run\"/>
    </mc:Choice>
  </mc:AlternateContent>
  <xr:revisionPtr revIDLastSave="0" documentId="13_ncr:1_{AC3EA440-12F3-4C2C-AD18-C54BDCC63959}" xr6:coauthVersionLast="47" xr6:coauthVersionMax="47" xr10:uidLastSave="{00000000-0000-0000-0000-000000000000}"/>
  <bookViews>
    <workbookView xWindow="-110" yWindow="-110" windowWidth="19420" windowHeight="10300" xr2:uid="{DF031DD2-5D09-4D87-A925-26740C271CE2}"/>
  </bookViews>
  <sheets>
    <sheet name="Review Data" sheetId="2" r:id="rId1"/>
    <sheet name="Agewise " sheetId="1" r:id="rId2"/>
    <sheet name="Billwise Details" sheetId="3" r:id="rId3"/>
    <sheet name="Legal &amp; Wrt.off" sheetId="4" r:id="rId4"/>
    <sheet name="Sheet2" sheetId="5" r:id="rId5"/>
  </sheets>
  <definedNames>
    <definedName name="_xlnm._FilterDatabase" localSheetId="1" hidden="1">'Agewise '!$A$4:$O$4</definedName>
    <definedName name="_xlnm._FilterDatabase" localSheetId="2" hidden="1">'Billwise Details'!$A$2:$K$3140</definedName>
    <definedName name="_xlnm._FilterDatabase" localSheetId="3" hidden="1">'Legal &amp; Wrt.off'!$A$2:$N$191</definedName>
    <definedName name="_xlnm._FilterDatabase" localSheetId="0" hidden="1">'Review Data'!$A$4:$T$449</definedName>
    <definedName name="Region">Sheet2!$C:$D</definedName>
    <definedName name="remark">'Review Data'!#REF!</definedName>
    <definedName name="Remarks">Sheet2!$A$1:$A$14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L6" i="2" l="1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J182" i="2" l="1"/>
  <c r="L182" i="2" s="1"/>
  <c r="G182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O3" i="1"/>
  <c r="N3" i="1"/>
  <c r="M3" i="1"/>
  <c r="L3" i="1"/>
  <c r="K3" i="1"/>
  <c r="J3" i="1"/>
  <c r="I3" i="1"/>
  <c r="H3" i="1"/>
  <c r="G3" i="1"/>
  <c r="F3" i="1"/>
  <c r="T5" i="2"/>
  <c r="D3" i="1"/>
  <c r="E3" i="1"/>
  <c r="L5" i="2" l="1"/>
  <c r="G3" i="2"/>
  <c r="K3" i="2"/>
  <c r="K1" i="4"/>
  <c r="J1" i="4"/>
  <c r="J3" i="2"/>
  <c r="I1" i="4"/>
  <c r="H1" i="4"/>
  <c r="G1" i="4"/>
  <c r="F1" i="4"/>
  <c r="E1" i="4"/>
  <c r="I3" i="2"/>
  <c r="H3" i="2"/>
  <c r="H2" i="2" s="1"/>
  <c r="F3" i="2"/>
  <c r="E3" i="2"/>
  <c r="L3" i="2" l="1"/>
  <c r="E2" i="2"/>
  <c r="J2" i="2"/>
  <c r="K2" i="2"/>
  <c r="F2" i="2"/>
  <c r="G2" i="2"/>
  <c r="I2" i="2"/>
</calcChain>
</file>

<file path=xl/sharedStrings.xml><?xml version="1.0" encoding="utf-8"?>
<sst xmlns="http://schemas.openxmlformats.org/spreadsheetml/2006/main" count="19654" uniqueCount="3806">
  <si>
    <t>Base Date</t>
  </si>
  <si>
    <t>A-Code</t>
  </si>
  <si>
    <t>Customer</t>
  </si>
  <si>
    <t>Customer Name</t>
  </si>
  <si>
    <t>Total Outstanding</t>
  </si>
  <si>
    <t>Not Due Amount</t>
  </si>
  <si>
    <t>Due Amount</t>
  </si>
  <si>
    <t>0-15 Days</t>
  </si>
  <si>
    <t>16-30 Days</t>
  </si>
  <si>
    <t>31-60 Days</t>
  </si>
  <si>
    <t>61-90 Days</t>
  </si>
  <si>
    <t xml:space="preserve"> 91-120 Days</t>
  </si>
  <si>
    <t xml:space="preserve"> 121-180 Days</t>
  </si>
  <si>
    <t xml:space="preserve"> 181-365 Days</t>
  </si>
  <si>
    <t xml:space="preserve"> 1-2 Years</t>
  </si>
  <si>
    <t>&gt; 2 Years</t>
  </si>
  <si>
    <t>3-303-NMH</t>
  </si>
  <si>
    <t>AD2785</t>
  </si>
  <si>
    <t>MAA BHAVANI TRADERS/ CHANDRAPUR</t>
  </si>
  <si>
    <t>1-108-PUP</t>
  </si>
  <si>
    <t>AD4312</t>
  </si>
  <si>
    <t>YASH COMMUNICATION/VARANASI</t>
  </si>
  <si>
    <t>AD2285</t>
  </si>
  <si>
    <t>ANUPAM TRADERS/GONDIA</t>
  </si>
  <si>
    <t>3-304-MCG</t>
  </si>
  <si>
    <t>SDS0055</t>
  </si>
  <si>
    <t>Shri Ganesh Traders/Jabalpur</t>
  </si>
  <si>
    <t>3-301-BOM</t>
  </si>
  <si>
    <t>AD3059</t>
  </si>
  <si>
    <t>ARORA ENTERPRISES/ MUMBAI</t>
  </si>
  <si>
    <t>3-305-GUJ</t>
  </si>
  <si>
    <t>DD1345</t>
  </si>
  <si>
    <t>JAI ELECTRIC/VADODARA</t>
  </si>
  <si>
    <t>1-206-JHA</t>
  </si>
  <si>
    <t>AD3469</t>
  </si>
  <si>
    <t>MBA SALES/JAMSHEDPUR</t>
  </si>
  <si>
    <t>1-107-CUP</t>
  </si>
  <si>
    <t>AD0659</t>
  </si>
  <si>
    <t>BOMBAY TRADERS</t>
  </si>
  <si>
    <t>CSAD0029</t>
  </si>
  <si>
    <t>SUDHIR TRADERS/NIZAMABAD</t>
  </si>
  <si>
    <t>1-104-RAJ</t>
  </si>
  <si>
    <t>AD2116</t>
  </si>
  <si>
    <t>DURGA AGENCIES/SRI GANGANAGAR)</t>
  </si>
  <si>
    <t>AD3526</t>
  </si>
  <si>
    <t>MISHRA MUSIC/SITAPUR</t>
  </si>
  <si>
    <t>3-302-SMH</t>
  </si>
  <si>
    <t>AD3440</t>
  </si>
  <si>
    <t>SHIVSHAKTI TRADERS/PUNE</t>
  </si>
  <si>
    <t>DD0685</t>
  </si>
  <si>
    <t>SHRI LAHER ELECTRONICS/ SEONI MALWA</t>
  </si>
  <si>
    <t>AD4252</t>
  </si>
  <si>
    <t>MA SANTOSHI ENTERPRISES/KANPUR NAGA</t>
  </si>
  <si>
    <t>AD4269</t>
  </si>
  <si>
    <t>SAI AGENCIES NANDED</t>
  </si>
  <si>
    <t>1-106-WUP</t>
  </si>
  <si>
    <t>AD4240</t>
  </si>
  <si>
    <t>ANSHU ENTERPRISES / MORADABAD</t>
  </si>
  <si>
    <t>AD4187</t>
  </si>
  <si>
    <t>MAHALAXMI ENTERPRISES/YAVATMAL</t>
  </si>
  <si>
    <t>AD4258</t>
  </si>
  <si>
    <t>PAWAN ENTERPRISES /JILA PARISAD MAR</t>
  </si>
  <si>
    <t>AD4186</t>
  </si>
  <si>
    <t>JAI SOMNATH AGENCIES/UDAIPUR</t>
  </si>
  <si>
    <t>SD0149</t>
  </si>
  <si>
    <t>SHANKHESHWAR TRADERS/BHAVNAGAR</t>
  </si>
  <si>
    <t>SDS0002</t>
  </si>
  <si>
    <t>AKASH SALES AGENCY/RAJKOT</t>
  </si>
  <si>
    <t>AD2961</t>
  </si>
  <si>
    <t>MAA HARSIDDHI ENTERPEISES/ GWALIOR</t>
  </si>
  <si>
    <t>AD2916</t>
  </si>
  <si>
    <t>JAGDISH MARKETING/ RAJKOT / DHRUVIL</t>
  </si>
  <si>
    <t>AD2980</t>
  </si>
  <si>
    <t>UMIYA MARKETING/ AHMEDABAD</t>
  </si>
  <si>
    <t>AD2270</t>
  </si>
  <si>
    <t>ROSHAN SALES/KALMESHWAR</t>
  </si>
  <si>
    <t>AD4071</t>
  </si>
  <si>
    <t>Rajendra food products/Gwalior</t>
  </si>
  <si>
    <t>DD0717</t>
  </si>
  <si>
    <t>AMBEY TRADERS/ JABALPUR</t>
  </si>
  <si>
    <t>AD2303</t>
  </si>
  <si>
    <t>MAHESH TRADING CO./YAWATMAL</t>
  </si>
  <si>
    <t>DD1416</t>
  </si>
  <si>
    <t>SHRI DAMODAR TRADING COMPANY/DEORIA</t>
  </si>
  <si>
    <t>SD0052</t>
  </si>
  <si>
    <t>MARUDHAR ELECTRICALS/GANDHINAGAR</t>
  </si>
  <si>
    <t>AD4251</t>
  </si>
  <si>
    <t>RAM RAHIM TRADERS/BIJNOR</t>
  </si>
  <si>
    <t>1-204-NBR</t>
  </si>
  <si>
    <t>SDS0066</t>
  </si>
  <si>
    <t>SURYODAY ENTERPRISES/KOLHAPUR</t>
  </si>
  <si>
    <t>AD1647</t>
  </si>
  <si>
    <t>NIHAL ENTERPRISES/MEERUT</t>
  </si>
  <si>
    <t>1-103-GPB</t>
  </si>
  <si>
    <t>AD0196</t>
  </si>
  <si>
    <t>MOHAN AGENCIES / GURDASPUR</t>
  </si>
  <si>
    <t>D100AD0058</t>
  </si>
  <si>
    <t>LAXMI BHANDAR/CHOUPARAN</t>
  </si>
  <si>
    <t>AD4069</t>
  </si>
  <si>
    <t>M/S RIDHHI ENTERPRISES/KANPUR NAGAR</t>
  </si>
  <si>
    <t>1-102-HAR</t>
  </si>
  <si>
    <t>AD0134</t>
  </si>
  <si>
    <t>RAJEEV ENTERPRISES / KARNAL</t>
  </si>
  <si>
    <t>DD1431</t>
  </si>
  <si>
    <t>GUPTA ENTERPRISES/ KANPUR</t>
  </si>
  <si>
    <t>AD2245</t>
  </si>
  <si>
    <t>NEW HANUMAN BHANDAR</t>
  </si>
  <si>
    <t>AD4184</t>
  </si>
  <si>
    <t>HARI OM GENERAL STORE/CHEEKA</t>
  </si>
  <si>
    <t>DD1206</t>
  </si>
  <si>
    <t>MATA RAJ LAKSHMI ELECTRONICS/GARHWA</t>
  </si>
  <si>
    <t>1-105-UKD</t>
  </si>
  <si>
    <t>AD2932</t>
  </si>
  <si>
    <t>THE VIJAYA AGENCIES/ RISHIKESH / JA</t>
  </si>
  <si>
    <t>AD3196</t>
  </si>
  <si>
    <t>TEAM 4 LOGISTICS/PUNE</t>
  </si>
  <si>
    <t>DD1341</t>
  </si>
  <si>
    <t>JAI DURGA TRADERS/SAHARANPUR</t>
  </si>
  <si>
    <t>AD4163</t>
  </si>
  <si>
    <t>S.R.TRADERS/VISNAGAR</t>
  </si>
  <si>
    <t>AD2403</t>
  </si>
  <si>
    <t>SHREE SIDDHESHWAR ENTERPRISE / PUNE</t>
  </si>
  <si>
    <t>AD3407</t>
  </si>
  <si>
    <t>SHUBHAM ELECTRICAL/RAJNANDGAON</t>
  </si>
  <si>
    <t>SD0002</t>
  </si>
  <si>
    <t>RAHUL ELECTRONICS/ KANPUR / KIDWAI</t>
  </si>
  <si>
    <t>AD3638</t>
  </si>
  <si>
    <t>JAI MATA DI TRADERS/SHEOHAR</t>
  </si>
  <si>
    <t>SDS0108</t>
  </si>
  <si>
    <t>MAJESTIC MARKETING/SOLAPUR</t>
  </si>
  <si>
    <t>AD2503</t>
  </si>
  <si>
    <t>ANIEE TRADERS/AGRA</t>
  </si>
  <si>
    <t>DD1317</t>
  </si>
  <si>
    <t>P.M.TRADERS/BAHRAICH</t>
  </si>
  <si>
    <t>AD4107</t>
  </si>
  <si>
    <t>RAGHUKUL ENTERPRISES/VIRAR</t>
  </si>
  <si>
    <t>SDS0101</t>
  </si>
  <si>
    <t>NEW SAI AGENCIES/NANDED</t>
  </si>
  <si>
    <t>AD1675</t>
  </si>
  <si>
    <t>SHYAM DISTRIBUTORS/ AHMEDABAD</t>
  </si>
  <si>
    <t>DD0448</t>
  </si>
  <si>
    <t>CHAURASIYA HARDWARE AND ELECTRONICS</t>
  </si>
  <si>
    <t>AD0322</t>
  </si>
  <si>
    <t>GOEL TRADING CO. / MAWANA</t>
  </si>
  <si>
    <t>AD3390</t>
  </si>
  <si>
    <t>B. K. SALES CORPORATION/GOREGAON</t>
  </si>
  <si>
    <t>SD0030</t>
  </si>
  <si>
    <t>SHARDA ELECTRICALS/NAGPUR</t>
  </si>
  <si>
    <t>AD2168</t>
  </si>
  <si>
    <t>P.K.SHAH &amp; CO.</t>
  </si>
  <si>
    <t>SDS0016</t>
  </si>
  <si>
    <t>BHAVIK AGENCIES/GANDHINAGAR</t>
  </si>
  <si>
    <t>AD3490</t>
  </si>
  <si>
    <t>LAKSHA TRADERS/CHITRAKOOT</t>
  </si>
  <si>
    <t>SDS0092</t>
  </si>
  <si>
    <t>R P Tradelink/Wadi, nagpur</t>
  </si>
  <si>
    <t>DD0917</t>
  </si>
  <si>
    <t>SS ENTERPRISES/GOLA</t>
  </si>
  <si>
    <t>AD3258</t>
  </si>
  <si>
    <t>VARDHAN AGENCIES/BHARTHANA</t>
  </si>
  <si>
    <t>AD4205</t>
  </si>
  <si>
    <t>VAIBHAV LUXMI ENTERPRISES/DEHRADUN</t>
  </si>
  <si>
    <t>AD3487</t>
  </si>
  <si>
    <t>SANJAY AGENCIES LATUR/LATUR</t>
  </si>
  <si>
    <t>1-101-DEL</t>
  </si>
  <si>
    <t>AD4026</t>
  </si>
  <si>
    <t>JAI MATA TRADING/DELHI</t>
  </si>
  <si>
    <t>AD1277</t>
  </si>
  <si>
    <t>SWASTIK TRADERS/SAHARANPUR</t>
  </si>
  <si>
    <t>2-203-CCU</t>
  </si>
  <si>
    <t>SDS0104</t>
  </si>
  <si>
    <t>SHIVANSH ENTERPRISE/KHARAGPUR</t>
  </si>
  <si>
    <t>AD3171</t>
  </si>
  <si>
    <t>ANSH TRADERS/GHAZIPUR</t>
  </si>
  <si>
    <t>AD0330</t>
  </si>
  <si>
    <t>GURU KIRPA TRADUNG CO/HAPUR</t>
  </si>
  <si>
    <t>AD3163</t>
  </si>
  <si>
    <t>SAGAR ELECTRONICS/ CHHINDWARA</t>
  </si>
  <si>
    <t>AD0096</t>
  </si>
  <si>
    <t>CHAWLA MARKETING CO. / GURGAON</t>
  </si>
  <si>
    <t>AD0086</t>
  </si>
  <si>
    <t>ANSHUL SALES AGENCIES / BALLABHGARH</t>
  </si>
  <si>
    <t>AD2906</t>
  </si>
  <si>
    <t>UP ENTERPRISES/ YUSUFPUR / FAL MAND</t>
  </si>
  <si>
    <t>AD0926</t>
  </si>
  <si>
    <t>R &amp; R MARKETING / ALLAHABAD</t>
  </si>
  <si>
    <t>AD0329</t>
  </si>
  <si>
    <t>GUPTA TRADERS / VASUNDHARA</t>
  </si>
  <si>
    <t>AD0107</t>
  </si>
  <si>
    <t>HARYANA SALES AGENCY / REWARI</t>
  </si>
  <si>
    <t>AD1725</t>
  </si>
  <si>
    <t>SAGAR MAL AGARWAL/EAST DELHI</t>
  </si>
  <si>
    <t>AD3202</t>
  </si>
  <si>
    <t>SHREE MAHAVEER TRADERS/KOSI KALAN</t>
  </si>
  <si>
    <t>SDS0020</t>
  </si>
  <si>
    <t>A R ENTERPRISES/BATHINDA</t>
  </si>
  <si>
    <t>AD0920</t>
  </si>
  <si>
    <t>S.K. AGENCIES / GHAZIABAD</t>
  </si>
  <si>
    <t>AD0378</t>
  </si>
  <si>
    <t>PRERNA &amp; SONS / ETAH</t>
  </si>
  <si>
    <t>SDS0035</t>
  </si>
  <si>
    <t>NAVNEET ENTERPRISES/BADAUN</t>
  </si>
  <si>
    <t>AD2023</t>
  </si>
  <si>
    <t>SHUBHAM ENTERPRISES/JAIPUR)</t>
  </si>
  <si>
    <t>AD1704</t>
  </si>
  <si>
    <t>R H ENTERPRISES/BAILAG</t>
  </si>
  <si>
    <t>SD0182</t>
  </si>
  <si>
    <t>VASU INDUSTRIES/KANPUR</t>
  </si>
  <si>
    <t>AD1302</t>
  </si>
  <si>
    <t>ASHUTOSH TRADERS/LALGANJ</t>
  </si>
  <si>
    <t>1-207-EBR</t>
  </si>
  <si>
    <t>AD3692</t>
  </si>
  <si>
    <t>SRIDHI SALES/PATNA</t>
  </si>
  <si>
    <t>AD3601</t>
  </si>
  <si>
    <t>JAGDAMBA ENTERPRISES/BIHARSARIF</t>
  </si>
  <si>
    <t>SD0113</t>
  </si>
  <si>
    <t>BROTHERS ENTERPRISES/MUZAFFARPUR/CF</t>
  </si>
  <si>
    <t>AD3645</t>
  </si>
  <si>
    <t>NARAYANI AGENCY/JAYNAGAR</t>
  </si>
  <si>
    <t>DD1326</t>
  </si>
  <si>
    <t>SOMESHVER NATH LED LIGTH HOUSE/ARER</t>
  </si>
  <si>
    <t>AD4142</t>
  </si>
  <si>
    <t>CHAMPARAN FASHION HUB/BETTIAH</t>
  </si>
  <si>
    <t>AD2209</t>
  </si>
  <si>
    <t>A.K.ENTERPRISES</t>
  </si>
  <si>
    <t>AD4315</t>
  </si>
  <si>
    <t>Vighnaharta Distributors/Bid</t>
  </si>
  <si>
    <t>AD1947</t>
  </si>
  <si>
    <t>MAHAVIR ENTERPRISES/BHILAI</t>
  </si>
  <si>
    <t>AD4047</t>
  </si>
  <si>
    <t>VEDANSHI ENTERPRISES/BANDA</t>
  </si>
  <si>
    <t>AD4144</t>
  </si>
  <si>
    <t>MAA MAHESHWARI ELECTRICALS/BABERU</t>
  </si>
  <si>
    <t>DD1390</t>
  </si>
  <si>
    <t>SHIV SHAKTI TRADERS/ALIGANJ</t>
  </si>
  <si>
    <t>AD1470</t>
  </si>
  <si>
    <t>SHIVA ENTERPRISES /NOIDA</t>
  </si>
  <si>
    <t>AD2676</t>
  </si>
  <si>
    <t>SHREE KRISHNA TRADERS/BARNALA</t>
  </si>
  <si>
    <t>AD2425</t>
  </si>
  <si>
    <t>AGARWAL &amp; COMPANY/NASHIK</t>
  </si>
  <si>
    <t>AD1477</t>
  </si>
  <si>
    <t>KAVYA ENTERPRISES/NOIDA</t>
  </si>
  <si>
    <t>DD0999</t>
  </si>
  <si>
    <t>DUKIYA AGENCY/Jayal</t>
  </si>
  <si>
    <t>AD2309</t>
  </si>
  <si>
    <t>SHREE AGENCIES/RAJAPETH</t>
  </si>
  <si>
    <t>AD2484</t>
  </si>
  <si>
    <t>SAYEED SONS/PILIBHIT</t>
  </si>
  <si>
    <t>SD0085</t>
  </si>
  <si>
    <t>LUCKY ELECTRIC/PRATAPGARH</t>
  </si>
  <si>
    <t>D100AD0014</t>
  </si>
  <si>
    <t>UPKAR ENTERPRISES/BASTI</t>
  </si>
  <si>
    <t>SDS0036</t>
  </si>
  <si>
    <t>P D TRADERS/MORADABAD</t>
  </si>
  <si>
    <t>AD2610</t>
  </si>
  <si>
    <t>VADERA TRADING COMPANY/BARMER</t>
  </si>
  <si>
    <t>AD2071</t>
  </si>
  <si>
    <t>HANUMAN TRADERS /PALI)</t>
  </si>
  <si>
    <t>DD1203</t>
  </si>
  <si>
    <t>RINA ELECTRONICS/BOISAR</t>
  </si>
  <si>
    <t>AD2284</t>
  </si>
  <si>
    <t>V S MARKETING BHANDARA</t>
  </si>
  <si>
    <t>AD3323</t>
  </si>
  <si>
    <t>NAVYA ENTERPRISES/BANSWARA</t>
  </si>
  <si>
    <t>AD3169</t>
  </si>
  <si>
    <t>GEETA MARKETING/JAIPUR</t>
  </si>
  <si>
    <t>AD2444</t>
  </si>
  <si>
    <t>N.K.GLOBAL TRADING/PUNE</t>
  </si>
  <si>
    <t>AD2142</t>
  </si>
  <si>
    <t>RAJ SALES CORPORATION/SRDS)</t>
  </si>
  <si>
    <t>DD1214</t>
  </si>
  <si>
    <t>OM SHAKTI ELECTRICALS/BALLIA</t>
  </si>
  <si>
    <t>AD2751</t>
  </si>
  <si>
    <t>SHIVAM AGENCY/CHINCHWAD</t>
  </si>
  <si>
    <t>2-202-BEN</t>
  </si>
  <si>
    <t>AD3814</t>
  </si>
  <si>
    <t>G D ENTERPRISE/HALISAHAR</t>
  </si>
  <si>
    <t>DD0288</t>
  </si>
  <si>
    <t>CHOPRA ELECTRONICS/CHANDNI CHOCK</t>
  </si>
  <si>
    <t>AD0585</t>
  </si>
  <si>
    <t>CHANDNI TRADERS/MAUNATH BHANJAN</t>
  </si>
  <si>
    <t>AD4241</t>
  </si>
  <si>
    <t>GANPATI ENTERPRISES / CHANDPUR</t>
  </si>
  <si>
    <t>DD1404</t>
  </si>
  <si>
    <t>ANAYA ELECTRICAL INDIA/UNCHDIH</t>
  </si>
  <si>
    <t>DD1023</t>
  </si>
  <si>
    <t>SHAGUN ENTERPRISES/Prayagraj</t>
  </si>
  <si>
    <t>AD4325</t>
  </si>
  <si>
    <t>LAXMI NARAYAN OIL MILL/SHYAMPUR</t>
  </si>
  <si>
    <t>SD0093</t>
  </si>
  <si>
    <t>Mansha Enterprises/Kanpur</t>
  </si>
  <si>
    <t>AD3618</t>
  </si>
  <si>
    <t>BAJRANG TRADER /PARSA</t>
  </si>
  <si>
    <t>AD3608</t>
  </si>
  <si>
    <t>MAA LAXMI ENTERPRISES / PACHRUKHI</t>
  </si>
  <si>
    <t>D100AD0042</t>
  </si>
  <si>
    <t>BABA ELECTRONIC &amp; ELECTRIC/SIWAN/CF</t>
  </si>
  <si>
    <t>AD3669</t>
  </si>
  <si>
    <t>NARAYAN SALES/SITAMARHI</t>
  </si>
  <si>
    <t>DD1251</t>
  </si>
  <si>
    <t>B.K.ELECTRIC/LAXMIPUR LAUKHAN/CF)</t>
  </si>
  <si>
    <t>D100AD0041</t>
  </si>
  <si>
    <t>BALAJEE ELECTRICAL SHOP/BETTIAH/CF)</t>
  </si>
  <si>
    <t>AD4280</t>
  </si>
  <si>
    <t>M/S GOLU TRADING COMPANY/ARA</t>
  </si>
  <si>
    <t>AD4106</t>
  </si>
  <si>
    <t>SHREE SAINATH AGENCY/LAKHISARAI</t>
  </si>
  <si>
    <t>SD0060</t>
  </si>
  <si>
    <t>GOYAL ENTERPRISES/SHIVPURI</t>
  </si>
  <si>
    <t>AD4288</t>
  </si>
  <si>
    <t>MAHANT ENTERPRISES/INDORE</t>
  </si>
  <si>
    <t>AD2279</t>
  </si>
  <si>
    <t>KELKAR ENTERPRISES WARDHA</t>
  </si>
  <si>
    <t>AD3449</t>
  </si>
  <si>
    <t>BAJRANG ENTERPRISES/ AMBIKAPUR</t>
  </si>
  <si>
    <t>AD1809</t>
  </si>
  <si>
    <t>ASHA ENTERPRISES/RAIPUR</t>
  </si>
  <si>
    <t>SDS0030</t>
  </si>
  <si>
    <t>AMRUT SALES CORPORATION/JALGAON</t>
  </si>
  <si>
    <t>AD4027</t>
  </si>
  <si>
    <t>DELHI COSMETICS/ORAI</t>
  </si>
  <si>
    <t>AD2721</t>
  </si>
  <si>
    <t>ADARSH TRADERS/GOSHAIGANJ</t>
  </si>
  <si>
    <t>DD1415</t>
  </si>
  <si>
    <t>SURYA TRADING COMPANY/COLONELGANJ</t>
  </si>
  <si>
    <t>AD3770</t>
  </si>
  <si>
    <t>M M ENTERPRISE / GAJARMORE</t>
  </si>
  <si>
    <t>2-201-NER</t>
  </si>
  <si>
    <t>AD3729</t>
  </si>
  <si>
    <t>G.S. RAMJUT AND CO./AGARTALA</t>
  </si>
  <si>
    <t>AD3660</t>
  </si>
  <si>
    <t>A D ENTERPRISES / BEGUSARAI</t>
  </si>
  <si>
    <t>AD3657</t>
  </si>
  <si>
    <t>PRANAV AGENCY / FORBESGANJ</t>
  </si>
  <si>
    <t>AD3571</t>
  </si>
  <si>
    <t>R K TRADERS/ARERAJ</t>
  </si>
  <si>
    <t>AD3626</t>
  </si>
  <si>
    <t>VIJAY ENTERPRISES/SUGAULI</t>
  </si>
  <si>
    <t>DD1226</t>
  </si>
  <si>
    <t>JAYA ELECTRONICS/SHAHGANJ</t>
  </si>
  <si>
    <t>AD3261</t>
  </si>
  <si>
    <t>VASHU TRADERS/DELHI / BADARPUR</t>
  </si>
  <si>
    <t>AD0205</t>
  </si>
  <si>
    <t>PRAMOD GEN. STORE / ZIRA</t>
  </si>
  <si>
    <t>AD0061</t>
  </si>
  <si>
    <t>RAJESH AGENCIES / ALMORA</t>
  </si>
  <si>
    <t>AD0352</t>
  </si>
  <si>
    <t>LAXMI NARAYAN TRADING COMPANY / MEE</t>
  </si>
  <si>
    <t>AD0333</t>
  </si>
  <si>
    <t>HINDUSTAN TEA CO. / MODINAGAR</t>
  </si>
  <si>
    <t>AD0037</t>
  </si>
  <si>
    <t>N R ENTERPRISES / KAILASH COLONY</t>
  </si>
  <si>
    <t>AD4242</t>
  </si>
  <si>
    <t>ZEP MARKETING/PANVEL</t>
  </si>
  <si>
    <t>SD0151</t>
  </si>
  <si>
    <t>RUBY ELECTRICALS AND ELECTRONICS/GU</t>
  </si>
  <si>
    <t>D100AD0030</t>
  </si>
  <si>
    <t>SHAHANE AGENCY/KARMALA</t>
  </si>
  <si>
    <t>AD4266</t>
  </si>
  <si>
    <t>Thakurji Trading and Company/AURANG</t>
  </si>
  <si>
    <t>AD4376</t>
  </si>
  <si>
    <t>M/S DMK TRADERS/GORAKHPUR</t>
  </si>
  <si>
    <t>DD0860</t>
  </si>
  <si>
    <t>DEEPAK ENTERPRISES/DUDAHI</t>
  </si>
  <si>
    <t>SDS0068</t>
  </si>
  <si>
    <t>P.K. TRADERS/KURALI</t>
  </si>
  <si>
    <t>AD4032</t>
  </si>
  <si>
    <t>M/S CHAURASIYA ENTERPRISES/PATRAHI</t>
  </si>
  <si>
    <t>AD0080</t>
  </si>
  <si>
    <t>PRIYA AGENCIES / ROORKEE</t>
  </si>
  <si>
    <t>AD4260</t>
  </si>
  <si>
    <t>G S TRADERS/BAHRAICH</t>
  </si>
  <si>
    <t>DD1106</t>
  </si>
  <si>
    <t>QAZI ELECTRICALS AND MOBILE ACCESSO</t>
  </si>
  <si>
    <t>AD4343</t>
  </si>
  <si>
    <t>SHRI BALAJI ENTERPRISES/GHAZIABAD</t>
  </si>
  <si>
    <t>AD2660</t>
  </si>
  <si>
    <t>DHATRI ENTERPRISES/ETAWAH</t>
  </si>
  <si>
    <t>AD4160</t>
  </si>
  <si>
    <t>ADITYA ENTERPRISES/BIHAR</t>
  </si>
  <si>
    <t>AD1902</t>
  </si>
  <si>
    <t>VIKAS TELECOM/BISANDA</t>
  </si>
  <si>
    <t>AD4335</t>
  </si>
  <si>
    <t>AMBIKA AGENCY/BAVADHAN BK /N.V.)</t>
  </si>
  <si>
    <t>DD1369</t>
  </si>
  <si>
    <t>M/S MAA LAKSHMI ELECTRONICS/LALGANJ</t>
  </si>
  <si>
    <t>CSAD0249</t>
  </si>
  <si>
    <t>M/S JAI MATA DI ENTERPRISES/GAMHARI</t>
  </si>
  <si>
    <t>SDS0099</t>
  </si>
  <si>
    <t>ARIHANT ENTERPRISES/UDAIPUR</t>
  </si>
  <si>
    <t>SDS0009</t>
  </si>
  <si>
    <t>KRISH ENTERPRISES/ INDORE</t>
  </si>
  <si>
    <t>D100AD0022</t>
  </si>
  <si>
    <t>DESSI BRANDWALA/PARWANOO</t>
  </si>
  <si>
    <t>DD0443</t>
  </si>
  <si>
    <t>ARADHNA ELECTRICALS/ UJJAIN</t>
  </si>
  <si>
    <t>AD2135</t>
  </si>
  <si>
    <t>DHEERAJ SALES CORPORATION/SIKAR)</t>
  </si>
  <si>
    <t>DD0797</t>
  </si>
  <si>
    <t>KRISHNA ENTERPRISES/ RUDRAPUR</t>
  </si>
  <si>
    <t>AD0078</t>
  </si>
  <si>
    <t>MANCHANDA SUPPLY AGENCY / HARIDWAR</t>
  </si>
  <si>
    <t>AD4265</t>
  </si>
  <si>
    <t>DHANRAJ TRADING COMPANY/JODHPUR</t>
  </si>
  <si>
    <t>AD2146</t>
  </si>
  <si>
    <t>BUDHI PRAKASH KAILASH CHAND/JJN)</t>
  </si>
  <si>
    <t>AD3765</t>
  </si>
  <si>
    <t>MAZUMDAR TRADERS / KHAGRA</t>
  </si>
  <si>
    <t>AD2008</t>
  </si>
  <si>
    <t>YOGESH ENTERPRISES/ KASHIPUR</t>
  </si>
  <si>
    <t>AD4157</t>
  </si>
  <si>
    <t>ANGEL TRADING/KOLKATA</t>
  </si>
  <si>
    <t>AD0039</t>
  </si>
  <si>
    <t>SHYAM ENTERPRISES / DELHI</t>
  </si>
  <si>
    <t>DD1417</t>
  </si>
  <si>
    <t>BALAJEE ELECTRICALS/GOGRI JAMALPUR</t>
  </si>
  <si>
    <t>D100AD0015</t>
  </si>
  <si>
    <t>N K ENTERPRISES/AZAMGARH</t>
  </si>
  <si>
    <t>AD3484</t>
  </si>
  <si>
    <t>JP SALES/DEHRADUN</t>
  </si>
  <si>
    <t>AD0583</t>
  </si>
  <si>
    <t>BARANWAL&amp; BARANWAL AGENCY / VARANAS</t>
  </si>
  <si>
    <t>DD0309</t>
  </si>
  <si>
    <t>SRI BALAGI TRADERS/BASTI</t>
  </si>
  <si>
    <t>DD0978</t>
  </si>
  <si>
    <t>MUSIC PALACE/LUCKNOW</t>
  </si>
  <si>
    <t>DD1339</t>
  </si>
  <si>
    <t>MADNI ELECTRIC/DABHOI</t>
  </si>
  <si>
    <t>AD1946</t>
  </si>
  <si>
    <t>OMKAR NATH KESARWANI/BHARWARI</t>
  </si>
  <si>
    <t>AD0981</t>
  </si>
  <si>
    <t>AASHIRVAAD  AGENCIES /RANIKHET</t>
  </si>
  <si>
    <t>DD1336</t>
  </si>
  <si>
    <t>M/S VIPUL ELECTRONICS/PRATAPGARH</t>
  </si>
  <si>
    <t>AD4085</t>
  </si>
  <si>
    <t>M/S SHAKTI TRADERS/PIPEEGANJ</t>
  </si>
  <si>
    <t>SDS0022</t>
  </si>
  <si>
    <t>SHREE BALAJI DISTRIBUTORS/PUNE</t>
  </si>
  <si>
    <t>DD1119</t>
  </si>
  <si>
    <t>PIONEER ELECTRONIC/SITAPUR</t>
  </si>
  <si>
    <t>AD3795</t>
  </si>
  <si>
    <t>SOMA DHARA / KAMARPUKUR</t>
  </si>
  <si>
    <t>AD4162</t>
  </si>
  <si>
    <t>STABAK ENTERPRISE/HOWRAH</t>
  </si>
  <si>
    <t>AD0591</t>
  </si>
  <si>
    <t>KESHARI GENERAL STORES/BABURI</t>
  </si>
  <si>
    <t>SDS0090</t>
  </si>
  <si>
    <t>SWASTIK ENTERPRISES/HISAR</t>
  </si>
  <si>
    <t>AD0534</t>
  </si>
  <si>
    <t>SANJAY ENTERPRISES / AYODHYA</t>
  </si>
  <si>
    <t>AD3592</t>
  </si>
  <si>
    <t>PRINCE TRADERS/JAMALPUR</t>
  </si>
  <si>
    <t>D100AD0055</t>
  </si>
  <si>
    <t>ADITYA ENTERPRISES/GAYA</t>
  </si>
  <si>
    <t>AD3663</t>
  </si>
  <si>
    <t>BIYAHUT AGENCY/CHAPRA</t>
  </si>
  <si>
    <t>AD1656</t>
  </si>
  <si>
    <t>OM DHOOP AGENCY/ELLENABAD</t>
  </si>
  <si>
    <t>SD0067</t>
  </si>
  <si>
    <t>MAA TRADERS/DABRA</t>
  </si>
  <si>
    <t>DD0017</t>
  </si>
  <si>
    <t>GAGAN ELECTRIC/RAJGARH</t>
  </si>
  <si>
    <t>D100AD0063</t>
  </si>
  <si>
    <t>VARSHA TRADERS/JABALPUR</t>
  </si>
  <si>
    <t>SD0179</t>
  </si>
  <si>
    <t>MANNU ENTERPRISES/INDARGARH</t>
  </si>
  <si>
    <t>AD3665</t>
  </si>
  <si>
    <t>ISHA TRADERS/JABALPUR</t>
  </si>
  <si>
    <t>AD0358</t>
  </si>
  <si>
    <t>MAHAVEER AGENCIES / DADRI</t>
  </si>
  <si>
    <t>AD2799</t>
  </si>
  <si>
    <t>NAVYA AGENCIES/ RAMNAGAR – PATHARI</t>
  </si>
  <si>
    <t>AD3653</t>
  </si>
  <si>
    <t>SHARDA GENERAL STORE/SINGHESHWAR</t>
  </si>
  <si>
    <t>AD3581</t>
  </si>
  <si>
    <t>BASU KALA ENTERPRISES/AURANGABAD</t>
  </si>
  <si>
    <t>AD0194</t>
  </si>
  <si>
    <t>MAHAVIR MEHANDI BHANDAR / LUDHIANA</t>
  </si>
  <si>
    <t>AD2375</t>
  </si>
  <si>
    <t>Shree Sai Agencies / Sangli/W/S)</t>
  </si>
  <si>
    <t>DD1144</t>
  </si>
  <si>
    <t>SHIVAM ENTERPRISES/AYODHYA</t>
  </si>
  <si>
    <t>AD4268</t>
  </si>
  <si>
    <t>SHRINATH AGENCIES/HADAPSAR</t>
  </si>
  <si>
    <t>SDS0049</t>
  </si>
  <si>
    <t>GOPAL AGENCY/MUZAFFARPUR/A</t>
  </si>
  <si>
    <t>AD3333</t>
  </si>
  <si>
    <t>ATLANTIC ENTERPRISES/LUDHIANA</t>
  </si>
  <si>
    <t>AD2816</t>
  </si>
  <si>
    <t>MOHIT AGENCIES / MURAD NAGAR – MAIN</t>
  </si>
  <si>
    <t>AD2532</t>
  </si>
  <si>
    <t>J K TRADING/PALGHAR</t>
  </si>
  <si>
    <t>AD2779</t>
  </si>
  <si>
    <t>V.R.ENTERPRISES/DHARAVI</t>
  </si>
  <si>
    <t>AD0064</t>
  </si>
  <si>
    <t>SHUBHAM ASSOCIATE / KATHGODAM</t>
  </si>
  <si>
    <t>DD1085</t>
  </si>
  <si>
    <t>SUYASH TRADERS/YAVATMAL</t>
  </si>
  <si>
    <t>AD2962</t>
  </si>
  <si>
    <t>MATOSHREE TRADERS/ PUNE</t>
  </si>
  <si>
    <t>AD0062</t>
  </si>
  <si>
    <t>RAM KUMAR BHOLANATH MEHROTRA / RAMN</t>
  </si>
  <si>
    <t>AD2833</t>
  </si>
  <si>
    <t>FROSTY ENTERPRISES / MUMBAI – VILE</t>
  </si>
  <si>
    <t>AD4031</t>
  </si>
  <si>
    <t>H.K.ENTERPRISE/BHAVNAGAR</t>
  </si>
  <si>
    <t>AD4361</t>
  </si>
  <si>
    <t>SHREE JI INNOVATION/GURGAON</t>
  </si>
  <si>
    <t>AD4285</t>
  </si>
  <si>
    <t>KRISHNA TRADERS/ULHASNAGAR</t>
  </si>
  <si>
    <t>AD0200</t>
  </si>
  <si>
    <t>NAGINA STORE / HOSHIARPUR</t>
  </si>
  <si>
    <t>AD4234</t>
  </si>
  <si>
    <t>GUPTA ENTERPRISES/KAPASHEDA</t>
  </si>
  <si>
    <t>AD1433</t>
  </si>
  <si>
    <t>SIDHARTH TRADING COMPANY/BARAUT</t>
  </si>
  <si>
    <t>AD3548</t>
  </si>
  <si>
    <t>F K TRADERS/LAKHIMPUR</t>
  </si>
  <si>
    <t>AD4351</t>
  </si>
  <si>
    <t>SANVI AGENCY / AHMADABAD GUJARAT</t>
  </si>
  <si>
    <t>AD2644</t>
  </si>
  <si>
    <t>SHREE MATANGI SALES/AHMEDABAD</t>
  </si>
  <si>
    <t>AD2428</t>
  </si>
  <si>
    <t>BHAGYODYA SALES/NASHIK</t>
  </si>
  <si>
    <t>AD3539</t>
  </si>
  <si>
    <t>SHREE KAILASH JEE TRADERS/AGRA</t>
  </si>
  <si>
    <t>AD2546</t>
  </si>
  <si>
    <t>AVTAR TRADERS/AKBARPUR</t>
  </si>
  <si>
    <t>AD0260</t>
  </si>
  <si>
    <t>SHARMA &amp; SHARMA BROS/DARKATA</t>
  </si>
  <si>
    <t>AD0467</t>
  </si>
  <si>
    <t>JEETU GENERAL STORE/BINDKI</t>
  </si>
  <si>
    <t>SDS0103</t>
  </si>
  <si>
    <t>A.M.Enterprise/Kasinagar</t>
  </si>
  <si>
    <t>AD0227</t>
  </si>
  <si>
    <t>TRIVENI SALES/JALANDHAR</t>
  </si>
  <si>
    <t>AD3532</t>
  </si>
  <si>
    <t>KESARWANI TRADERS/SIRSA BAZAR</t>
  </si>
  <si>
    <t>AD0643</t>
  </si>
  <si>
    <t>ROSHANI ENTERPRISES/BARHALGANG</t>
  </si>
  <si>
    <t>SDS0034</t>
  </si>
  <si>
    <t>SURESH AGENCY/SULTANPUR</t>
  </si>
  <si>
    <t>AD0041</t>
  </si>
  <si>
    <t>TIRUPATI ENTERPRISES / NEW DELHI</t>
  </si>
  <si>
    <t>AD2419</t>
  </si>
  <si>
    <t>ASHOK AGENCIES/UDGIR</t>
  </si>
  <si>
    <t>AD2462</t>
  </si>
  <si>
    <t>SHRI COLLECTION/BEED</t>
  </si>
  <si>
    <t>SDS0124</t>
  </si>
  <si>
    <t>NARAYAN TRADING COMPANY/BALLIA</t>
  </si>
  <si>
    <t>AD4222</t>
  </si>
  <si>
    <t>SAMIR ENTERPRISES/HAJIPUR</t>
  </si>
  <si>
    <t>AD3661</t>
  </si>
  <si>
    <t>DILIP KU AGARWAL/TRIBENIGANJ</t>
  </si>
  <si>
    <t>AD2908</t>
  </si>
  <si>
    <t>KESHARWANI BROTHERS/ MIRZAPUR / PEH</t>
  </si>
  <si>
    <t>SD0108</t>
  </si>
  <si>
    <t>SANTOSHI XEROX TELECOM/BAKKHALI</t>
  </si>
  <si>
    <t>AD1188</t>
  </si>
  <si>
    <t>ANKIT TRADING COMPANY/BULANDSHAR</t>
  </si>
  <si>
    <t>DD1308</t>
  </si>
  <si>
    <t>NAINA CABLE VISION/MUZAFFARPUR</t>
  </si>
  <si>
    <t>D100AD0059</t>
  </si>
  <si>
    <t>BISHAN TRADING/JAMTARA</t>
  </si>
  <si>
    <t>AD2161</t>
  </si>
  <si>
    <t>CHAMUNDA SALES</t>
  </si>
  <si>
    <t>AD1977</t>
  </si>
  <si>
    <t>AKASH SALES/RAIPUR</t>
  </si>
  <si>
    <t>DD0993</t>
  </si>
  <si>
    <t>SAHU ELECTRICAL STORE/MAHOBA</t>
  </si>
  <si>
    <t>DD1260</t>
  </si>
  <si>
    <t>ADITYA ENTERPRISES/PATORY</t>
  </si>
  <si>
    <t>DD1316</t>
  </si>
  <si>
    <t>HINDUSTAN WATCH &amp; ELECTRICALS/KISHA</t>
  </si>
  <si>
    <t>AD2289</t>
  </si>
  <si>
    <t>AMOL TRADERS BRAMHPURI</t>
  </si>
  <si>
    <t>AD0757</t>
  </si>
  <si>
    <t>VIRAL ENTERPRISE</t>
  </si>
  <si>
    <t>SDS0023</t>
  </si>
  <si>
    <t>BHAGYA LAXMI SALES AGENCY/MEHSANA</t>
  </si>
  <si>
    <t>AD4101</t>
  </si>
  <si>
    <t>SHIVLOTI TRADERS/CHANDIGARH</t>
  </si>
  <si>
    <t>SDS0115</t>
  </si>
  <si>
    <t>VAISHNAV TRADERS/KATNI</t>
  </si>
  <si>
    <t>D100AD0002</t>
  </si>
  <si>
    <t>PRADEEP ELECTRICALS/JABALPUR</t>
  </si>
  <si>
    <t>AD3635</t>
  </si>
  <si>
    <t>SHASHI ENTERPRISES/MUZAFFARPUR/B</t>
  </si>
  <si>
    <t>DD1179</t>
  </si>
  <si>
    <t>BABA ELECTRICAL AND NAL FITTING/MAD</t>
  </si>
  <si>
    <t>AD4253</t>
  </si>
  <si>
    <t>SS ENTERPRISES/Kanpur Nagar</t>
  </si>
  <si>
    <t>SD0086</t>
  </si>
  <si>
    <t>RISHI ENTERPRISES/VARANASI</t>
  </si>
  <si>
    <t>AD2181</t>
  </si>
  <si>
    <t>SHIVAM ENTERPRISES</t>
  </si>
  <si>
    <t>AD4096</t>
  </si>
  <si>
    <t>D.R AGENCY/BHAYANDAR</t>
  </si>
  <si>
    <t>AD2533</t>
  </si>
  <si>
    <t>VIJAY ENTERPRISES/VASAI</t>
  </si>
  <si>
    <t>DD1412</t>
  </si>
  <si>
    <t>KRISHNA ENTERPRISES/CHHATARPUR</t>
  </si>
  <si>
    <t>DD1113</t>
  </si>
  <si>
    <t>ANNU ENTERPRISES MOBAIL AND ELECTRI</t>
  </si>
  <si>
    <t>DD0405</t>
  </si>
  <si>
    <t>HARI OM ELECTRIC/ PATNA / AADARSH C</t>
  </si>
  <si>
    <t>DD0030</t>
  </si>
  <si>
    <t>ANNU ELECTRONICS AND ELECTRIC/BABHN</t>
  </si>
  <si>
    <t>DD0644</t>
  </si>
  <si>
    <t>SACHIN ELECTRIC AND ELECTRONICS/ NI</t>
  </si>
  <si>
    <t>DD1377</t>
  </si>
  <si>
    <t>M/S MICRO BATTERY/PADRAUNA</t>
  </si>
  <si>
    <t>AD4067</t>
  </si>
  <si>
    <t>DUTTA SUPPLIERS/KOLKATA</t>
  </si>
  <si>
    <t>DD0189</t>
  </si>
  <si>
    <t>SHRI VANDANA ELECTRICALS/ MANDUADIH</t>
  </si>
  <si>
    <t>DD0904</t>
  </si>
  <si>
    <t>M K TRADERS/FAIZABAD</t>
  </si>
  <si>
    <t>AD1985</t>
  </si>
  <si>
    <t>PRAMOD ENTERPRISES/NEEMUCH</t>
  </si>
  <si>
    <t>DD1128</t>
  </si>
  <si>
    <t>SHIVANI ELECTRONICS/HANSRAJPUR</t>
  </si>
  <si>
    <t>AD2706</t>
  </si>
  <si>
    <t>VITRAG ENTERPRISES/THANE /W</t>
  </si>
  <si>
    <t>AD2981</t>
  </si>
  <si>
    <t>KALPANA AGENCY/ LUCKNOW</t>
  </si>
  <si>
    <t>AD3194</t>
  </si>
  <si>
    <t>MAA BIJASAN AGENCY/ITARSI</t>
  </si>
  <si>
    <t>DD1116</t>
  </si>
  <si>
    <t>M/S ANUSHREE ELECTRICALS/JAORA – SU</t>
  </si>
  <si>
    <t>AD3190</t>
  </si>
  <si>
    <t>KESHRI AGENCY/SATNA</t>
  </si>
  <si>
    <t>AD4169</t>
  </si>
  <si>
    <t>Shivansh Trading Co./Outer Delhi</t>
  </si>
  <si>
    <t>AD1382</t>
  </si>
  <si>
    <t>KAMAKHYA ENTERPRISES/LUCKNOW</t>
  </si>
  <si>
    <t>AD3336</t>
  </si>
  <si>
    <t>SHIVAM AGENCY/DELHI</t>
  </si>
  <si>
    <t>DD1402</t>
  </si>
  <si>
    <t>S. K. ENTERPRISE/DUM DUM CANTONMENT</t>
  </si>
  <si>
    <t>AD3358</t>
  </si>
  <si>
    <t>NITYA ENTERPRISES/RANCHI</t>
  </si>
  <si>
    <t>AD4054</t>
  </si>
  <si>
    <t>Thakur Ji enterprises/Faridabad</t>
  </si>
  <si>
    <t>SD0055</t>
  </si>
  <si>
    <t>SAWLA KHANDSARI LAGHU UDHYOG/DATIA</t>
  </si>
  <si>
    <t>AD3534</t>
  </si>
  <si>
    <t>FALODI KRISHI SEWA KENDRA/ZEERAPUR</t>
  </si>
  <si>
    <t>DD1127</t>
  </si>
  <si>
    <t>ANSH ELETRIC AND ELECTRONIC/SADAT</t>
  </si>
  <si>
    <t>AD4277</t>
  </si>
  <si>
    <t>VINAYAK TRADERS/MANAURI</t>
  </si>
  <si>
    <t>AD2884</t>
  </si>
  <si>
    <t>JAI MAA AMBEY TRADERS/ SHUKLAGANJ /</t>
  </si>
  <si>
    <t>D100AD0051</t>
  </si>
  <si>
    <t>PAWAR ENTERPRISES PROP SOHAN RAHANG</t>
  </si>
  <si>
    <t>SD0045</t>
  </si>
  <si>
    <t>AMBIKA ENTERPRISE/AHMEDABAD</t>
  </si>
  <si>
    <t>SD0076</t>
  </si>
  <si>
    <t>M/S JAGDAMBA AGENCY/JABALPUR</t>
  </si>
  <si>
    <t>DD0861</t>
  </si>
  <si>
    <t>TRISHUL ENTERPRISES/KOTA</t>
  </si>
  <si>
    <t>DD0553</t>
  </si>
  <si>
    <t>KRISHNA GENERAL STORE/ SUMERPUR</t>
  </si>
  <si>
    <t>SD0031</t>
  </si>
  <si>
    <t>TANESHA ENTERPRISES/AGRA</t>
  </si>
  <si>
    <t>DD0451</t>
  </si>
  <si>
    <t>RAJU ELECTRONICS/ BEHROR</t>
  </si>
  <si>
    <t>DD0035</t>
  </si>
  <si>
    <t>ANIL GENERAL STORE/BUNDI</t>
  </si>
  <si>
    <t>AD2351</t>
  </si>
  <si>
    <t>SANJAY DISTRIBUTORS/Ahmadnager</t>
  </si>
  <si>
    <t>DD0001</t>
  </si>
  <si>
    <t>SHREE NAURANG ELECTRONICS/CHURU</t>
  </si>
  <si>
    <t>DD0358</t>
  </si>
  <si>
    <t>M/S KOHINOOR COMPUTERS / SATNA – CO</t>
  </si>
  <si>
    <t>AD1994</t>
  </si>
  <si>
    <t>BARNWAL GENERAL STORE/BANKATA</t>
  </si>
  <si>
    <t>AD2905</t>
  </si>
  <si>
    <t>OM ENTERPRISES/ MUMBAI / NALLASOPAR</t>
  </si>
  <si>
    <t>AD2823</t>
  </si>
  <si>
    <t>JYOTI ENTERPRISES / PCMC – TATHWADE</t>
  </si>
  <si>
    <t>SDS0040</t>
  </si>
  <si>
    <t>NIKHIL ENTERPRISES/DALTONGANJ</t>
  </si>
  <si>
    <t>AD3500</t>
  </si>
  <si>
    <t>KAILASH ENTERPRISE/AHMEDABAD</t>
  </si>
  <si>
    <t>AD2197</t>
  </si>
  <si>
    <t>SUDITI ENTERPRISES</t>
  </si>
  <si>
    <t>AD2123</t>
  </si>
  <si>
    <t>KAMAL TEA COMPANY /NOHAR)</t>
  </si>
  <si>
    <t>AD2122</t>
  </si>
  <si>
    <t>LADHU RAM RAJKUMAR/HANUMANGARH)</t>
  </si>
  <si>
    <t>SDS0008</t>
  </si>
  <si>
    <t>AJAY TRADING COMPANY/JODHPUR</t>
  </si>
  <si>
    <t>AD1544</t>
  </si>
  <si>
    <t>HIRALAL BARMESHWAR NATH/RANIGANJ</t>
  </si>
  <si>
    <t>AD1423</t>
  </si>
  <si>
    <t>VIJAY SALES/BALAGHAT</t>
  </si>
  <si>
    <t>AD2907</t>
  </si>
  <si>
    <t>SD TRADERS/ BASTI / MARWATIYA</t>
  </si>
  <si>
    <t>AD1325</t>
  </si>
  <si>
    <t>MANOJ TRADING CO./DEORIA</t>
  </si>
  <si>
    <t>DD0046</t>
  </si>
  <si>
    <t>SEEMA ELECTRONICS / BALLIA</t>
  </si>
  <si>
    <t>DD0947</t>
  </si>
  <si>
    <t>JAHAWAR ENTERPRISES/UJJAIN</t>
  </si>
  <si>
    <t>AD0042</t>
  </si>
  <si>
    <t>TIRUPATI ENTERPRISES [KENDRIYA BHAN  NEW DELHI</t>
  </si>
  <si>
    <t>DD1424</t>
  </si>
  <si>
    <t>UMA AGENCY/SATNA</t>
  </si>
  <si>
    <t>AD1767</t>
  </si>
  <si>
    <t>SHRI HANS KRIPA MOBILE CENTER/KHARG</t>
  </si>
  <si>
    <t>AD3764</t>
  </si>
  <si>
    <t>DATTA ENTERPRISES / RAMRAJATALA</t>
  </si>
  <si>
    <t>SD0122</t>
  </si>
  <si>
    <t>M/S SHRUTI ENTERPRISES/BHAGALPUR</t>
  </si>
  <si>
    <t>AD4044</t>
  </si>
  <si>
    <t>AVANTI VENTURE/INDORE</t>
  </si>
  <si>
    <t>AD2105</t>
  </si>
  <si>
    <t>SHANKARLAL SOHANLAL BASER/CHITTOR G</t>
  </si>
  <si>
    <t>AD2062</t>
  </si>
  <si>
    <t>PUJA MARKETING /BIKANER)</t>
  </si>
  <si>
    <t>DD1146</t>
  </si>
  <si>
    <t>SACHIDANAND ENTERPRISES/GORAKHPUR</t>
  </si>
  <si>
    <t>DD1068</t>
  </si>
  <si>
    <t>TOMAR &amp; SON'S ELECTRICALS/BIDHUNA</t>
  </si>
  <si>
    <t>AD4232</t>
  </si>
  <si>
    <t>SHREE SHUBHAM ENTERPRISES/UDAIPUR</t>
  </si>
  <si>
    <t>AD4175</t>
  </si>
  <si>
    <t>PSRJ TRADERS/VARANASI</t>
  </si>
  <si>
    <t>AD4129</t>
  </si>
  <si>
    <t>Diamond Enterprises/Katghar</t>
  </si>
  <si>
    <t>SD0078</t>
  </si>
  <si>
    <t>SHRI VAISHNO TRADERS/MORADABAD</t>
  </si>
  <si>
    <t>AD2898</t>
  </si>
  <si>
    <t>SAI STATIONERY/ DELHI / KAPASHERA</t>
  </si>
  <si>
    <t>SD0092</t>
  </si>
  <si>
    <t>Jai Ambey Traders/Kanpur</t>
  </si>
  <si>
    <t>AD4368</t>
  </si>
  <si>
    <t>M/S JAI RADHEY TRADERS/PIPRAICH</t>
  </si>
  <si>
    <t>AD4353</t>
  </si>
  <si>
    <t>FRIENDS MARKETING/JAIPUR</t>
  </si>
  <si>
    <t>AD2014</t>
  </si>
  <si>
    <t>AGARWAL AGENCIES/ALWAR)</t>
  </si>
  <si>
    <t>AD2044</t>
  </si>
  <si>
    <t>AGARSEN/TRADERS/BHAWANI MANDI)</t>
  </si>
  <si>
    <t>AD2800</t>
  </si>
  <si>
    <t>BANSAL TRADING COMPANY/ BIKANER</t>
  </si>
  <si>
    <t>DD0327</t>
  </si>
  <si>
    <t>RUCHI  TRADERS: LUCKNOW</t>
  </si>
  <si>
    <t>AD4091</t>
  </si>
  <si>
    <t>JAI MATA DEE SALES/BHOPAL</t>
  </si>
  <si>
    <t>SDS0076</t>
  </si>
  <si>
    <t>FAME ENTERPRISE/SURAT</t>
  </si>
  <si>
    <t>AD1022</t>
  </si>
  <si>
    <t>RK TRADING / SURAT</t>
  </si>
  <si>
    <t>SDS0015</t>
  </si>
  <si>
    <t>STAR MARKETING/VADODARA</t>
  </si>
  <si>
    <t>AD4229</t>
  </si>
  <si>
    <t>ADITYA ENTERPRISE/NAMCHI</t>
  </si>
  <si>
    <t>AD3565</t>
  </si>
  <si>
    <t>HARIOM TRADERS/HUSSAINPUR SULTAN</t>
  </si>
  <si>
    <t>AD3566</t>
  </si>
  <si>
    <t>MAYUR GLOBAL POWER/VASIND</t>
  </si>
  <si>
    <t>SDS0082</t>
  </si>
  <si>
    <t>SUNIL KUMAR MITHUN KUMAR/MAKKHANPUR</t>
  </si>
  <si>
    <t>AD2169</t>
  </si>
  <si>
    <t>EXPERT TIME IND.PVT.LTD.</t>
  </si>
  <si>
    <t>SDS0063</t>
  </si>
  <si>
    <t>ATUL ENTERPRISE/MASLANDAPUR</t>
  </si>
  <si>
    <t>DD0378</t>
  </si>
  <si>
    <t>BALAJI AGENCY/ AMBIKAPUR</t>
  </si>
  <si>
    <t>DD1365</t>
  </si>
  <si>
    <t>NEW KINJAL ELECTRICALS/SANTRAMPUR</t>
  </si>
  <si>
    <t>AD4275</t>
  </si>
  <si>
    <t>ISHWAR ENTERPRIESES/NAGPUR</t>
  </si>
  <si>
    <t>AD2611</t>
  </si>
  <si>
    <t>TIRUPATI DETERGENTS/MEERUT</t>
  </si>
  <si>
    <t>AD4170</t>
  </si>
  <si>
    <t>SWAPNA ENTERPRISE/KOLKATA</t>
  </si>
  <si>
    <t>AD3555</t>
  </si>
  <si>
    <t>SANVI TRADING COMPANY/FAZILNAGAR</t>
  </si>
  <si>
    <t>AD1250</t>
  </si>
  <si>
    <t>Pawan Kumar &amp; Co/Qadian</t>
  </si>
  <si>
    <t>SDS0012</t>
  </si>
  <si>
    <t>WANI TRADING CO/BUDGAM</t>
  </si>
  <si>
    <t>SDS0067</t>
  </si>
  <si>
    <t>MAA PADMA ENTERPRISE/BOLPUR</t>
  </si>
  <si>
    <t>DD1381</t>
  </si>
  <si>
    <t>MUKESH KUMAR RAMESH KUMAR/KUDI BALO</t>
  </si>
  <si>
    <t>AD3497</t>
  </si>
  <si>
    <t>UNIQUE SALES/BHIWANDI</t>
  </si>
  <si>
    <t>DD1349</t>
  </si>
  <si>
    <t>M/S SAI NATH TRADERS/BAREILLY</t>
  </si>
  <si>
    <t>AD0354</t>
  </si>
  <si>
    <t>M. F. &amp; SONS / RAMPUR</t>
  </si>
  <si>
    <t>AD2083</t>
  </si>
  <si>
    <t>SHREE MUKTI AGENCIES/NAGOUR)</t>
  </si>
  <si>
    <t>DD1389</t>
  </si>
  <si>
    <t>Akhil Trading company/Pilibhit</t>
  </si>
  <si>
    <t>AD1386</t>
  </si>
  <si>
    <t>KRISHNA TRADERS / LOHAGHAT</t>
  </si>
  <si>
    <t>AD0880</t>
  </si>
  <si>
    <t>GOPAL SALES AGENCIES / AMRITSAR</t>
  </si>
  <si>
    <t>DD0864</t>
  </si>
  <si>
    <t>NAVKAR TRADERS/RAFIGANJ</t>
  </si>
  <si>
    <t>CSAD0252</t>
  </si>
  <si>
    <t>M/S ASHISH KUMAR/RAMGARH</t>
  </si>
  <si>
    <t>AD3326</t>
  </si>
  <si>
    <t>SHYAMA SHYAM TRADING COMPANY/SANOUR</t>
  </si>
  <si>
    <t>DD0409</t>
  </si>
  <si>
    <t>MALANI ELECTRONICS/ GUDAMALANI / NE</t>
  </si>
  <si>
    <t>AD2556</t>
  </si>
  <si>
    <t>SHUBHAM TRADERS/HALDWANI</t>
  </si>
  <si>
    <t>AD0048</t>
  </si>
  <si>
    <t>GOYAL AGENCIES / HALDWANI</t>
  </si>
  <si>
    <t>SDS0007</t>
  </si>
  <si>
    <t>SIDDHI SALES/KOTA – DADABARI</t>
  </si>
  <si>
    <t>AD3335</t>
  </si>
  <si>
    <t>MANJHI SALES/KOTA</t>
  </si>
  <si>
    <t>AD4008</t>
  </si>
  <si>
    <t>AKASH AGENCY/TRIBENI</t>
  </si>
  <si>
    <t>AD1595</t>
  </si>
  <si>
    <t>SHIKHAR TRADERS/SHANKARGARH</t>
  </si>
  <si>
    <t>AD2647</t>
  </si>
  <si>
    <t>JAI BADRI NARAYAN TRADERS / DANIYA</t>
  </si>
  <si>
    <t>AD2278</t>
  </si>
  <si>
    <t>SURAJ MARKETING NAGPUR</t>
  </si>
  <si>
    <t>DD0454</t>
  </si>
  <si>
    <t>RAJ ELECTRICALS AND ELECTRONICS</t>
  </si>
  <si>
    <t>DD0044</t>
  </si>
  <si>
    <t>MAA SHARDA ELECTRONICS/GHAZIPUR</t>
  </si>
  <si>
    <t>AD2287</t>
  </si>
  <si>
    <t>DISHANK ENTERPRISES/KATOL</t>
  </si>
  <si>
    <t>DD0248</t>
  </si>
  <si>
    <t>AMAN ELECTRICALS AND ALECTRONICS/LA R</t>
  </si>
  <si>
    <t>AD4337</t>
  </si>
  <si>
    <t>STAR ENTERPRISES/NAGPUR</t>
  </si>
  <si>
    <t>AD3347</t>
  </si>
  <si>
    <t>JAI DURGA TRADING COMPANY/BHADRA</t>
  </si>
  <si>
    <t>AD4314</t>
  </si>
  <si>
    <t>SHRI BALAJI TRADERS/NASHIK</t>
  </si>
  <si>
    <t>DD1354</t>
  </si>
  <si>
    <t>GYAN INNOVATIONS/PRAYAGRAJ</t>
  </si>
  <si>
    <t>DD0293</t>
  </si>
  <si>
    <t>AMIT ELECTRIC &amp; ELECTRONICS/BIKANER</t>
  </si>
  <si>
    <t>AD2212</t>
  </si>
  <si>
    <t>PRASAD ELECTRICALS</t>
  </si>
  <si>
    <t>AD3755</t>
  </si>
  <si>
    <t>SRIKANTA SADHUKHAN / SEALDAH</t>
  </si>
  <si>
    <t>SDS0116</t>
  </si>
  <si>
    <t>SHYAM TRADERS/SARUPATHER</t>
  </si>
  <si>
    <t>AD3235</t>
  </si>
  <si>
    <t>POKRAN AGENCY/POKRAN</t>
  </si>
  <si>
    <t>AD4360</t>
  </si>
  <si>
    <t>SHARMA AGENCY/MANASA</t>
  </si>
  <si>
    <t>AD3096</t>
  </si>
  <si>
    <t>AAKRITI SALES/ JAMSHEDPUR</t>
  </si>
  <si>
    <t>DD1176</t>
  </si>
  <si>
    <t>CITY LIGHT AND COMPANY/RUDAULI</t>
  </si>
  <si>
    <t>AD0292</t>
  </si>
  <si>
    <t>AJAY AGENCIES/CHANDPUR</t>
  </si>
  <si>
    <t>AD3900</t>
  </si>
  <si>
    <t>RAHUL TRADERS / SHERGHATI</t>
  </si>
  <si>
    <t>AD1580</t>
  </si>
  <si>
    <t>S R TRADERS/BARHAPUR</t>
  </si>
  <si>
    <t>AD4164</t>
  </si>
  <si>
    <t>KARMAN ENTERPRISES/KAPURTHALA</t>
  </si>
  <si>
    <t>SDS0028</t>
  </si>
  <si>
    <t>SIRI RAM ENTERPRISES/MUZAFFAR NAGAR</t>
  </si>
  <si>
    <t>DD1315</t>
  </si>
  <si>
    <t>M/S ANKIT ELECTRIC AND SANITARYWARE</t>
  </si>
  <si>
    <t>AD0204</t>
  </si>
  <si>
    <t>POPLI WEARS / NABHA</t>
  </si>
  <si>
    <t>AD2658</t>
  </si>
  <si>
    <t>SHARMA ENTERPRISES/GURAWARA</t>
  </si>
  <si>
    <t>AD2478</t>
  </si>
  <si>
    <t>A B TRADERS/NAINI</t>
  </si>
  <si>
    <t>CSAD0010</t>
  </si>
  <si>
    <t>NATIONAL STORE/DALHOUSIE</t>
  </si>
  <si>
    <t>SDS0120</t>
  </si>
  <si>
    <t>J.M.D.ASSOCIATES/FARIDABAD</t>
  </si>
  <si>
    <t>AD3316</t>
  </si>
  <si>
    <t>VIKASH BROTHERS/HARDOI</t>
  </si>
  <si>
    <t>AD4196</t>
  </si>
  <si>
    <t>MARBLE HOUSE HUB/KASIA</t>
  </si>
  <si>
    <t>AD3628</t>
  </si>
  <si>
    <t>AMIR LAL VISHNU PRASAD/MOTIHARI</t>
  </si>
  <si>
    <t>AD4204</t>
  </si>
  <si>
    <t>SOM TRADING CORPORATION/KOLKATA</t>
  </si>
  <si>
    <t>DD1087</t>
  </si>
  <si>
    <t>BHARAT ELECTRIC STORE/KONCH</t>
  </si>
  <si>
    <t>AD2068</t>
  </si>
  <si>
    <t>S S TRADERS/JAISALMER</t>
  </si>
  <si>
    <t>CSAD0101</t>
  </si>
  <si>
    <t>PARDEEP KARYANA STORE/ PURBA</t>
  </si>
  <si>
    <t>CSAD0077</t>
  </si>
  <si>
    <t>MANOJ ELECTRICAL AND  ELECTRONICS /</t>
  </si>
  <si>
    <t>AD4292</t>
  </si>
  <si>
    <t>M/s. SUDHA TRADERS/CHHIBRAMAU</t>
  </si>
  <si>
    <t>AD3777</t>
  </si>
  <si>
    <t>GANESH ENTERPRISES / GARDEN REACH</t>
  </si>
  <si>
    <t>AD0839</t>
  </si>
  <si>
    <t>SEMWAL AGENCIES / GOPESWAR</t>
  </si>
  <si>
    <t>AD1733</t>
  </si>
  <si>
    <t>P. K.  AGENCIES /SHIKOHABAD</t>
  </si>
  <si>
    <t>AD1538</t>
  </si>
  <si>
    <t>M J  ENTERPRISES/SARDHNA</t>
  </si>
  <si>
    <t>DD0278</t>
  </si>
  <si>
    <t>NATIONAL ELECTRICALS/BHIKARIPUR</t>
  </si>
  <si>
    <t>AD3655</t>
  </si>
  <si>
    <t>AJANTA SALES AGENCIES / ARRARIA</t>
  </si>
  <si>
    <t>AD3178</t>
  </si>
  <si>
    <t>GUPTA TRADERS/BHADAURA</t>
  </si>
  <si>
    <t>AD3749</t>
  </si>
  <si>
    <t>DUTTA ENTERPRISES / DURGAPUR</t>
  </si>
  <si>
    <t>AD3856</t>
  </si>
  <si>
    <t>ESHITA TRADING/DOMJUR</t>
  </si>
  <si>
    <t>AD4256</t>
  </si>
  <si>
    <t>ANIMA ENTERPRISE/ASANSOL</t>
  </si>
  <si>
    <t>DD1421</t>
  </si>
  <si>
    <t>M/S MANOJ ENTERPRISES/GHAZIPUR</t>
  </si>
  <si>
    <t>AD3696</t>
  </si>
  <si>
    <t>LALA ENTERPRISERS/BHOJPUR</t>
  </si>
  <si>
    <t>D100AD0060</t>
  </si>
  <si>
    <t>M/s Deepak Store/Bishnugarh</t>
  </si>
  <si>
    <t>SD0170</t>
  </si>
  <si>
    <t>SHREE MAHADEV TRADERS/AURANGABAD</t>
  </si>
  <si>
    <t>AD3659</t>
  </si>
  <si>
    <t>KHUSHI GENERAL STORE/KHAGARIA</t>
  </si>
  <si>
    <t>SD0143</t>
  </si>
  <si>
    <t>SUNNY LURBICANT/PURNEA</t>
  </si>
  <si>
    <t>AD0234</t>
  </si>
  <si>
    <t>BUDHA MUL SHIV SHARAN/KANGRA</t>
  </si>
  <si>
    <t>AD3559</t>
  </si>
  <si>
    <t>AGRAWAL TEA COMPANY/GORAKHPUR</t>
  </si>
  <si>
    <t>DD0048</t>
  </si>
  <si>
    <t>ASIA ELECTRONICS/VARANASI</t>
  </si>
  <si>
    <t>DD0682</t>
  </si>
  <si>
    <t>TIRUPATI BALAJI ELECTRICAL/ RUDRAPU</t>
  </si>
  <si>
    <t>AD2310</t>
  </si>
  <si>
    <t>VIJAY GENERAL STORES/AMRAVATI</t>
  </si>
  <si>
    <t>AD3641</t>
  </si>
  <si>
    <t>SARITA AGENCY/SAMASTIPUR</t>
  </si>
  <si>
    <t>SD0172</t>
  </si>
  <si>
    <t>Modi stores/Bhua bichiya</t>
  </si>
  <si>
    <t>AD1142</t>
  </si>
  <si>
    <t>SHRI RAM AGENCY/NER CHOWK</t>
  </si>
  <si>
    <t>DD1142</t>
  </si>
  <si>
    <t>SHYAM TRADERS/Prayagraj</t>
  </si>
  <si>
    <t>DD0715</t>
  </si>
  <si>
    <t>KRISHNA ENTERPRISES/ KAMOTHE</t>
  </si>
  <si>
    <t>SD0072</t>
  </si>
  <si>
    <t>RAJRANI ELECTRICALS/BAREILLY</t>
  </si>
  <si>
    <t>SDS0091</t>
  </si>
  <si>
    <t>PARAS TRADING COMPANY/AMBALA</t>
  </si>
  <si>
    <t>AD2324</t>
  </si>
  <si>
    <t>SHREE GANESH MARKETING/SHEGAON</t>
  </si>
  <si>
    <t>DD0179</t>
  </si>
  <si>
    <t>SHREE GANESH ELECTRICALS/BULANDSHAH</t>
  </si>
  <si>
    <t>AD2237</t>
  </si>
  <si>
    <t>GANPATI SALES</t>
  </si>
  <si>
    <t>AD3362</t>
  </si>
  <si>
    <t>YASHAB SALES/Prayagraj</t>
  </si>
  <si>
    <t>DD0145</t>
  </si>
  <si>
    <t>SHASHI ENTERPRISES/FARRUKHABAD</t>
  </si>
  <si>
    <t>DD1364</t>
  </si>
  <si>
    <t>MUKUND ELECTRICALS/KANPUR</t>
  </si>
  <si>
    <t>AD1872</t>
  </si>
  <si>
    <t>SHREE JAI AMBEY AGENCIES/SHAMLI</t>
  </si>
  <si>
    <t>DD1235</t>
  </si>
  <si>
    <t>PADAM ELECTRICALS AND ELECTRONICS/K</t>
  </si>
  <si>
    <t>DD1425</t>
  </si>
  <si>
    <t>M/S GOYAL TRADERS/BABINA</t>
  </si>
  <si>
    <t>AD4332</t>
  </si>
  <si>
    <t>ARYAN ENTERPRISES/VARANASI</t>
  </si>
  <si>
    <t>DD1051</t>
  </si>
  <si>
    <t>AK ELECTRICALS/MAINPURI</t>
  </si>
  <si>
    <t>AD0093</t>
  </si>
  <si>
    <t>BHAGWAN DASS &amp; CO. / SIRSA</t>
  </si>
  <si>
    <t>AD2849</t>
  </si>
  <si>
    <t>PRAN GENERAL STORE / PALAMPUR – MAI</t>
  </si>
  <si>
    <t>DD1175</t>
  </si>
  <si>
    <t>KALRA ENTERPRISES/RUDRAPUR</t>
  </si>
  <si>
    <t>AD1805</t>
  </si>
  <si>
    <t>R.S. TRADERS/ PANCHKULA</t>
  </si>
  <si>
    <t>AD3607</t>
  </si>
  <si>
    <t>GUPTA AGENCIES / SIWAN</t>
  </si>
  <si>
    <t>AD3533</t>
  </si>
  <si>
    <t>SHRI AMBIKA ENTERPRISES/MUZAFFAR NA</t>
  </si>
  <si>
    <t>AD4356</t>
  </si>
  <si>
    <t>JSUDAY CONSUMERS PRIVATE LIMITED/JA</t>
  </si>
  <si>
    <t>DD0962</t>
  </si>
  <si>
    <t>M/S RITA GUPTA/DUDHI</t>
  </si>
  <si>
    <t>AD1125</t>
  </si>
  <si>
    <t>MOHAN GEN. STORE / FATEHABAD</t>
  </si>
  <si>
    <t>AD1838</t>
  </si>
  <si>
    <t>SHRI BALAJI TRADERS/SURAJ KUND</t>
  </si>
  <si>
    <t>AD3842</t>
  </si>
  <si>
    <t>SAHA VARIETIES STORE/HABRA</t>
  </si>
  <si>
    <t>AD2688</t>
  </si>
  <si>
    <t>VARDHMAN TRADING COMPANY/BAHADURGAR</t>
  </si>
  <si>
    <t>AD3342</t>
  </si>
  <si>
    <t>SHUBHAM ENTERPRISES/BHALUANI</t>
  </si>
  <si>
    <t>AD4248</t>
  </si>
  <si>
    <t>AMAN TRADERS /GAURI BAZAR</t>
  </si>
  <si>
    <t>DD1262</t>
  </si>
  <si>
    <t>M/S ELECTRONICS MAHAL/DARBHANGA</t>
  </si>
  <si>
    <t>AD4138</t>
  </si>
  <si>
    <t>M/S ARJUN ENTERPRISES/TAMKUHI RAJ</t>
  </si>
  <si>
    <t>AD3761</t>
  </si>
  <si>
    <t>DEY TRADERS / CHANDANNAGAR</t>
  </si>
  <si>
    <t>DD1028</t>
  </si>
  <si>
    <t>RAMOLA ELECTRONICS/MEHAL CHAURI</t>
  </si>
  <si>
    <t>AD3819</t>
  </si>
  <si>
    <t>DAS ENTERPRISE/BARANAGAR</t>
  </si>
  <si>
    <t>DD0118</t>
  </si>
  <si>
    <t>JAY HANUMAN MOBILE CENTER/CHHAPAR</t>
  </si>
  <si>
    <t>DD1022</t>
  </si>
  <si>
    <t>SAHANI ELECTRICALS/MATHURA</t>
  </si>
  <si>
    <t>DD0943</t>
  </si>
  <si>
    <t>BARANWAL ELECTRICAL SOLUTION/SAIDPU</t>
  </si>
  <si>
    <t>SDS0041</t>
  </si>
  <si>
    <t>VISHAL TRADING CO/MISRIWALLA</t>
  </si>
  <si>
    <t>SDS0001</t>
  </si>
  <si>
    <t>BANARSI DASS RAMAN KUMAR/JAMMU</t>
  </si>
  <si>
    <t>AD2271</t>
  </si>
  <si>
    <t>C M MARKETING NAGPUR</t>
  </si>
  <si>
    <t>DD0045</t>
  </si>
  <si>
    <t>JAGDAMBA ELECTRONICS/BELTHARA ROAD</t>
  </si>
  <si>
    <t>DD1395</t>
  </si>
  <si>
    <t>JHAMB GENERAL STORE/RAJPURA</t>
  </si>
  <si>
    <t>DD1123</t>
  </si>
  <si>
    <t>TULSI SALES CORPN/AURAIYA</t>
  </si>
  <si>
    <t>DD0389</t>
  </si>
  <si>
    <t>ABHISHEK ELECTRICALS AND SANITARY/</t>
  </si>
  <si>
    <t>DD1257</t>
  </si>
  <si>
    <t>SHREE GANESH ELECTRICAL&amp;ELECTRONI./</t>
  </si>
  <si>
    <t>SD0183</t>
  </si>
  <si>
    <t>KRISHNA ELECTRICAL/JODHPUR</t>
  </si>
  <si>
    <t>SDS0112</t>
  </si>
  <si>
    <t>GANESH GENERAL STORES/BID</t>
  </si>
  <si>
    <t>AD2728</t>
  </si>
  <si>
    <t>DINESH KUMAR SANTOSH KUMAR/BARHAJ</t>
  </si>
  <si>
    <t>DD1199</t>
  </si>
  <si>
    <t>AMAN MOBAIL AND ELECTRIC CENTRE/MAH</t>
  </si>
  <si>
    <t>AD2606</t>
  </si>
  <si>
    <t>NEW SHIVKRUPA SALES/AURANGABAD</t>
  </si>
  <si>
    <t>DD1171</t>
  </si>
  <si>
    <t>SHARMA ELECTRONICS CENTRE/Chhatarpu</t>
  </si>
  <si>
    <t>DD1155</t>
  </si>
  <si>
    <t>GOSWAMI TRADERS/DALTONGANJ</t>
  </si>
  <si>
    <t>AD3044</t>
  </si>
  <si>
    <t>RANIKA ENTERPRISES/ SAGAR</t>
  </si>
  <si>
    <t>SDS0031</t>
  </si>
  <si>
    <t>GANGA ENTERPRISES/GWALIOR</t>
  </si>
  <si>
    <t>SDS0086</t>
  </si>
  <si>
    <t>SUSHMEET ENTERPRISES/RAIPUR</t>
  </si>
  <si>
    <t>AD2355</t>
  </si>
  <si>
    <t>PURNIMA AGENCY/Sangamner</t>
  </si>
  <si>
    <t>AD3505</t>
  </si>
  <si>
    <t>GURUKRUPA ENTERPRISES/AHMEDNAGAR</t>
  </si>
  <si>
    <t>AD3671</t>
  </si>
  <si>
    <t>PANJIYAR MARKETING/SAHARSA</t>
  </si>
  <si>
    <t>AD4227</t>
  </si>
  <si>
    <t>MUSKAN AGENCY/LATEHAR</t>
  </si>
  <si>
    <t>AD2225</t>
  </si>
  <si>
    <t>PUJA STORES</t>
  </si>
  <si>
    <t>AD4231</t>
  </si>
  <si>
    <t>MAA KALI TRADING/RANCHI</t>
  </si>
  <si>
    <t>AD2219</t>
  </si>
  <si>
    <t>BABA GENERAL STORE</t>
  </si>
  <si>
    <t>AD3673</t>
  </si>
  <si>
    <t>JAI MATA DI CYCLE STORES/KOTWA</t>
  </si>
  <si>
    <t>AD3631</t>
  </si>
  <si>
    <t>PAWAN STORE/CHAURADANO</t>
  </si>
  <si>
    <t>AD3614</t>
  </si>
  <si>
    <t>SHANKAR STORES/BARAULI</t>
  </si>
  <si>
    <t>AD3827</t>
  </si>
  <si>
    <t>MAA ENTERPRISE/GANGANAGAR</t>
  </si>
  <si>
    <t>AD3791</t>
  </si>
  <si>
    <t>G.DAS SUPPLIERS / SATMILE</t>
  </si>
  <si>
    <t>AD4201</t>
  </si>
  <si>
    <t>GHOSH ENTERPRISE/SITARAMPUR</t>
  </si>
  <si>
    <t>AD3830</t>
  </si>
  <si>
    <t>REEVU ENTERPRISE/BAGUIHATI</t>
  </si>
  <si>
    <t>AD3825</t>
  </si>
  <si>
    <t>J M B DISTRIBUTOR/HAZRA</t>
  </si>
  <si>
    <t>AD3844</t>
  </si>
  <si>
    <t>SUJATA AGENCY/PARK CIRCUS</t>
  </si>
  <si>
    <t>AD4011</t>
  </si>
  <si>
    <t>J.M.K.GITA TRADERS/BELGHARIA</t>
  </si>
  <si>
    <t>AD3865</t>
  </si>
  <si>
    <t>SHANKAR CHANDRA SAHA AND SONS/SILIG</t>
  </si>
  <si>
    <t>AD4021</t>
  </si>
  <si>
    <t>KRISHNA ENTERPRISE/BIJANBARI</t>
  </si>
  <si>
    <t>SDS0064</t>
  </si>
  <si>
    <t>ESHITA COMMUNICATION / PAKUAHAT</t>
  </si>
  <si>
    <t>AD3847</t>
  </si>
  <si>
    <t>MURSELIM WHOLESALE STORE/MALDA/B</t>
  </si>
  <si>
    <t>SDS0053</t>
  </si>
  <si>
    <t>NARAYAN TRADERS / JIAGANJ</t>
  </si>
  <si>
    <t>AD4247</t>
  </si>
  <si>
    <t>Dinesh Kumar and Sons/Sultanpur</t>
  </si>
  <si>
    <t>AD0449</t>
  </si>
  <si>
    <t>DARSHAN LAL HARISH KR / CHIBRAMAU</t>
  </si>
  <si>
    <t>AD1462</t>
  </si>
  <si>
    <t>GUPTA TRADERS/FATEHPUR</t>
  </si>
  <si>
    <t>AD0392</t>
  </si>
  <si>
    <t>RUPALI ENTERPRISES/BAHERI</t>
  </si>
  <si>
    <t>AD0349</t>
  </si>
  <si>
    <t>KRISHNA ENTERPRISES / KAKORE</t>
  </si>
  <si>
    <t>AD3251</t>
  </si>
  <si>
    <t>MITTAL GENERAL STORE/PITHORAGARH</t>
  </si>
  <si>
    <t>AD4238</t>
  </si>
  <si>
    <t>SAPLING MARKETING &amp; SALES/JAIPUR</t>
  </si>
  <si>
    <t>AD4112</t>
  </si>
  <si>
    <t>BAHUBALI MARKETING/DUNGARPUR</t>
  </si>
  <si>
    <t>AD3259</t>
  </si>
  <si>
    <t>S.S. TRADING COMPANY/JALALABAD</t>
  </si>
  <si>
    <t>AD1368</t>
  </si>
  <si>
    <t>TAYAL TRADING CO./ FARIDABAD</t>
  </si>
  <si>
    <t>AD3041</t>
  </si>
  <si>
    <t>AGGARWAL ENTERPRISES/ HASSANPUR</t>
  </si>
  <si>
    <t>AD3550</t>
  </si>
  <si>
    <t>R S SALES/PANIPAT</t>
  </si>
  <si>
    <t>DD1008</t>
  </si>
  <si>
    <t>SEEMA TRADERS/OBRA</t>
  </si>
  <si>
    <t>DD1418</t>
  </si>
  <si>
    <t>UTTAM ELECTRONICS/VARANASI</t>
  </si>
  <si>
    <t>DD0450</t>
  </si>
  <si>
    <t>SHYAM ELECTRICALS AND ELECTRONICS/</t>
  </si>
  <si>
    <t>CSAD0108</t>
  </si>
  <si>
    <t>SHASHI GENERAL STORE/ BAIJNATH</t>
  </si>
  <si>
    <t>DD0890</t>
  </si>
  <si>
    <t>DHEERAJ TRADERS/DEEHA BAZAR</t>
  </si>
  <si>
    <t>DD1432</t>
  </si>
  <si>
    <t>MODI BROTHERS/ZIRAKPUR</t>
  </si>
  <si>
    <t>CSAD0160</t>
  </si>
  <si>
    <t>AADVIK ENTERPRISES/KUNSAL</t>
  </si>
  <si>
    <t>DD0292</t>
  </si>
  <si>
    <t>RAHMAN ELECTRONIC/SANT KABIR NAGAR</t>
  </si>
  <si>
    <t>AD4188</t>
  </si>
  <si>
    <t>VAISHNAVI ENTERPRISES/BARIYA</t>
  </si>
  <si>
    <t>DD1177</t>
  </si>
  <si>
    <t>PARMAR ELCTRICALS/BHIWANI</t>
  </si>
  <si>
    <t>AD2873</t>
  </si>
  <si>
    <t>MAA VAISHNO AGENCIES /  BIJAULI – N</t>
  </si>
  <si>
    <t>AD4276</t>
  </si>
  <si>
    <t>JHK SERVICES AND SOLUTATIONS/JABALP</t>
  </si>
  <si>
    <t>DD1287</t>
  </si>
  <si>
    <t>Himalay Electrical and Electronics/</t>
  </si>
  <si>
    <t>AD3951</t>
  </si>
  <si>
    <t>MAHI TRADERS/GAYA</t>
  </si>
  <si>
    <t>AD2987</t>
  </si>
  <si>
    <t>BHUMI SALES/ JHAJJAR</t>
  </si>
  <si>
    <t>SD0154</t>
  </si>
  <si>
    <t>DHARNIDHAR ELECTRICALS/SANCHORE</t>
  </si>
  <si>
    <t>SD0126</t>
  </si>
  <si>
    <t>MAYANK ENTERPRISES/BALOTRA</t>
  </si>
  <si>
    <t>D100AD0036</t>
  </si>
  <si>
    <t>M/S GALAXY ENTERPRISES/GUMLA</t>
  </si>
  <si>
    <t>DD0275</t>
  </si>
  <si>
    <t>ARIF ELECTRONICS AND ELECTRICAL/KER</t>
  </si>
  <si>
    <t>SD0158</t>
  </si>
  <si>
    <t>AJAY TRADING CO./PRAYAGRAJ</t>
  </si>
  <si>
    <t>AD2223</t>
  </si>
  <si>
    <t>SRI MAHALAXMI ENTERPRISES</t>
  </si>
  <si>
    <t>DD0482</t>
  </si>
  <si>
    <t>NATRAJ ELECTRICALS/ AKOLA</t>
  </si>
  <si>
    <t>AD1499</t>
  </si>
  <si>
    <t>SUMIT AGENCIES/GADARPUR</t>
  </si>
  <si>
    <t>DD0417</t>
  </si>
  <si>
    <t>SHREE KIRAN STATIONERY AND GENERAL</t>
  </si>
  <si>
    <t>DD0707</t>
  </si>
  <si>
    <t>LAXMI TRADERS/ ALIGARH</t>
  </si>
  <si>
    <t>SDS0096</t>
  </si>
  <si>
    <t>SHREE GANESH ENTERPRISE/PURULIA</t>
  </si>
  <si>
    <t>AD3811</t>
  </si>
  <si>
    <t>NEW WELCOME DISTRIBUTOR / ARAMBAG</t>
  </si>
  <si>
    <t>AD3948</t>
  </si>
  <si>
    <t>MATA SHREE TRADERS/HAVELI KHARAGPUR</t>
  </si>
  <si>
    <t>AD3766</t>
  </si>
  <si>
    <t>NARAYAN ENTERPRISE / RAIGANJ [N]</t>
  </si>
  <si>
    <t>AD0316</t>
  </si>
  <si>
    <t>G R TRADERS / KITHORE</t>
  </si>
  <si>
    <t>DD0325</t>
  </si>
  <si>
    <t>BABA TRADERS/MAHARANI PACHIAM</t>
  </si>
  <si>
    <t>SDS0114</t>
  </si>
  <si>
    <t>LAXMI INFRACON/PHULWARI SHARIF</t>
  </si>
  <si>
    <t>AD3992</t>
  </si>
  <si>
    <t>KUMAR SHOE AND GENERAL STORES/HARSI</t>
  </si>
  <si>
    <t>D100AD0062</t>
  </si>
  <si>
    <t>SSG INDUSTRIES/DHANBAD</t>
  </si>
  <si>
    <t>DD0895</t>
  </si>
  <si>
    <t>TRIPURA ELECTRIC SALES &amp; SERVICE/Bh</t>
  </si>
  <si>
    <t>AD4359</t>
  </si>
  <si>
    <t>BINAH COSMETICS/MEHSANA</t>
  </si>
  <si>
    <t>SD0018</t>
  </si>
  <si>
    <t>PRAGATI ELECTRICALS/KOLHAPUR /L)</t>
  </si>
  <si>
    <t>DD1108</t>
  </si>
  <si>
    <t>SAURABH SHANKAR/JAPLA</t>
  </si>
  <si>
    <t>AD1627</t>
  </si>
  <si>
    <t>SADHANA ENTERPRISES/DHANAPUR</t>
  </si>
  <si>
    <t>AD4357</t>
  </si>
  <si>
    <t>HANS RAJ GUPTA&amp; SONS/PATHANKOT</t>
  </si>
  <si>
    <t>DD0908</t>
  </si>
  <si>
    <t>BOMBAY MOBILE/AHWA</t>
  </si>
  <si>
    <t>DD1331</t>
  </si>
  <si>
    <t>MAHAVIR ELECTRONICS/ AURANGABAD</t>
  </si>
  <si>
    <t>AD3370</t>
  </si>
  <si>
    <t>JAGANNATH TRADING &amp; CO./GURGAON</t>
  </si>
  <si>
    <t>DD0303</t>
  </si>
  <si>
    <t>R N ELECTRONIC REPAIYER SHOP/KADIPU</t>
  </si>
  <si>
    <t>SD0054</t>
  </si>
  <si>
    <t>KHUSHI ENTERPRISES/KONDHAWA</t>
  </si>
  <si>
    <t>DD0211</t>
  </si>
  <si>
    <t>GAURAV ELECTRONICS/DIBAI</t>
  </si>
  <si>
    <t>DD1086</t>
  </si>
  <si>
    <t>PREMCHANDRA SANJAY KUMAR TORCHWALE/</t>
  </si>
  <si>
    <t>DD0693</t>
  </si>
  <si>
    <t>NITISHA TRADERS/ UTTARIPURA</t>
  </si>
  <si>
    <t>AD0143</t>
  </si>
  <si>
    <t>SINGLA DISTRIBUTORS / PEHOWA</t>
  </si>
  <si>
    <t>DD1360</t>
  </si>
  <si>
    <t>M/S ANIS ELECTRICALS/VARANASI</t>
  </si>
  <si>
    <t>SDS0048</t>
  </si>
  <si>
    <t>BAHETI &amp; COMPANY/JORHAT</t>
  </si>
  <si>
    <t>SDS0102</t>
  </si>
  <si>
    <t>MISHUK ENTERPRISE/DARJILING</t>
  </si>
  <si>
    <t>DD0671</t>
  </si>
  <si>
    <t>RAM ELECTRONICS/ KEKRI</t>
  </si>
  <si>
    <t>DD1410</t>
  </si>
  <si>
    <t>MAMAJI ELECTRICALS/JODHPUR</t>
  </si>
  <si>
    <t>DD0158</t>
  </si>
  <si>
    <t>JAMAL ELECTRICALS/ETAWAH</t>
  </si>
  <si>
    <t>DD0477</t>
  </si>
  <si>
    <t>SAI SHRADHA GENRAL AND ELECTRICALS/</t>
  </si>
  <si>
    <t>CSAD0254</t>
  </si>
  <si>
    <t>S K ENTERPRISES/HAZARIBAG</t>
  </si>
  <si>
    <t>SDS0109</t>
  </si>
  <si>
    <t>M/S BALRAM JEE &amp; SONS/DEOGHAR</t>
  </si>
  <si>
    <t>SD0162</t>
  </si>
  <si>
    <t>R.K Enterprises/Patna</t>
  </si>
  <si>
    <t>AD3579</t>
  </si>
  <si>
    <t>GANPATI TRADERS/SARAN</t>
  </si>
  <si>
    <t>AD3782</t>
  </si>
  <si>
    <t>OM TRADING / KOLKATA/WS)</t>
  </si>
  <si>
    <t>DD1407</t>
  </si>
  <si>
    <t>K.K ENTERPRISE/DIAMOND HARBOUR</t>
  </si>
  <si>
    <t>DD1406</t>
  </si>
  <si>
    <t>A M PLASTIC CENTRE/KALIACHAK</t>
  </si>
  <si>
    <t>AD3804</t>
  </si>
  <si>
    <t>MAA SARADA ENTERPRISE / CHAMPADANGA</t>
  </si>
  <si>
    <t>DD1042</t>
  </si>
  <si>
    <t>VIDEO TECH ENTERPRISES/Prayagraj</t>
  </si>
  <si>
    <t>DD0263</t>
  </si>
  <si>
    <t>HEMANT KATIYAR/SIKANDRA</t>
  </si>
  <si>
    <t>SD0127</t>
  </si>
  <si>
    <t>SHUBHAM ELECTRONICS/VARANASI</t>
  </si>
  <si>
    <t>SD0083</t>
  </si>
  <si>
    <t>ARYA AGENCIES/LOHARDAGA</t>
  </si>
  <si>
    <t>DD0111</t>
  </si>
  <si>
    <t>INTER CRAFT/NALLASOPARA</t>
  </si>
  <si>
    <t>DD1131</t>
  </si>
  <si>
    <t>HIMANSHU INTERPRISES/BAGESHWAR</t>
  </si>
  <si>
    <t>DD0342</t>
  </si>
  <si>
    <t>SHORABH ELECTRONICS &amp; ELECTRICALS /</t>
  </si>
  <si>
    <t>DD0711</t>
  </si>
  <si>
    <t>SONI ELECTRIC/ NAWADA</t>
  </si>
  <si>
    <t>AD4074</t>
  </si>
  <si>
    <t>MITHILESH ENTERPRISES/DARBHANGA</t>
  </si>
  <si>
    <t>DD1363</t>
  </si>
  <si>
    <t>M/S MRITTIKA. ELECTRIC/KALIBARI</t>
  </si>
  <si>
    <t>DD0430</t>
  </si>
  <si>
    <t>DEEPAK GIFT CENTER/ AJUHA / WARD NO</t>
  </si>
  <si>
    <t>DD0184</t>
  </si>
  <si>
    <t>DWIVEDI AND SONS/BAHUA</t>
  </si>
  <si>
    <t>DD0281</t>
  </si>
  <si>
    <t>L .B . ELECTRONICS AND BROTHERS/BHA</t>
  </si>
  <si>
    <t>AD1960</t>
  </si>
  <si>
    <t>SHIVMILAN GENERAL STORE/ DHARMSING</t>
  </si>
  <si>
    <t>DD0598</t>
  </si>
  <si>
    <t>HRUSHABH ELECTRIC &amp; HARDWARE/ VIRAR</t>
  </si>
  <si>
    <t>DD0535</t>
  </si>
  <si>
    <t>SURAJ MOBILE/ LOHARDAGA</t>
  </si>
  <si>
    <t>AD3521</t>
  </si>
  <si>
    <t>HARI OM TRADERS/RENUKOOT</t>
  </si>
  <si>
    <t>DD0755</t>
  </si>
  <si>
    <t>JAGDAMBA RADIO &amp; WATCH HOUSE/ RENWA</t>
  </si>
  <si>
    <t>D100AD0037</t>
  </si>
  <si>
    <t>MAA TARU ELECTRICALS/MORIGAON</t>
  </si>
  <si>
    <t>SD0101</t>
  </si>
  <si>
    <t>RONI ELECTRIC/BARUIPUR/CF)</t>
  </si>
  <si>
    <t>SD0077</t>
  </si>
  <si>
    <t>AGRAWAL MOBILE AND ELECTRIC/VARANAS</t>
  </si>
  <si>
    <t>DD1399</t>
  </si>
  <si>
    <t>Baba Traders</t>
  </si>
  <si>
    <t>DD1283</t>
  </si>
  <si>
    <t>M/S VDR GROUP/GAHMAR</t>
  </si>
  <si>
    <t>DD1208</t>
  </si>
  <si>
    <t>ASHOKA ELECTRICALS/Bedaula</t>
  </si>
  <si>
    <t>DD0456</t>
  </si>
  <si>
    <t>KASAUDHAN ELECTRONIC/ GHAZIPUR</t>
  </si>
  <si>
    <t>DD0423</t>
  </si>
  <si>
    <t>HIND ENTERPRISES/ KASIA / BAIRIYA</t>
  </si>
  <si>
    <t>AD3516</t>
  </si>
  <si>
    <t>R R ENTERPRISES/VARANASI – LUXA</t>
  </si>
  <si>
    <t>AD0602</t>
  </si>
  <si>
    <t>S A ENTERPRISES / VARANASI</t>
  </si>
  <si>
    <t>SD0091</t>
  </si>
  <si>
    <t>MITTAL ENTERPRISES/JALANDHAR</t>
  </si>
  <si>
    <t>DD1182</t>
  </si>
  <si>
    <t>PIYUSH MOBILE &amp; ELECTRONICS/DEOGHAR</t>
  </si>
  <si>
    <t>CSAD0246</t>
  </si>
  <si>
    <t>M/S AKSHAT ENTERPRISES/GIRIDIH</t>
  </si>
  <si>
    <t>CSAD0224</t>
  </si>
  <si>
    <t>OM TRADERS/Mungrabadsahpur</t>
  </si>
  <si>
    <t>SDS0084</t>
  </si>
  <si>
    <t>KALPANA ENTERPRISES/DARBHANGA</t>
  </si>
  <si>
    <t>D100AD0049</t>
  </si>
  <si>
    <t>MAMTA ENTERPRISES/ARWAL</t>
  </si>
  <si>
    <t>AD4017</t>
  </si>
  <si>
    <t>PAWAN COMMUNICATION/MADHUBANI</t>
  </si>
  <si>
    <t>DD1385</t>
  </si>
  <si>
    <t>SHIVAM TRADERS/MATHURA</t>
  </si>
  <si>
    <t>DD0733</t>
  </si>
  <si>
    <t>MAHAK TRADERS/ MASWASI</t>
  </si>
  <si>
    <t>SD0034</t>
  </si>
  <si>
    <t>SAWARIYA ELECTRICALS/KANPUR</t>
  </si>
  <si>
    <t>DD0439</t>
  </si>
  <si>
    <t>RAM JI TRADERS/ BEWAR</t>
  </si>
  <si>
    <t>DD0336</t>
  </si>
  <si>
    <t>DEV ELECTRONICS/ PADRAUNA – JATAHA</t>
  </si>
  <si>
    <t>DD1393</t>
  </si>
  <si>
    <t>M/S Nikhil Electricals/Satna</t>
  </si>
  <si>
    <t>DD0726</t>
  </si>
  <si>
    <t>VIJAY TRADERS/ JABALPUR</t>
  </si>
  <si>
    <t>AD1021</t>
  </si>
  <si>
    <t>RAJESH KUMAR AGRAWAL/SEONI MALVA</t>
  </si>
  <si>
    <t>SD0147</t>
  </si>
  <si>
    <t>Vivek Enterprise/Raipur</t>
  </si>
  <si>
    <t>DD0764</t>
  </si>
  <si>
    <t>MAYA ELECTRICAL &amp; ELECTRONICS/ RAMA</t>
  </si>
  <si>
    <t>AD3981</t>
  </si>
  <si>
    <t>RAKHI ELECTRIC/FATEHPUR</t>
  </si>
  <si>
    <t>AD3694</t>
  </si>
  <si>
    <t>AKSH ENTERPRISES/PATNA</t>
  </si>
  <si>
    <t>DD0093</t>
  </si>
  <si>
    <t>TANISHK ELECTRICALS/RATH</t>
  </si>
  <si>
    <t>AD3109</t>
  </si>
  <si>
    <t>NEW PRAKASH REDIO AND WATCH COMPANY</t>
  </si>
  <si>
    <t>DD1328</t>
  </si>
  <si>
    <t>MAURYA ELECTRONIC SALES AND SERVICE</t>
  </si>
  <si>
    <t>DD1291</t>
  </si>
  <si>
    <t>P. S. DISTRIBUTIONS/VARANASI</t>
  </si>
  <si>
    <t>AD1548</t>
  </si>
  <si>
    <t>KASHIKA TRADERS/BHADOHI</t>
  </si>
  <si>
    <t>SD0128</t>
  </si>
  <si>
    <t>AMBAY TRADING COMPANY/AMRITSAR</t>
  </si>
  <si>
    <t>AD4190</t>
  </si>
  <si>
    <t>KANHA ENTERPRISES/AMRITSAR</t>
  </si>
  <si>
    <t>AD2665</t>
  </si>
  <si>
    <t>CITY DISTRIBUTORS/MOGA</t>
  </si>
  <si>
    <t>DD1062</t>
  </si>
  <si>
    <t>KAPOOR ELECTRICALS/GURGAON</t>
  </si>
  <si>
    <t>D100AD0027</t>
  </si>
  <si>
    <t>M/S SURYA LIGHT/SATNA</t>
  </si>
  <si>
    <t>AD3042</t>
  </si>
  <si>
    <t>DAKSH MARKETING/ INDORE</t>
  </si>
  <si>
    <t>SD0169</t>
  </si>
  <si>
    <t>Shri Karani Kripa Enterprises/Jaipu</t>
  </si>
  <si>
    <t>SD0166</t>
  </si>
  <si>
    <t>RAJASTHAN TRADERS/PALI</t>
  </si>
  <si>
    <t>SD0036</t>
  </si>
  <si>
    <t>KHALSA ENTERPRISES/KOTA</t>
  </si>
  <si>
    <t>AD4200</t>
  </si>
  <si>
    <t>GOURANSH ENTERPRISES/JODHPUR</t>
  </si>
  <si>
    <t>AD2076</t>
  </si>
  <si>
    <t>A.M.DISTRIBUTORS /ABU ROAD )</t>
  </si>
  <si>
    <t>DD1368</t>
  </si>
  <si>
    <t>SHREE MAYUR ELECTRICALS/MUMBAI</t>
  </si>
  <si>
    <t>AD2060</t>
  </si>
  <si>
    <t>PRAVEEN &amp; COMPANY/PHALODI)</t>
  </si>
  <si>
    <t>D100AD0008</t>
  </si>
  <si>
    <t>MISHRA ENTERPRISES/RAMGARH</t>
  </si>
  <si>
    <t>AD3971</t>
  </si>
  <si>
    <t>SHREYAM ENTERPRISES/PATNA</t>
  </si>
  <si>
    <t>AD3570</t>
  </si>
  <si>
    <t>S K TRADERS/AMARPUR</t>
  </si>
  <si>
    <t>AD4087</t>
  </si>
  <si>
    <t>Minati Agency/Muradi</t>
  </si>
  <si>
    <t>SD0094</t>
  </si>
  <si>
    <t>VASU ELECTRICALS/LUCKNOW</t>
  </si>
  <si>
    <t>AD3473</t>
  </si>
  <si>
    <t>SANGAM AGENCIES/NANPARA</t>
  </si>
  <si>
    <t>SD0152</t>
  </si>
  <si>
    <t>Neha Traders/Varanasi</t>
  </si>
  <si>
    <t>DD0452</t>
  </si>
  <si>
    <t>OM AYUSH AGENCY/ TAMKUHI ROAD</t>
  </si>
  <si>
    <t>AD4193</t>
  </si>
  <si>
    <t>NANDI TRADERS/ANAND NAGAR</t>
  </si>
  <si>
    <t>SD0164</t>
  </si>
  <si>
    <t>S R ENTERPRIESES/TARAGARH</t>
  </si>
  <si>
    <t>AD4093</t>
  </si>
  <si>
    <t>AGGARWAL TRADING COMPANY/AMBALA</t>
  </si>
  <si>
    <t>AD4198</t>
  </si>
  <si>
    <t>VINAYAK ENTERPRISES/BHOPAL</t>
  </si>
  <si>
    <t>D100AD0012</t>
  </si>
  <si>
    <t>SANDEEP ELECTRIC STORE/NEEM KA THAN</t>
  </si>
  <si>
    <t>AD4145</t>
  </si>
  <si>
    <t>JANISHA PHARMA/THANE</t>
  </si>
  <si>
    <t>AD2173</t>
  </si>
  <si>
    <t>J.B.AGENCY</t>
  </si>
  <si>
    <t>SD0120</t>
  </si>
  <si>
    <t>KHUSHI ENTERPRISES/GAYA/CF)</t>
  </si>
  <si>
    <t>SDS0110</t>
  </si>
  <si>
    <t>NATIONAL AGENCY/PAKUR</t>
  </si>
  <si>
    <t>D100AD0061</t>
  </si>
  <si>
    <t>M/S SHIVANI ENTERPRISES/JEHANABAD</t>
  </si>
  <si>
    <t>AD3573</t>
  </si>
  <si>
    <t>SHANTANU ENTERPRISES/BHAGWANPUR</t>
  </si>
  <si>
    <t>DD0280</t>
  </si>
  <si>
    <t>VINAY ELECTRIC/JANGIPUR</t>
  </si>
  <si>
    <t>DD1350</t>
  </si>
  <si>
    <t>SOBIYA STATIONERY/UMBERGAON</t>
  </si>
  <si>
    <t>DD0650</t>
  </si>
  <si>
    <t>AJAY GENRAL STORE/ BUDHANA</t>
  </si>
  <si>
    <t>SDS0080</t>
  </si>
  <si>
    <t>BHAWANI SALES CORPORATION/AKOLA</t>
  </si>
  <si>
    <t>DD1367</t>
  </si>
  <si>
    <t>MISHKA ENTERPRISES/SITAMARHI</t>
  </si>
  <si>
    <t>AD4105</t>
  </si>
  <si>
    <t>GARG TRADERS/DELHI</t>
  </si>
  <si>
    <t>DD1264</t>
  </si>
  <si>
    <t>SANTOSH ELECTRIC HOUSE/SIWAN</t>
  </si>
  <si>
    <t>AD2417</t>
  </si>
  <si>
    <t>GANESH GENRAL STORES/BEED</t>
  </si>
  <si>
    <t>SDS0058</t>
  </si>
  <si>
    <t>RANU DISTRIBUTOR/KESHPUR</t>
  </si>
  <si>
    <t>DD1353</t>
  </si>
  <si>
    <t>RAJ GOLD ENTERPRISES/PATNA</t>
  </si>
  <si>
    <t>AD2812</t>
  </si>
  <si>
    <t>PINNACLE TRADERS &amp; DISTRIBUTOR / MU</t>
  </si>
  <si>
    <t>CSAD0200</t>
  </si>
  <si>
    <t>CHAUHAN ELECTRONICS &amp; COMMUNICATION</t>
  </si>
  <si>
    <t>AD4097</t>
  </si>
  <si>
    <t>SARAL TRADE LINK/BHOPAL</t>
  </si>
  <si>
    <t>SD0160</t>
  </si>
  <si>
    <t>NELTRON/PATNA</t>
  </si>
  <si>
    <t>DD0126</t>
  </si>
  <si>
    <t>JINDAL ELECTRICALS AND GENERAL STOR JHEEL</t>
  </si>
  <si>
    <t>SD0119</t>
  </si>
  <si>
    <t>FRANCIS STORE/DANAPUR/CF)</t>
  </si>
  <si>
    <t>AD4058</t>
  </si>
  <si>
    <t>YASHIKA TRADING/GURUGAON</t>
  </si>
  <si>
    <t>DD0388</t>
  </si>
  <si>
    <t>BABA LIGHT/ KATIHAR / MANGAL BAZAR</t>
  </si>
  <si>
    <t>AD3978</t>
  </si>
  <si>
    <t>MAHADEV GENRAL STORE/GARKHA/A</t>
  </si>
  <si>
    <t>AD2956</t>
  </si>
  <si>
    <t>SOMYA AGENCIES/ KANPUR</t>
  </si>
  <si>
    <t>SDS0054</t>
  </si>
  <si>
    <t>KUNDU ENTERPRISE/KOTULPUR</t>
  </si>
  <si>
    <t>AD2796</t>
  </si>
  <si>
    <t>SHRI RAM ENTERPRISES/ GORAKHPUR</t>
  </si>
  <si>
    <t>DD1370</t>
  </si>
  <si>
    <t>GUPTA ELECTRICALS &amp; ELECTRONICS/MOL</t>
  </si>
  <si>
    <t>AD4024</t>
  </si>
  <si>
    <t>AVISHEK BHANDAR/BALARAMPUR</t>
  </si>
  <si>
    <t>DD1347</t>
  </si>
  <si>
    <t>SHREE BALA JI TRADERS/MENHDAWAL</t>
  </si>
  <si>
    <t>DD0068</t>
  </si>
  <si>
    <t>ASHA ELECTRONICS/JHANSI</t>
  </si>
  <si>
    <t>AD3621</t>
  </si>
  <si>
    <t>AAYUSH ENTERPRISES/BETTIAH/B</t>
  </si>
  <si>
    <t>AD4206</t>
  </si>
  <si>
    <t>M/S RAJ TRADERS/MAHARAJGANJ</t>
  </si>
  <si>
    <t>AD3577</t>
  </si>
  <si>
    <t>KESHAV ENTERPRISES/DARBHANGA</t>
  </si>
  <si>
    <t>DD0938</t>
  </si>
  <si>
    <t>SAINI GENERAL STORE/TARAGARH</t>
  </si>
  <si>
    <t>SD0167</t>
  </si>
  <si>
    <t>SHIV MAHIMA TRADING COMPANY/NAGOUR</t>
  </si>
  <si>
    <t>AD4099</t>
  </si>
  <si>
    <t>SHREE PARSHVANATH AGENCIES/PANVEL</t>
  </si>
  <si>
    <t>AD3322</t>
  </si>
  <si>
    <t>SANJAY AGENCIES/NANI DAMAN</t>
  </si>
  <si>
    <t>AD4136</t>
  </si>
  <si>
    <t>M/S GOPAL ENTERPRISE/KOLKATA</t>
  </si>
  <si>
    <t>AD0090</t>
  </si>
  <si>
    <t>BALA JI SALES AGENCY / JIND</t>
  </si>
  <si>
    <t>AD4134</t>
  </si>
  <si>
    <t>SADHUKHAN DISTRIBUTORS/PANDUA</t>
  </si>
  <si>
    <t>DD0471</t>
  </si>
  <si>
    <t>SHRAWASTI AGENCIES/ GONDA</t>
  </si>
  <si>
    <t>DD1285</t>
  </si>
  <si>
    <t>New Chahat Electronics/Pratapgarh</t>
  </si>
  <si>
    <t>DD1298</t>
  </si>
  <si>
    <t>AJMERI MEDICOSE/CHATUKHEDA</t>
  </si>
  <si>
    <t>SD0140</t>
  </si>
  <si>
    <t>SHREE GUPTA ELECTRICAL/AURANGABAD</t>
  </si>
  <si>
    <t>DD0567</t>
  </si>
  <si>
    <t>SHANE/E/ALAM TRADER'S/ SWAR</t>
  </si>
  <si>
    <t>AD4084</t>
  </si>
  <si>
    <t>ARS AGENCY/MUNGER</t>
  </si>
  <si>
    <t>DD0976</t>
  </si>
  <si>
    <t>MAYA ELECTRIC/KALYANI</t>
  </si>
  <si>
    <t>DD0930</t>
  </si>
  <si>
    <t>GUPTA SALES GROUP/INDORE</t>
  </si>
  <si>
    <t>DD0565</t>
  </si>
  <si>
    <t>SURENDRA KUMAR/ KHAGA</t>
  </si>
  <si>
    <t>D100AD0052</t>
  </si>
  <si>
    <t>MOHAN ENTERPRISES/GAYA</t>
  </si>
  <si>
    <t>DD0415</t>
  </si>
  <si>
    <t>JONY ELECTRICALS/ AFJALGARH / MOH K</t>
  </si>
  <si>
    <t>DD1231</t>
  </si>
  <si>
    <t>SHIV ELECTRICAL/HALDAUR</t>
  </si>
  <si>
    <t>SD0161</t>
  </si>
  <si>
    <t>M/S SHRI RAM ENTERPRISES/DAUDNAGAR</t>
  </si>
  <si>
    <t>DD0380</t>
  </si>
  <si>
    <t>JAISWAL ELECTRONICS/ MAU NATH BHANJ</t>
  </si>
  <si>
    <t>DD1320</t>
  </si>
  <si>
    <t>MAJISA ELECTRICALS/SADRI</t>
  </si>
  <si>
    <t>SDS0046</t>
  </si>
  <si>
    <t>M/S SHRI HIRALAL ENTERPRISES/PATNA</t>
  </si>
  <si>
    <t>DD1359</t>
  </si>
  <si>
    <t>NAVKAAR AGENCY/VARANASI</t>
  </si>
  <si>
    <t>DD0510</t>
  </si>
  <si>
    <t>SHIVAAY ENTERPRISES/ MAHOLI</t>
  </si>
  <si>
    <t>DD0089</t>
  </si>
  <si>
    <t>SHRIYANSH TRADERS/GOHAD</t>
  </si>
  <si>
    <t>AD4077</t>
  </si>
  <si>
    <t>MAYURA MEDICAL/GHATKOPAR</t>
  </si>
  <si>
    <t>AD4155</t>
  </si>
  <si>
    <t>AUCUZIUM ENTERPRISES LLP/PATNA</t>
  </si>
  <si>
    <t>AD4176</t>
  </si>
  <si>
    <t>BANERJEE UPTREND/DUM DUM</t>
  </si>
  <si>
    <t>DD1225</t>
  </si>
  <si>
    <t>RAHUL ELECTRICALS/GOSHAINGANJ</t>
  </si>
  <si>
    <t>DD0501</t>
  </si>
  <si>
    <t>CHAUHAN ENTERPRISES/ DELHI</t>
  </si>
  <si>
    <t>SD0099</t>
  </si>
  <si>
    <t>RAHUL TRADING COMPANY/KUNTIGHAT</t>
  </si>
  <si>
    <t>AD0118</t>
  </si>
  <si>
    <t>KUNDAN LAL RAJINDER KR / TOHANA</t>
  </si>
  <si>
    <t>DD0954</t>
  </si>
  <si>
    <t>SHARMA BOOK AND GENERAL STORE/KAHNU</t>
  </si>
  <si>
    <t>DD1352</t>
  </si>
  <si>
    <t>Shree Sales Agency/Patna</t>
  </si>
  <si>
    <t>AD4094</t>
  </si>
  <si>
    <t>SAHU COMMUNICATION AND LUCKY MOBILE</t>
  </si>
  <si>
    <t>DD1319</t>
  </si>
  <si>
    <t>AARJAV ENTERPRISES/NAGPUR</t>
  </si>
  <si>
    <t>SD0124</t>
  </si>
  <si>
    <t>R Y AGENCY/DHORAJI</t>
  </si>
  <si>
    <t>AD3366</t>
  </si>
  <si>
    <t>TEJAL SALES AGENCY/Bhavnagar</t>
  </si>
  <si>
    <t>AD2311</t>
  </si>
  <si>
    <t>MANISH MARKETING PARATWADA</t>
  </si>
  <si>
    <t>AD2574</t>
  </si>
  <si>
    <t>SHIVAM ENTERPRISES/ULHASNAGAR</t>
  </si>
  <si>
    <t>SDS0044</t>
  </si>
  <si>
    <t>SHIWANI AGENCY/BHAGALPUR</t>
  </si>
  <si>
    <t>SD0153</t>
  </si>
  <si>
    <t>NIRMALA ENTERPRISES/KATIHAR</t>
  </si>
  <si>
    <t>AD2254</t>
  </si>
  <si>
    <t>STAR TRADER'S</t>
  </si>
  <si>
    <t>SD0117</t>
  </si>
  <si>
    <t>MAA BHAWANI ENTERPRISES/MAHARAJGANJ</t>
  </si>
  <si>
    <t>SDS0059</t>
  </si>
  <si>
    <t>M/S/ B.N.B. ENTERPRISE/SONARPUR</t>
  </si>
  <si>
    <t>SD0155</t>
  </si>
  <si>
    <t>DUTTA SHOE HOUSE &amp; ELECTRIC/PASCHIM</t>
  </si>
  <si>
    <t>SD0107</t>
  </si>
  <si>
    <t>JYOTI ENTERPRISE/SHYAMPUR</t>
  </si>
  <si>
    <t>SD0104</t>
  </si>
  <si>
    <t>PANCHANANDA ENTERPRISE/BAGNAN</t>
  </si>
  <si>
    <t>SD0103</t>
  </si>
  <si>
    <t>DRISHAAN ELECTRICALS &amp; ELECTRONICS/</t>
  </si>
  <si>
    <t>AD3823</t>
  </si>
  <si>
    <t>NEW BELDA TRADING COMPANY/BELDA</t>
  </si>
  <si>
    <t>AD3813</t>
  </si>
  <si>
    <t>NEOGI STATIONERY SERVICES PVT LTD/M</t>
  </si>
  <si>
    <t>AD3810</t>
  </si>
  <si>
    <t>GARV ENTERPRISE / CHATTERJEEHUT</t>
  </si>
  <si>
    <t>SDS0062</t>
  </si>
  <si>
    <t>DAKSH ENTERPRISES/GANGTOK</t>
  </si>
  <si>
    <t>SDS0061</t>
  </si>
  <si>
    <t>RAJA DEY/ALIPURDWAR</t>
  </si>
  <si>
    <t>AD4137</t>
  </si>
  <si>
    <t>ATHARV ENTERPRISES/SIHORWA</t>
  </si>
  <si>
    <t>AD1989</t>
  </si>
  <si>
    <t>RAM AND RAUNAK TRADERS/BALRAMPUR</t>
  </si>
  <si>
    <t>AD0447</t>
  </si>
  <si>
    <t>CHANDIYA TRADERS / ORAI</t>
  </si>
  <si>
    <t>AD3436</t>
  </si>
  <si>
    <t>SAHIL ENTERPRISES/BAREILLY</t>
  </si>
  <si>
    <t>AD4040</t>
  </si>
  <si>
    <t>MAHAVEER TRADERS/KUMHER</t>
  </si>
  <si>
    <t>AD4052</t>
  </si>
  <si>
    <t>SHRI K.L TRADERS/DERA BASSI</t>
  </si>
  <si>
    <t>AD3353</t>
  </si>
  <si>
    <t>SHAKTI ENTERPRISES/BATHINDA</t>
  </si>
  <si>
    <t>AD4122</t>
  </si>
  <si>
    <t>Brother Traders/Ambala</t>
  </si>
  <si>
    <t>AD2531</t>
  </si>
  <si>
    <t>JAI MAHAKALI TRADERS/ NAGPUR</t>
  </si>
  <si>
    <t>DD0941</t>
  </si>
  <si>
    <t>M/S APU SARKAR/COOCHBEHAR</t>
  </si>
  <si>
    <t>AD2229</t>
  </si>
  <si>
    <t>S.D.TRADERS</t>
  </si>
  <si>
    <t>DD0620</t>
  </si>
  <si>
    <t>MAA DURGA TELECOM/ NEMDARGANJ</t>
  </si>
  <si>
    <t>DD1321</t>
  </si>
  <si>
    <t>RIDDHI SIDDHI TRADING/BAHERA</t>
  </si>
  <si>
    <t>AD3494</t>
  </si>
  <si>
    <t>GABA ENTERPRISES/HISSAR</t>
  </si>
  <si>
    <t>DD1297</t>
  </si>
  <si>
    <t>BAJRANG ELECTRICALS/BALESAR</t>
  </si>
  <si>
    <t>D100AD0021</t>
  </si>
  <si>
    <t>SD0087</t>
  </si>
  <si>
    <t>MITTAL ENTERPRISE/SILIGURI</t>
  </si>
  <si>
    <t>DD0267</t>
  </si>
  <si>
    <t>PRINCH TELECOME &amp; SERVICE/PACHORE</t>
  </si>
  <si>
    <t>DD1356</t>
  </si>
  <si>
    <t>N.K. ENTERPRISE/BARABAZAR</t>
  </si>
  <si>
    <t>AD4070</t>
  </si>
  <si>
    <t>AMAR AGENCIES/GURGAON</t>
  </si>
  <si>
    <t>AD1363</t>
  </si>
  <si>
    <t>SONU  VARIETY STORE / BHATTU</t>
  </si>
  <si>
    <t>AD4046</t>
  </si>
  <si>
    <t>A R ENTERPRISES/GONDIA</t>
  </si>
  <si>
    <t>CSAD0239</t>
  </si>
  <si>
    <t>THAKRAL SALES AGENCY/HISAR</t>
  </si>
  <si>
    <t>DD1280</t>
  </si>
  <si>
    <t>SHIV SHAKTI ELECTRONICS/PANCHPADRA</t>
  </si>
  <si>
    <t>D100AD0009</t>
  </si>
  <si>
    <t>M/S TARUN ELECTRONICS/CHATRA</t>
  </si>
  <si>
    <t>DD1223</t>
  </si>
  <si>
    <t>SR TRADERS/KOTA</t>
  </si>
  <si>
    <t>DD1300</t>
  </si>
  <si>
    <t>Light Zone/Gopalganj</t>
  </si>
  <si>
    <t>DD1253</t>
  </si>
  <si>
    <t>NAVRANG TRADERS/PATNA</t>
  </si>
  <si>
    <t>DD0243</t>
  </si>
  <si>
    <t>NIDHI TRADERS/MAWANA</t>
  </si>
  <si>
    <t>DD1335</t>
  </si>
  <si>
    <t>AAROHI ENTERPRISES/JAMUI</t>
  </si>
  <si>
    <t>DD1282</t>
  </si>
  <si>
    <t>M/S G KUMAR AGENCY/BALRAMPUR</t>
  </si>
  <si>
    <t>DD0939</t>
  </si>
  <si>
    <t>ISHKRIPA ELECTRONIC AND ELECTRICALS</t>
  </si>
  <si>
    <t>AD3392</t>
  </si>
  <si>
    <t>INAAYA AND IFZA TRADERS/MORADABAD I</t>
  </si>
  <si>
    <t>AD2264</t>
  </si>
  <si>
    <t>TIME CENTER</t>
  </si>
  <si>
    <t>DD1268</t>
  </si>
  <si>
    <t>SOHAN ENTERPRISE/AMTA</t>
  </si>
  <si>
    <t>DD1303</t>
  </si>
  <si>
    <t>M/S HINDUSTAN ELECTRIC/MUZAFFARPUR</t>
  </si>
  <si>
    <t>SD0106</t>
  </si>
  <si>
    <t>CREATIVE POWER/TAMLUK</t>
  </si>
  <si>
    <t>DD0960</t>
  </si>
  <si>
    <t>VARDAN MARKETING/AHMEDABAD</t>
  </si>
  <si>
    <t>AD2784</t>
  </si>
  <si>
    <t>KESHAV AGENCIES/ AFJALGARH</t>
  </si>
  <si>
    <t>SD0100</t>
  </si>
  <si>
    <t>ASTHA ELECTRIC/HARIPUR</t>
  </si>
  <si>
    <t>DD1299</t>
  </si>
  <si>
    <t>M/S PRINCE ELECTRONICS/KHAGA</t>
  </si>
  <si>
    <t>DD1294</t>
  </si>
  <si>
    <t>PADAM SHREE ELECTRICALS/SUMERPUR</t>
  </si>
  <si>
    <t>DD1219</t>
  </si>
  <si>
    <t>SIDDHI ENTERPRISES/KANPUR</t>
  </si>
  <si>
    <t>SD0142</t>
  </si>
  <si>
    <t>VISHAL SALES &amp; SERVICES/PALGHAR</t>
  </si>
  <si>
    <t>SD0148</t>
  </si>
  <si>
    <t>MAA SITALA T.V.CENTRE/ULUBERIA</t>
  </si>
  <si>
    <t>CSAD0107</t>
  </si>
  <si>
    <t>SHREE RAM TRADERS/ SIMARIYA</t>
  </si>
  <si>
    <t>AD2382</t>
  </si>
  <si>
    <t>JAIN AGENCY / GANDHINAGAR</t>
  </si>
  <si>
    <t>DD0761</t>
  </si>
  <si>
    <t>DC SOLAR SOLUTION/ GHAZIPUR</t>
  </si>
  <si>
    <t>SD0134</t>
  </si>
  <si>
    <t>Puja Electric/Jahanabad</t>
  </si>
  <si>
    <t>SD0132</t>
  </si>
  <si>
    <t>SHREE RADHE KRISHNA SALES/JAIPUR</t>
  </si>
  <si>
    <t>DD1307</t>
  </si>
  <si>
    <t>AASHIRWAD ENTERPRISES/BARMER</t>
  </si>
  <si>
    <t>DD1306</t>
  </si>
  <si>
    <t>BHAGYASHRI ELECTRICALS/BHINMAL</t>
  </si>
  <si>
    <t>DD1186</t>
  </si>
  <si>
    <t>M/S AKASH ELECTRICALE AND SUPPLYERS</t>
  </si>
  <si>
    <t>DD1314</t>
  </si>
  <si>
    <t>ABELECTRICALS/NAGPUR</t>
  </si>
  <si>
    <t>SD0081</t>
  </si>
  <si>
    <t>G.S SALES SYNDICATE/N.I.T</t>
  </si>
  <si>
    <t>SD0073</t>
  </si>
  <si>
    <t>SHANKER SIGNAGE/LUCKNOW</t>
  </si>
  <si>
    <t>SD0064</t>
  </si>
  <si>
    <t>ABSOLUTE AGRO ENERGY SOLUTIONS/BHOP</t>
  </si>
  <si>
    <t>DD0953</t>
  </si>
  <si>
    <t>HEMRAJ BORIDAS/BARMER</t>
  </si>
  <si>
    <t>AD2802</t>
  </si>
  <si>
    <t>JAI AMBEY TRADERS/ TUMSAR – ATITHI</t>
  </si>
  <si>
    <t>AD2781</t>
  </si>
  <si>
    <t>NARAYANI AGENCY/KOLHAPUR</t>
  </si>
  <si>
    <t>AD1353</t>
  </si>
  <si>
    <t>AGGARWAL AGENCIES / BANGA</t>
  </si>
  <si>
    <t>DD0844</t>
  </si>
  <si>
    <t>BHUMI SALES/MORENA</t>
  </si>
  <si>
    <t>AD3470</t>
  </si>
  <si>
    <t>RAJAN ELECTRONIC TELECOM SHOP/NOIDA</t>
  </si>
  <si>
    <t>SD0110</t>
  </si>
  <si>
    <t>HOSSAIN ENTERPRISE/BHAGAWANGOLA</t>
  </si>
  <si>
    <t>D100AD0044</t>
  </si>
  <si>
    <t>AMRAPALI ENTERPRISES/HAJIPUR/CF)</t>
  </si>
  <si>
    <t>AD3993</t>
  </si>
  <si>
    <t>SRI VINAYAK/BHAGALPUR</t>
  </si>
  <si>
    <t>SD0137</t>
  </si>
  <si>
    <t>SHRI ANJNEY ELECTRICAL AND HARDWARE</t>
  </si>
  <si>
    <t>SD0145</t>
  </si>
  <si>
    <t>M/s Laxmi Narayana Enterprises/Sone</t>
  </si>
  <si>
    <t>AD3341</t>
  </si>
  <si>
    <t>GARG KIRYANA STORE/FATEHABAD</t>
  </si>
  <si>
    <t>SD0075</t>
  </si>
  <si>
    <t>GALAXY LIGHTS/JODHPUR</t>
  </si>
  <si>
    <t>DD0167</t>
  </si>
  <si>
    <t>SADGURU HARDWARE/BHEDAGHAT</t>
  </si>
  <si>
    <t>AD3838</t>
  </si>
  <si>
    <t>JAI TARA MAA/ADRA</t>
  </si>
  <si>
    <t>SD0136</t>
  </si>
  <si>
    <t>M/s UPP Enterprises/Howrah</t>
  </si>
  <si>
    <t>AD3789</t>
  </si>
  <si>
    <t>A P ENTERPRISE / RAMPURHAT</t>
  </si>
  <si>
    <t>SD0139</t>
  </si>
  <si>
    <t>M/S SHRI NATH JI SALES/GWALIOR</t>
  </si>
  <si>
    <t>AD1969</t>
  </si>
  <si>
    <t>ANJALI TRADING CO./TRI NAGAR</t>
  </si>
  <si>
    <t>AD3805</t>
  </si>
  <si>
    <t>SANIA STORES / LALGOLA</t>
  </si>
  <si>
    <t>DD1293</t>
  </si>
  <si>
    <t>USHA ENTERPRISES/BHADRAJUN</t>
  </si>
  <si>
    <t>DD0337</t>
  </si>
  <si>
    <t>MARUTI AGENCY / BIDASAR – BERRY CHO</t>
  </si>
  <si>
    <t>SD0130</t>
  </si>
  <si>
    <t>AARAVY ENTERPRISES/GAYA</t>
  </si>
  <si>
    <t>SD0096</t>
  </si>
  <si>
    <t>HARINAV ENTERPRISES/PATNA</t>
  </si>
  <si>
    <t>DD1295</t>
  </si>
  <si>
    <t>M/s Maa Sarada Enterprise/Asansol</t>
  </si>
  <si>
    <t>AD0210</t>
  </si>
  <si>
    <t>RAHUL LACE HOUSE / PATHANKOT</t>
  </si>
  <si>
    <t>AD3223</t>
  </si>
  <si>
    <t>C &amp; P ENTERPRISES/BHOPAL</t>
  </si>
  <si>
    <t>AD2696</t>
  </si>
  <si>
    <t>RASESHWARI INDIA/CHANDIGARH</t>
  </si>
  <si>
    <t>AD0057</t>
  </si>
  <si>
    <t>NIRMAL AGENCIES / BAGESHWER</t>
  </si>
  <si>
    <t>SD0150</t>
  </si>
  <si>
    <t>Chatterjee Electrical/Varanasi</t>
  </si>
  <si>
    <t>DD0970</t>
  </si>
  <si>
    <t>SINGH TRADERS/MOHAMDABAD</t>
  </si>
  <si>
    <t>DD0813</t>
  </si>
  <si>
    <t>SACH ELECTRICALS/DELHI</t>
  </si>
  <si>
    <t>CDSAD0002</t>
  </si>
  <si>
    <t>JALARAM MEDICO/RAJKOT</t>
  </si>
  <si>
    <t>AD1242</t>
  </si>
  <si>
    <t>Ambey Sales Corporation/ Delhi</t>
  </si>
  <si>
    <t>AD3063</t>
  </si>
  <si>
    <t>GUPTA ENTERPRISES/ DELHI</t>
  </si>
  <si>
    <t>AD4038</t>
  </si>
  <si>
    <t>R I SUPPLIERS/FARRUKHABAD</t>
  </si>
  <si>
    <t>CSAD0145</t>
  </si>
  <si>
    <t>ABHISHEK TRADING CO./KULLU</t>
  </si>
  <si>
    <t>CSAD0103</t>
  </si>
  <si>
    <t>DUGGAL BROS/ PURUWALA</t>
  </si>
  <si>
    <t>AD3400</t>
  </si>
  <si>
    <t>SUKHDEV PROVISION STORES/BUSAWAL</t>
  </si>
  <si>
    <t>DD1302</t>
  </si>
  <si>
    <t>BIJAY SHREE ENTERPRESES/RANCHI</t>
  </si>
  <si>
    <t>DD1234</t>
  </si>
  <si>
    <t>KIRTI TRADERS/JABALPUR</t>
  </si>
  <si>
    <t>DD1229</t>
  </si>
  <si>
    <t>ABHISHEK ELECTRIC/Prayagraj</t>
  </si>
  <si>
    <t>DD0370</t>
  </si>
  <si>
    <t>AKASH ENTERPRISES / NAGPUR – SHRIKR</t>
  </si>
  <si>
    <t>CSAD0245</t>
  </si>
  <si>
    <t>HARI OM AGENCIES/ PATHANKOT</t>
  </si>
  <si>
    <t>SDS0037</t>
  </si>
  <si>
    <t>PROSTERITY TECH/BHOPAL</t>
  </si>
  <si>
    <t>DD1196</t>
  </si>
  <si>
    <t>AYAN AGENCY/SULTANPUR</t>
  </si>
  <si>
    <t>DD1212</t>
  </si>
  <si>
    <t>ARUN ELECTRICALS/N.I.T</t>
  </si>
  <si>
    <t>DD1030</t>
  </si>
  <si>
    <t>RAM MURTI &amp; SONS/LUDHIANA</t>
  </si>
  <si>
    <t>DD0087</t>
  </si>
  <si>
    <t>SAI SHRADDHA ELETRICAL/NANDED</t>
  </si>
  <si>
    <t>AD3836</t>
  </si>
  <si>
    <t>SRI NARAYANI ENTERPRISES/SILIGURI</t>
  </si>
  <si>
    <t>SD0098</t>
  </si>
  <si>
    <t>MODI AGENCY/KANKINARA/3</t>
  </si>
  <si>
    <t>DD1276</t>
  </si>
  <si>
    <t>Jhankar radio service/Medinipur</t>
  </si>
  <si>
    <t>AD3824</t>
  </si>
  <si>
    <t>RITA ENTERPRISE/BURDWAN</t>
  </si>
  <si>
    <t>AD3760</t>
  </si>
  <si>
    <t>TARA MAA ENTERPRISE / TITAGARH</t>
  </si>
  <si>
    <t>SD0038</t>
  </si>
  <si>
    <t>M/S DEV AGENCY/GWALIOR</t>
  </si>
  <si>
    <t>CSAD0154</t>
  </si>
  <si>
    <t>NEW RAJ MARKETING / PANDHARPUR</t>
  </si>
  <si>
    <t>DD0850</t>
  </si>
  <si>
    <t>SHIV SHAKTI SALES/RAJPIPLA</t>
  </si>
  <si>
    <t>CSAD0041</t>
  </si>
  <si>
    <t>BHARATA AGENCIES/SUMERPUR</t>
  </si>
  <si>
    <t>SDS0024</t>
  </si>
  <si>
    <t>SHUBHI SALES/JABALPUR</t>
  </si>
  <si>
    <t>AD3833</t>
  </si>
  <si>
    <t>SUDHAMOY ENTERPRISE/ILLAMBAZAR</t>
  </si>
  <si>
    <t>DD1248</t>
  </si>
  <si>
    <t>NEW TARAKNATH ELECTRONICS/BOLPUR</t>
  </si>
  <si>
    <t>D100AD0039</t>
  </si>
  <si>
    <t>NIRADA VARIETIES/AGARTALA</t>
  </si>
  <si>
    <t>AD2583</t>
  </si>
  <si>
    <t>ALKA TRADING COMPANY/MASWANPUR</t>
  </si>
  <si>
    <t>DD0461</t>
  </si>
  <si>
    <t>MIRZA MARKETING &amp; ELECTRICALS/ RATL</t>
  </si>
  <si>
    <t>AD3689</t>
  </si>
  <si>
    <t>ADITYA ENTERPRISES/BUXAR</t>
  </si>
  <si>
    <t>AD2281</t>
  </si>
  <si>
    <t>NARESH TRADERS ARVI</t>
  </si>
  <si>
    <t>DD1075</t>
  </si>
  <si>
    <t>MAHAGANPATHI ELECTRICALS/RANJANGAON</t>
  </si>
  <si>
    <t>SD0074</t>
  </si>
  <si>
    <t>S D TRADING COMPANY/LUCKNOW</t>
  </si>
  <si>
    <t>SD0082</t>
  </si>
  <si>
    <t>SHIKHA ENTERPRISES/BHOPAL</t>
  </si>
  <si>
    <t>SD0035</t>
  </si>
  <si>
    <t>KHANDELWAL ELECTRICALS/JAIPUR</t>
  </si>
  <si>
    <t>DD0486</t>
  </si>
  <si>
    <t>MAHAVIR TRADERS/ BADI</t>
  </si>
  <si>
    <t>AD3603</t>
  </si>
  <si>
    <t>RIDHI SIDHI ENTERPRISES/DARBHANGA</t>
  </si>
  <si>
    <t>DD1228</t>
  </si>
  <si>
    <t>KIRAN ENTERPRISES/VARANASI</t>
  </si>
  <si>
    <t>SD0050</t>
  </si>
  <si>
    <t>MAA SHARDA ENTERPRISES/RAIPUR</t>
  </si>
  <si>
    <t>CSAD0005</t>
  </si>
  <si>
    <t>DURGA AGENCIES / BALACHAUR</t>
  </si>
  <si>
    <t>DD1211</t>
  </si>
  <si>
    <t>NISHA ENTERPRISES/BHADOHI</t>
  </si>
  <si>
    <t>DD1205</t>
  </si>
  <si>
    <t>GUNGUN ELECTRICALS/KANPUR</t>
  </si>
  <si>
    <t>AD3482</t>
  </si>
  <si>
    <t>ASHWARY &amp; SONS/GORAKHPUR</t>
  </si>
  <si>
    <t>DD1183</t>
  </si>
  <si>
    <t>SHIVA TRADERS/MANDI</t>
  </si>
  <si>
    <t>DD0852</t>
  </si>
  <si>
    <t>NARESH ELECTRIC CO./BATHINDA</t>
  </si>
  <si>
    <t>AD3170</t>
  </si>
  <si>
    <t>R.K. TRADERS/JALAUN</t>
  </si>
  <si>
    <t>DD0507</t>
  </si>
  <si>
    <t>GOPINATH SALES AGENCY/ AHMEDABAD</t>
  </si>
  <si>
    <t>AD2175</t>
  </si>
  <si>
    <t>M C SHAH</t>
  </si>
  <si>
    <t>AD2734</t>
  </si>
  <si>
    <t>SANJAY CHOUDHARY MURI UDYDG/PAKUR</t>
  </si>
  <si>
    <t>DD0988</t>
  </si>
  <si>
    <t>BARANWAL ELECTRICALS/SULTANPUR</t>
  </si>
  <si>
    <t>CSAD0009</t>
  </si>
  <si>
    <t>BHARGAV GEN. STORE / GAGRET</t>
  </si>
  <si>
    <t>AD2698</t>
  </si>
  <si>
    <t>AKHILESH GUPTA/CHIRGAON</t>
  </si>
  <si>
    <t>AD3018</t>
  </si>
  <si>
    <t>GURU TRADERS/ BHOPAL</t>
  </si>
  <si>
    <t>AD3388</t>
  </si>
  <si>
    <t>MATOSHRI AGENCIES/KASBE DIGARAJ</t>
  </si>
  <si>
    <t>DD0814</t>
  </si>
  <si>
    <t>SURAJ AGENCIES/SANGAMNER</t>
  </si>
  <si>
    <t>AD3180</t>
  </si>
  <si>
    <t>ARSHAD AGENCY/SULTANPUR</t>
  </si>
  <si>
    <t>CSAD0231</t>
  </si>
  <si>
    <t>AGRAWAL TRADERS/DEEG</t>
  </si>
  <si>
    <t>CSAD0226</t>
  </si>
  <si>
    <t>A ONE ORGANIC HERBAL CARE/AYODHYA</t>
  </si>
  <si>
    <t>CSAD0191</t>
  </si>
  <si>
    <t>M.light Service Electric &amp; Electron</t>
  </si>
  <si>
    <t>DD1188</t>
  </si>
  <si>
    <t>JAI SHRI MOBILE SHOP/AWAN</t>
  </si>
  <si>
    <t>CSAD0032</t>
  </si>
  <si>
    <t>GAUTAM TRADING CO/ROHRU</t>
  </si>
  <si>
    <t>SDS0010</t>
  </si>
  <si>
    <t>OM SAI ENTERPRISES/ GWALIOR</t>
  </si>
  <si>
    <t>SD0062</t>
  </si>
  <si>
    <t>AYUSH AGENCIES/GORAKHPUR</t>
  </si>
  <si>
    <t>D100AD0035</t>
  </si>
  <si>
    <t>A R ENTERPRISES/GURDASPUR</t>
  </si>
  <si>
    <t>SDS0014</t>
  </si>
  <si>
    <t>ASMITA ENTERPRISES/KOLHAPUR /L)</t>
  </si>
  <si>
    <t>DD0356</t>
  </si>
  <si>
    <t>SUNLYE LED LIGHTS TRADING / DEGANA</t>
  </si>
  <si>
    <t>DD0566</t>
  </si>
  <si>
    <t>PURI ENTERPRISES/ UNA</t>
  </si>
  <si>
    <t>DD1158</t>
  </si>
  <si>
    <t>K K TRADING CO/HALDWANI</t>
  </si>
  <si>
    <t>DD0077</t>
  </si>
  <si>
    <t>JAISHREE ELECTRONICES/DEGANA</t>
  </si>
  <si>
    <t>SDS0021</t>
  </si>
  <si>
    <t>SIDDH LAKSHMI ENTERPRISES/JALANDHAR</t>
  </si>
  <si>
    <t>CSAD0158</t>
  </si>
  <si>
    <t>SHLOK DISTRIBUTORS/SOLAN</t>
  </si>
  <si>
    <t>DD1060</t>
  </si>
  <si>
    <t>HERAMB ELECTRICAL AGENCY/SATARA</t>
  </si>
  <si>
    <t>AD3280</t>
  </si>
  <si>
    <t>GAUTAM ENTERPRISES/KOTA</t>
  </si>
  <si>
    <t>DD1148</t>
  </si>
  <si>
    <t>JAGMOHAN TRADERS/LUCKNOW</t>
  </si>
  <si>
    <t>DD0640</t>
  </si>
  <si>
    <t>SHREE BALAJI ELECTRICALS/ BHOPAL</t>
  </si>
  <si>
    <t>DD0433</t>
  </si>
  <si>
    <t>AWTAR ELECTRIC AWAM HARDWARE HOUSE/</t>
  </si>
  <si>
    <t>DD0958</t>
  </si>
  <si>
    <t>SHREE GANESH ELECTRIC &amp; ELECTRONICS</t>
  </si>
  <si>
    <t>DD1077</t>
  </si>
  <si>
    <t>M/S SANGEET ELECTRONIC/MAHAGAMA</t>
  </si>
  <si>
    <t>SD0026</t>
  </si>
  <si>
    <t>SOL ENTERPRISES/JAMSHEDPUR</t>
  </si>
  <si>
    <t>DD0967</t>
  </si>
  <si>
    <t>VISHWAKARMA ELECTRONIC AND REPAIRIN</t>
  </si>
  <si>
    <t>DD1097</t>
  </si>
  <si>
    <t>SHRI GAJANAN JALNA TRADING/DONGAON</t>
  </si>
  <si>
    <t>DD0653</t>
  </si>
  <si>
    <t>HINDUSTAN ELECTRIC CO/ KANPUR</t>
  </si>
  <si>
    <t>DD1027</t>
  </si>
  <si>
    <t>KASHYAP SALES/AMBALA CANTT</t>
  </si>
  <si>
    <t>DD0701</t>
  </si>
  <si>
    <t>TIRUPATI SALES/ BHAVNAGAR</t>
  </si>
  <si>
    <t>AD2230</t>
  </si>
  <si>
    <t>HRITIK ENTERPRISES</t>
  </si>
  <si>
    <t>AD1593</t>
  </si>
  <si>
    <t>KUSWAHA KIRANA STORE/KHOJAPHOOL</t>
  </si>
  <si>
    <t>DD0529</t>
  </si>
  <si>
    <t>JAISWAL LIGHT &amp; SOUND COMPANY/ PRAY</t>
  </si>
  <si>
    <t>DD0546</t>
  </si>
  <si>
    <t>CHAWLA ELECTRICALS AND REPAIRING WO</t>
  </si>
  <si>
    <t>SD0019</t>
  </si>
  <si>
    <t>RAVI ENTERPRISES/INDORE</t>
  </si>
  <si>
    <t>DD1031</t>
  </si>
  <si>
    <t>NEW MAA DURGA ELECTRICALS/KANPUR</t>
  </si>
  <si>
    <t>DD0728</t>
  </si>
  <si>
    <t>GITA ENTERPRISE/ TUFANGANJ</t>
  </si>
  <si>
    <t>DD0272</t>
  </si>
  <si>
    <t>MAHADEV ELECTRICALS/PADRA</t>
  </si>
  <si>
    <t>DD0783</t>
  </si>
  <si>
    <t>NAMO ELECTRIC/ PALGHER</t>
  </si>
  <si>
    <t>SD0017</t>
  </si>
  <si>
    <t>S K PRODUCT/JAIPUR</t>
  </si>
  <si>
    <t>DD0868</t>
  </si>
  <si>
    <t>JAY MAHALAXMI ELECTRIC &amp; HARDWARE/V</t>
  </si>
  <si>
    <t>DD0753</t>
  </si>
  <si>
    <t>SHRI MARUTI TRADERS/ LAGRA</t>
  </si>
  <si>
    <t>DD0314</t>
  </si>
  <si>
    <t>ASHISH PRAHLADBHAI THAKKAR/DEESA</t>
  </si>
  <si>
    <t>DD0859</t>
  </si>
  <si>
    <t>SRISHTI SALES AND SERVICE/FAIZABAD</t>
  </si>
  <si>
    <t>DD0713</t>
  </si>
  <si>
    <t>PREM ELECTRONIC/ BHIWANDI</t>
  </si>
  <si>
    <t>DD0830</t>
  </si>
  <si>
    <t>SHRI BALA JI ENTERPRISES/PHOOLPUR</t>
  </si>
  <si>
    <t>AD3284</t>
  </si>
  <si>
    <t>AVANYA SALES/SIRONJ</t>
  </si>
  <si>
    <t>DD0593</t>
  </si>
  <si>
    <t>PRAVEEN KUMAR GUPTA/ SAHANSO</t>
  </si>
  <si>
    <t>SD0011</t>
  </si>
  <si>
    <t>DHANRAJ ENTERPRISES/ JAMSHEDPUR</t>
  </si>
  <si>
    <t>AD2598</t>
  </si>
  <si>
    <t>PRAKASH AGENCY/GOLA</t>
  </si>
  <si>
    <t>AD3071</t>
  </si>
  <si>
    <t>MAHALAXMI AGENCY/ BHARUCH</t>
  </si>
  <si>
    <t>AD1688</t>
  </si>
  <si>
    <t>LALTA PRASAD KIRYANA MERCHANT/NANAK</t>
  </si>
  <si>
    <t>DD0421</t>
  </si>
  <si>
    <t>NAWARAH HONEY COMPANY/ MAHAGAON</t>
  </si>
  <si>
    <t>DD0604</t>
  </si>
  <si>
    <t>TAMBA SALES/ NAGPUR</t>
  </si>
  <si>
    <t>DD0714</t>
  </si>
  <si>
    <t>K G N NOVELTY/ PANVEL</t>
  </si>
  <si>
    <t>DD0521</t>
  </si>
  <si>
    <t>B A V ELECTRICAL &amp; HARDWARE/ DELHI</t>
  </si>
  <si>
    <t>AD3136</t>
  </si>
  <si>
    <t>SK ENTERPRISES/ UNWAL</t>
  </si>
  <si>
    <t>DD0396</t>
  </si>
  <si>
    <t>SHWETA HOME SOLUTION/ NAVI MUMBAI /</t>
  </si>
  <si>
    <t>AD2867</t>
  </si>
  <si>
    <t>DEVARSH ENTERPRISE / KAPADWANJ – NR</t>
  </si>
  <si>
    <t>AD1378</t>
  </si>
  <si>
    <t>Karnail Singh Karyaana Store/Fatehg hurian</t>
  </si>
  <si>
    <t>AD1015</t>
  </si>
  <si>
    <t>SHRI GANGA ELECTRONIC /BEWAR</t>
  </si>
  <si>
    <t>AD1206</t>
  </si>
  <si>
    <t>MAURYA PROVISON STORE/FAIZABAD</t>
  </si>
  <si>
    <t>&gt;=90 Days</t>
  </si>
  <si>
    <t>Payment committed for future date</t>
  </si>
  <si>
    <t>SRN</t>
  </si>
  <si>
    <t>Consignment Credit</t>
  </si>
  <si>
    <t>Write off</t>
  </si>
  <si>
    <t>Legal</t>
  </si>
  <si>
    <t>Damage Settlement</t>
  </si>
  <si>
    <t>Partial SRN</t>
  </si>
  <si>
    <t>SRN-Stock Received at Depot</t>
  </si>
  <si>
    <t>Region</t>
  </si>
  <si>
    <t>North-1</t>
  </si>
  <si>
    <t>North-2</t>
  </si>
  <si>
    <t>East</t>
  </si>
  <si>
    <t>West</t>
  </si>
  <si>
    <t>Remark Bucket</t>
  </si>
  <si>
    <t>Review Remarks - 22/05</t>
  </si>
  <si>
    <t>Commitment Date</t>
  </si>
  <si>
    <t>SD Document No.</t>
  </si>
  <si>
    <t>Journal Entry</t>
  </si>
  <si>
    <t>Posting Date</t>
  </si>
  <si>
    <t>Journal Entry Type</t>
  </si>
  <si>
    <t>Reference</t>
  </si>
  <si>
    <t>Net Due Date</t>
  </si>
  <si>
    <t>Amount (CoCode Crcy)</t>
  </si>
  <si>
    <t>Cleared Amount</t>
  </si>
  <si>
    <t>Balance Amout</t>
  </si>
  <si>
    <t>RV</t>
  </si>
  <si>
    <t>SCHEME</t>
  </si>
  <si>
    <t>SA</t>
  </si>
  <si>
    <t>CN330000042</t>
  </si>
  <si>
    <t>FOC</t>
  </si>
  <si>
    <t>DZ</t>
  </si>
  <si>
    <t>PAT/G2526/815278</t>
  </si>
  <si>
    <t>PAT/G2526/815239</t>
  </si>
  <si>
    <t>PAT/G2526/815245</t>
  </si>
  <si>
    <t>GAZ/I2526/936531</t>
  </si>
  <si>
    <t>IND/G2526/082850</t>
  </si>
  <si>
    <t>PUN/G2526/273136</t>
  </si>
  <si>
    <t>PAT/G2526/815224</t>
  </si>
  <si>
    <t>PAT/G2526/815333</t>
  </si>
  <si>
    <t>LETTER</t>
  </si>
  <si>
    <t>KAN/G2526/949733</t>
  </si>
  <si>
    <t>PAT/G2526/815208</t>
  </si>
  <si>
    <t>AS PER MAIL</t>
  </si>
  <si>
    <t>18525511/1852561</t>
  </si>
  <si>
    <t>18461891/1846186</t>
  </si>
  <si>
    <t>DR</t>
  </si>
  <si>
    <t>SWOOPER DN</t>
  </si>
  <si>
    <t>8300000020 </t>
  </si>
  <si>
    <t>P4065936</t>
  </si>
  <si>
    <t>TR000325</t>
  </si>
  <si>
    <t>CN3300000005</t>
  </si>
  <si>
    <t>ZIR/I2526/485759</t>
  </si>
  <si>
    <t>KOL/G2526/782491</t>
  </si>
  <si>
    <t>BHI/G2526/995017</t>
  </si>
  <si>
    <t>BHI/G2526/995007</t>
  </si>
  <si>
    <t>BHI/I2526/995015</t>
  </si>
  <si>
    <t>BHI/I2526/994981</t>
  </si>
  <si>
    <t>BHI/I2526/994971</t>
  </si>
  <si>
    <t>GAZ/G2526/936631</t>
  </si>
  <si>
    <t>GAZ/G2526/936615</t>
  </si>
  <si>
    <t>JAI/G2526/304778</t>
  </si>
  <si>
    <t>JAI/G2526/304770</t>
  </si>
  <si>
    <t>JAI/G2526/304745</t>
  </si>
  <si>
    <t>JAI/G2526/304738</t>
  </si>
  <si>
    <t>JAI/G2526/304720</t>
  </si>
  <si>
    <t>JAI/G2526/304715</t>
  </si>
  <si>
    <t>JAI/G2526/304709</t>
  </si>
  <si>
    <t>JAI/G2526/304691</t>
  </si>
  <si>
    <t>IND/G2526/082849</t>
  </si>
  <si>
    <t>IND/G2526/082831</t>
  </si>
  <si>
    <t>KOL/G2526/782492</t>
  </si>
  <si>
    <t>KAN/G2526/950027</t>
  </si>
  <si>
    <t>RAN/G2526/241496</t>
  </si>
  <si>
    <t>RAN/G2526/241494</t>
  </si>
  <si>
    <t>RAN/G2526/241483</t>
  </si>
  <si>
    <t>PUN/I2526/273197</t>
  </si>
  <si>
    <t>PUN/I2526/273196</t>
  </si>
  <si>
    <t>PAT/G2526/815337</t>
  </si>
  <si>
    <t>PAT/G2526/815335</t>
  </si>
  <si>
    <t>PAT/G2526/815317</t>
  </si>
  <si>
    <t>ZIR/I2526/485798</t>
  </si>
  <si>
    <t>ZIR/I2526/485739</t>
  </si>
  <si>
    <t>VAR/G2526/958471</t>
  </si>
  <si>
    <t>JE/25-26600119</t>
  </si>
  <si>
    <t>JE/25-26580044</t>
  </si>
  <si>
    <t>JE/25-26580041</t>
  </si>
  <si>
    <t>JE/25-26580038</t>
  </si>
  <si>
    <t>JE/25-26580036</t>
  </si>
  <si>
    <t>JE/25-26480084</t>
  </si>
  <si>
    <t>JE/25-26480078</t>
  </si>
  <si>
    <t>JE/25-26400086</t>
  </si>
  <si>
    <t>JE/25-26400083</t>
  </si>
  <si>
    <t>JE/25-26400082</t>
  </si>
  <si>
    <t>JE/25-26400080</t>
  </si>
  <si>
    <t>JE/25-26220029</t>
  </si>
  <si>
    <t>JE/25-26220027</t>
  </si>
  <si>
    <t>BHI/I2526/994956</t>
  </si>
  <si>
    <t>BHI/I2526/994941</t>
  </si>
  <si>
    <t>GAZ/I2526/936544</t>
  </si>
  <si>
    <t>GAZ/I2526/936527</t>
  </si>
  <si>
    <t>GAZ/I2526/936521</t>
  </si>
  <si>
    <t>GAZ/G2526/936564</t>
  </si>
  <si>
    <t>JAI/G2526/304652</t>
  </si>
  <si>
    <t>KAN/G2526/949925</t>
  </si>
  <si>
    <t>ZIR/I2526/485665</t>
  </si>
  <si>
    <t>VAR/G2526/958406</t>
  </si>
  <si>
    <t>GAZ/G2526/936509</t>
  </si>
  <si>
    <t>BHI/G2526/994914</t>
  </si>
  <si>
    <t>JAI/G2526/304639</t>
  </si>
  <si>
    <t>ZIR/I2526/485649</t>
  </si>
  <si>
    <t>GAZ/G2526/936475</t>
  </si>
  <si>
    <t>KAN/G2526/949872</t>
  </si>
  <si>
    <t>RAN/G2526/241454</t>
  </si>
  <si>
    <t>JE/25-26600102</t>
  </si>
  <si>
    <t>JE/25-26600097</t>
  </si>
  <si>
    <t>JE/25-26580034</t>
  </si>
  <si>
    <t>JE/25-26580031</t>
  </si>
  <si>
    <t>JE/25-26580029</t>
  </si>
  <si>
    <t>JE/25-26580028</t>
  </si>
  <si>
    <t>JE/25-26480059</t>
  </si>
  <si>
    <t>JE/25-26400072</t>
  </si>
  <si>
    <t>JE/25-26400070</t>
  </si>
  <si>
    <t>JE/25-26400069</t>
  </si>
  <si>
    <t>JE/25-26260288</t>
  </si>
  <si>
    <t>JE/25-26260250</t>
  </si>
  <si>
    <t>JE/25-26260249</t>
  </si>
  <si>
    <t>JE/25-26260248</t>
  </si>
  <si>
    <t>JE/25-26240034</t>
  </si>
  <si>
    <t>JE/25-26220022</t>
  </si>
  <si>
    <t>JE/25-26220020</t>
  </si>
  <si>
    <t>JE251150544</t>
  </si>
  <si>
    <t>KAN/G2526/949829</t>
  </si>
  <si>
    <t>BP/25-26/063135</t>
  </si>
  <si>
    <t>JAI/G2526/304576</t>
  </si>
  <si>
    <t>JE/25-26620003</t>
  </si>
  <si>
    <t>JE/25-26600082</t>
  </si>
  <si>
    <t>JE/25-26600077</t>
  </si>
  <si>
    <t>JE/25-26580026</t>
  </si>
  <si>
    <t>JE/25-26580025</t>
  </si>
  <si>
    <t>JE/25-26580022</t>
  </si>
  <si>
    <t>JE/25-26580021</t>
  </si>
  <si>
    <t>JE/25-26400065</t>
  </si>
  <si>
    <t>JE/25-26400064</t>
  </si>
  <si>
    <t>JE/25-26400062</t>
  </si>
  <si>
    <t>JE/25-26400060</t>
  </si>
  <si>
    <t>JE/25-26400054</t>
  </si>
  <si>
    <t>JE/25-26400053</t>
  </si>
  <si>
    <t>JE/25-26400050</t>
  </si>
  <si>
    <t>JE/25-26400047</t>
  </si>
  <si>
    <t>JE/25-26400045</t>
  </si>
  <si>
    <t>JE/25-26380040</t>
  </si>
  <si>
    <t>JE/25-26260245</t>
  </si>
  <si>
    <t>JE/25-26260244</t>
  </si>
  <si>
    <t>JE/25-26220016</t>
  </si>
  <si>
    <t>JE/25-26220014</t>
  </si>
  <si>
    <t>BP/25-26/063108</t>
  </si>
  <si>
    <t>JE/25-26260242</t>
  </si>
  <si>
    <t>VAR/G2526/958267</t>
  </si>
  <si>
    <t>JE/25-26260236</t>
  </si>
  <si>
    <t>JE/25-26600061</t>
  </si>
  <si>
    <t>JE/25-26600055</t>
  </si>
  <si>
    <t>JE/25-26600053</t>
  </si>
  <si>
    <t>JE/25-26600050</t>
  </si>
  <si>
    <t>JE/25-26580015</t>
  </si>
  <si>
    <t>JE/25-26580014</t>
  </si>
  <si>
    <t>JE/25-26560029</t>
  </si>
  <si>
    <t>JE/25-26560027</t>
  </si>
  <si>
    <t>JE/25-26480039</t>
  </si>
  <si>
    <t>JE/25-26480036</t>
  </si>
  <si>
    <t>JE/25-26400044</t>
  </si>
  <si>
    <t>JE/25-26400035</t>
  </si>
  <si>
    <t>JE/25-26400034</t>
  </si>
  <si>
    <t>JE/25-26400026</t>
  </si>
  <si>
    <t>JE/25-26400025</t>
  </si>
  <si>
    <t>JE/25-26400024</t>
  </si>
  <si>
    <t>JE/25-26380035</t>
  </si>
  <si>
    <t>JE/25-26340023</t>
  </si>
  <si>
    <t>JE/25-26340022</t>
  </si>
  <si>
    <t>JE/25-26340017</t>
  </si>
  <si>
    <t>JE/25-26300022</t>
  </si>
  <si>
    <t>JE/25-26300021</t>
  </si>
  <si>
    <t>JE/25-26220011</t>
  </si>
  <si>
    <t>JE/25-26220009</t>
  </si>
  <si>
    <t>RAN/G2526/241419</t>
  </si>
  <si>
    <t>ZIR/I2526/485450</t>
  </si>
  <si>
    <t>KAN/G2526/949658</t>
  </si>
  <si>
    <t>JE/25-26600042</t>
  </si>
  <si>
    <t>JE/25-26600036</t>
  </si>
  <si>
    <t>JE/25-26600031</t>
  </si>
  <si>
    <t>JE/25-26600027</t>
  </si>
  <si>
    <t>JE/25-26560020</t>
  </si>
  <si>
    <t>JE/25-26480033</t>
  </si>
  <si>
    <t>JE/25-26480029</t>
  </si>
  <si>
    <t>JE/25-26480023</t>
  </si>
  <si>
    <t>JE/25-26480021</t>
  </si>
  <si>
    <t>JE/25-26400022</t>
  </si>
  <si>
    <t>JE/25-26400021</t>
  </si>
  <si>
    <t>JE/25-26400015</t>
  </si>
  <si>
    <t>JE/25-26380030</t>
  </si>
  <si>
    <t>JE/25-26380029</t>
  </si>
  <si>
    <t>JE/25-26380026</t>
  </si>
  <si>
    <t>JE/25-26380022</t>
  </si>
  <si>
    <t>JE/25-26340015</t>
  </si>
  <si>
    <t>JE/25-26340014</t>
  </si>
  <si>
    <t>JE/25-26340012</t>
  </si>
  <si>
    <t>JE/25-26300015</t>
  </si>
  <si>
    <t>JE/25-26260276</t>
  </si>
  <si>
    <t>JE/25-26260275</t>
  </si>
  <si>
    <t>JE/25-26260273</t>
  </si>
  <si>
    <t>JE/25-26260271</t>
  </si>
  <si>
    <t>JE/25-26260266</t>
  </si>
  <si>
    <t>JE/25-26240014</t>
  </si>
  <si>
    <t>JE/25-26240010</t>
  </si>
  <si>
    <t>RAN/G2526/241407</t>
  </si>
  <si>
    <t>JE/25-26260229</t>
  </si>
  <si>
    <t>PAT/G2526/814949</t>
  </si>
  <si>
    <t>JAI/G2526/304498</t>
  </si>
  <si>
    <t>JAI/G2526/304500</t>
  </si>
  <si>
    <t>JE251139823</t>
  </si>
  <si>
    <t>JE/25-26600016</t>
  </si>
  <si>
    <t>JE/25-26600012</t>
  </si>
  <si>
    <t>JE/25-26600009</t>
  </si>
  <si>
    <t>JE/25-26600008</t>
  </si>
  <si>
    <t>JE/25-26600001</t>
  </si>
  <si>
    <t>JE/25-26580006</t>
  </si>
  <si>
    <t>JE/25-26560009</t>
  </si>
  <si>
    <t>JE/25-26480016</t>
  </si>
  <si>
    <t>JE/25-26480014</t>
  </si>
  <si>
    <t>JE/25-26480003</t>
  </si>
  <si>
    <t>JE/25-26400014</t>
  </si>
  <si>
    <t>JE/25-26400012</t>
  </si>
  <si>
    <t>JE/25-26400010</t>
  </si>
  <si>
    <t>JE/25-26400009</t>
  </si>
  <si>
    <t>JE/25-26400007</t>
  </si>
  <si>
    <t>JE/25-26380016</t>
  </si>
  <si>
    <t>JE/25-26380015</t>
  </si>
  <si>
    <t>JE/25-26380014</t>
  </si>
  <si>
    <t>JE/25-26380013</t>
  </si>
  <si>
    <t>JE/25-26380011</t>
  </si>
  <si>
    <t>JE/25-26380009</t>
  </si>
  <si>
    <t>JE/25-26380007</t>
  </si>
  <si>
    <t>JE/25-26340010</t>
  </si>
  <si>
    <t>JE/25-26340007</t>
  </si>
  <si>
    <t>JE/25-26340004</t>
  </si>
  <si>
    <t>JE/25-26260265</t>
  </si>
  <si>
    <t>JE/25-26260264</t>
  </si>
  <si>
    <t>JE/25-26260262</t>
  </si>
  <si>
    <t>JE/25-26260260</t>
  </si>
  <si>
    <t>JE/25-26260257</t>
  </si>
  <si>
    <t>JE/25-26240008</t>
  </si>
  <si>
    <t>JE/25-26240005</t>
  </si>
  <si>
    <t>JE/25-26240003</t>
  </si>
  <si>
    <t>JE/25-26240001</t>
  </si>
  <si>
    <t>JE/25-26220001</t>
  </si>
  <si>
    <t>PAT/G2526/814931</t>
  </si>
  <si>
    <t>JAI/G2526/304431</t>
  </si>
  <si>
    <t>GAZ/I2526/936117</t>
  </si>
  <si>
    <t>JAI/G2526/304487</t>
  </si>
  <si>
    <t>JAI/G2526/304470</t>
  </si>
  <si>
    <t>JAI/G2526/304455</t>
  </si>
  <si>
    <t>JAI/G2526/304419</t>
  </si>
  <si>
    <t>RAN/G2526/241401</t>
  </si>
  <si>
    <t>RAN/G2526/241400</t>
  </si>
  <si>
    <t>RAN/G2526/241399</t>
  </si>
  <si>
    <t>RAN/G2526/241398</t>
  </si>
  <si>
    <t>RAN/G2526/241389</t>
  </si>
  <si>
    <t>RAN/G2526/241383</t>
  </si>
  <si>
    <t>RAN/G2526/241382</t>
  </si>
  <si>
    <t>RAN/G2526/241381</t>
  </si>
  <si>
    <t>PAT/G2526/814879</t>
  </si>
  <si>
    <t>PAT/G2526/814867</t>
  </si>
  <si>
    <t>KOL/G2526/782301</t>
  </si>
  <si>
    <t>JAI/G2526/304395</t>
  </si>
  <si>
    <t>RAN/G2526/241374</t>
  </si>
  <si>
    <t>BP/25-26/063058</t>
  </si>
  <si>
    <t>JE/25-26260226</t>
  </si>
  <si>
    <t>RAN/G2526/241362</t>
  </si>
  <si>
    <t>VAR/G2526/958020</t>
  </si>
  <si>
    <t>GAZ/G2526/935936</t>
  </si>
  <si>
    <t>IND/G2526/082534</t>
  </si>
  <si>
    <t>VAR/G2526/957977</t>
  </si>
  <si>
    <t>JE/25-26260222</t>
  </si>
  <si>
    <t>JE/25-26260215.</t>
  </si>
  <si>
    <t>JE/25-26260215</t>
  </si>
  <si>
    <t>RAN/G2526/241335</t>
  </si>
  <si>
    <t>JE/25-26260212</t>
  </si>
  <si>
    <t>JE/25-26260208</t>
  </si>
  <si>
    <t>PAT/G2526/814621</t>
  </si>
  <si>
    <t>KAN/G2526/949301</t>
  </si>
  <si>
    <t>BP/25-26/063020</t>
  </si>
  <si>
    <t>BP/25-26/063013</t>
  </si>
  <si>
    <t>VAR/G2526/957916</t>
  </si>
  <si>
    <t>PAT/G2526/814521</t>
  </si>
  <si>
    <t>KOL/G2526/782135</t>
  </si>
  <si>
    <t>KAN/G2526/949267</t>
  </si>
  <si>
    <t>KAN/G2526/949260</t>
  </si>
  <si>
    <t>PAT/G2526/814533</t>
  </si>
  <si>
    <t>VAR/G2526/957874</t>
  </si>
  <si>
    <t>BP/25-26/063000</t>
  </si>
  <si>
    <t>BHI/I2526/994229</t>
  </si>
  <si>
    <t>KOL/G2526/782093</t>
  </si>
  <si>
    <t>KOL/G2526/782075</t>
  </si>
  <si>
    <t>BP/25-26/062959</t>
  </si>
  <si>
    <t>RAN/G2526/241265</t>
  </si>
  <si>
    <t>KOL/G2526/782015</t>
  </si>
  <si>
    <t>KAN/G2526/949068</t>
  </si>
  <si>
    <t>GAZ/G2526/935477</t>
  </si>
  <si>
    <t>KOL/G2526/781991</t>
  </si>
  <si>
    <t>KAN/G2526/949020</t>
  </si>
  <si>
    <t>JE/25-26260192</t>
  </si>
  <si>
    <t>JE251108426</t>
  </si>
  <si>
    <t>JE/25-26260196.</t>
  </si>
  <si>
    <t>JE/25-26260196</t>
  </si>
  <si>
    <t>JE/25-26260194</t>
  </si>
  <si>
    <t>JE/25-26260190.</t>
  </si>
  <si>
    <t>JE/25-26260190</t>
  </si>
  <si>
    <t>JE/25-26260189</t>
  </si>
  <si>
    <t>PAT/G2526/814281</t>
  </si>
  <si>
    <t>BP/25-26/062899</t>
  </si>
  <si>
    <t>GAZ/G2526/935357</t>
  </si>
  <si>
    <t>GAZ/G2526/935355</t>
  </si>
  <si>
    <t>BP/25-26/062873</t>
  </si>
  <si>
    <t>JE/25-26260195</t>
  </si>
  <si>
    <t>BP/25-26/009038</t>
  </si>
  <si>
    <t>BP/25-26/062851</t>
  </si>
  <si>
    <t>JE251103385</t>
  </si>
  <si>
    <t>JAI/G2526/303791</t>
  </si>
  <si>
    <t>KOL/G2526/781937</t>
  </si>
  <si>
    <t>KOL/G2526/781919</t>
  </si>
  <si>
    <t>KOL/G2526/781918</t>
  </si>
  <si>
    <t>KAN/G2526/948879</t>
  </si>
  <si>
    <t>PAT/G2526/814197</t>
  </si>
  <si>
    <t>PAT/G2526/814187</t>
  </si>
  <si>
    <t>RAN/G2526/241202</t>
  </si>
  <si>
    <t>PUN/G2526/272524</t>
  </si>
  <si>
    <t>KOL/D2526/260002</t>
  </si>
  <si>
    <t>KOL/G2526/781802</t>
  </si>
  <si>
    <t>JE/25-26260184.</t>
  </si>
  <si>
    <t>JE/25-26260184</t>
  </si>
  <si>
    <t>BHI/D2526/340004</t>
  </si>
  <si>
    <t>BP/25-26/062771</t>
  </si>
  <si>
    <t>JE/25-26260180</t>
  </si>
  <si>
    <t>VAR/G2526/957465</t>
  </si>
  <si>
    <t>PAT/G2526/813923</t>
  </si>
  <si>
    <t>JE/25-26260178</t>
  </si>
  <si>
    <t>JE/25-26260177</t>
  </si>
  <si>
    <t>KAN/G2526/948540</t>
  </si>
  <si>
    <t>JE/25-26260176</t>
  </si>
  <si>
    <t>JE/25-26260175</t>
  </si>
  <si>
    <t>IND/D2526/140001</t>
  </si>
  <si>
    <t>JE/25-26260173</t>
  </si>
  <si>
    <t>PAT/D2526/270008</t>
  </si>
  <si>
    <t>ZIR/G2526/484170</t>
  </si>
  <si>
    <t>PAT/D2526/270004</t>
  </si>
  <si>
    <t>BP/25-26/062749</t>
  </si>
  <si>
    <t>JAI/G2526/303470</t>
  </si>
  <si>
    <t>GAZ/G2526/934804</t>
  </si>
  <si>
    <t>BP/25-26/062745</t>
  </si>
  <si>
    <t>ZIR/G2526/484138</t>
  </si>
  <si>
    <t>PAT/D2526/270003</t>
  </si>
  <si>
    <t>PAT/D2526/270002</t>
  </si>
  <si>
    <t>ZIR/I2526/484106</t>
  </si>
  <si>
    <t>JE/25-26260169</t>
  </si>
  <si>
    <t>PAT/G2526/813829</t>
  </si>
  <si>
    <t>BP/25-26/062736</t>
  </si>
  <si>
    <t>BP/25-26/062729</t>
  </si>
  <si>
    <t>BP/25-26/062728</t>
  </si>
  <si>
    <t>PAT/G2526/813806</t>
  </si>
  <si>
    <t>KAN/G2526/948432</t>
  </si>
  <si>
    <t>BP/25-26/062711</t>
  </si>
  <si>
    <t>BP/25-26/062701</t>
  </si>
  <si>
    <t>JE/25-26260166</t>
  </si>
  <si>
    <t>VAR/G2526/957380</t>
  </si>
  <si>
    <t>JE251078321</t>
  </si>
  <si>
    <t>IND/G2526/081998</t>
  </si>
  <si>
    <t>NAG/I2526/362217</t>
  </si>
  <si>
    <t>BP/25-26/062665</t>
  </si>
  <si>
    <t>RAN/G2526/241011</t>
  </si>
  <si>
    <t>BP/25-26/062658</t>
  </si>
  <si>
    <t>CR/2425/753818</t>
  </si>
  <si>
    <t>CR/2425/753796</t>
  </si>
  <si>
    <t>JE/25-26260161</t>
  </si>
  <si>
    <t>VAR/G2526/957277</t>
  </si>
  <si>
    <t>JE/25-26260157</t>
  </si>
  <si>
    <t>BP/25-26/062614</t>
  </si>
  <si>
    <t>JE/25-26260149</t>
  </si>
  <si>
    <t>JE/25-26260143</t>
  </si>
  <si>
    <t>JE/25-26260142</t>
  </si>
  <si>
    <t>JE/25-26260141</t>
  </si>
  <si>
    <t>JE/25-26260140</t>
  </si>
  <si>
    <t>JE/25-26260137</t>
  </si>
  <si>
    <t>JE/25-26260136</t>
  </si>
  <si>
    <t>BP/25-26/062591</t>
  </si>
  <si>
    <t>JE/25-26260135</t>
  </si>
  <si>
    <t>JE/25-26260134</t>
  </si>
  <si>
    <t>BP/25-26/062581</t>
  </si>
  <si>
    <t>BP/25-26/062576</t>
  </si>
  <si>
    <t>JE/25-26260133</t>
  </si>
  <si>
    <t>BP/25-26/062559</t>
  </si>
  <si>
    <t>KOL/G2526/781441</t>
  </si>
  <si>
    <t>BP/25-26/062524</t>
  </si>
  <si>
    <t>KAN/G2526/948031</t>
  </si>
  <si>
    <t>KAN/G2526/948030</t>
  </si>
  <si>
    <t>PAT/G2526/813318</t>
  </si>
  <si>
    <t>PAT/G2526/813280</t>
  </si>
  <si>
    <t>KOL/G2526/781408</t>
  </si>
  <si>
    <t>KAN/G2526/947977</t>
  </si>
  <si>
    <t>NAG/I2526/362005</t>
  </si>
  <si>
    <t>VAR/G2526/957106</t>
  </si>
  <si>
    <t>RAN/G2526/240891</t>
  </si>
  <si>
    <t>BP/25-26/062430</t>
  </si>
  <si>
    <t>KAN/G2526/947875</t>
  </si>
  <si>
    <t>KAN/G2526/947874</t>
  </si>
  <si>
    <t>BP/25-26/062412</t>
  </si>
  <si>
    <t>JE/25-26260112</t>
  </si>
  <si>
    <t>JE/25-26260111.</t>
  </si>
  <si>
    <t>JE/25-26260111</t>
  </si>
  <si>
    <t>JE/25-26260104</t>
  </si>
  <si>
    <t>JE/25-26260096</t>
  </si>
  <si>
    <t>BP/25-26/062358</t>
  </si>
  <si>
    <t>BP/25-26/062357</t>
  </si>
  <si>
    <t>BP/25-26/062347</t>
  </si>
  <si>
    <t>BP/25-26/062331</t>
  </si>
  <si>
    <t>JE/25-26260090</t>
  </si>
  <si>
    <t>JE/25-26260089</t>
  </si>
  <si>
    <t>JE/25-26260087</t>
  </si>
  <si>
    <t>JE/25-26260086</t>
  </si>
  <si>
    <t>KAN/G2526/947776</t>
  </si>
  <si>
    <t>JE/25-26260084</t>
  </si>
  <si>
    <t>JE251044122</t>
  </si>
  <si>
    <t>JE/25-26260081</t>
  </si>
  <si>
    <t>JE/25-26260072</t>
  </si>
  <si>
    <t>KAN/G2526/947698</t>
  </si>
  <si>
    <t>JAI/G2526/302620</t>
  </si>
  <si>
    <t>VAR/G2526/956855</t>
  </si>
  <si>
    <t>PAT/G2526/812987</t>
  </si>
  <si>
    <t>ZIR/I2526/483281</t>
  </si>
  <si>
    <t>JE/25-26260064</t>
  </si>
  <si>
    <t>PAT/G2526/812886</t>
  </si>
  <si>
    <t>JE/25-26260062</t>
  </si>
  <si>
    <t>PAT/G2526/812818</t>
  </si>
  <si>
    <t>JAI/G2526/302553</t>
  </si>
  <si>
    <t>JAI/G2526/302430</t>
  </si>
  <si>
    <t>ZIR/G2526/483072</t>
  </si>
  <si>
    <t>BP/25-26/062266</t>
  </si>
  <si>
    <t>BP/25-26/062243</t>
  </si>
  <si>
    <t>PAT/G2526/812601</t>
  </si>
  <si>
    <t>ZIR/G2526/482993</t>
  </si>
  <si>
    <t>BHI/G2526/992600</t>
  </si>
  <si>
    <t>JE251026518</t>
  </si>
  <si>
    <t>KOL/G2526/781160</t>
  </si>
  <si>
    <t>PUN/G2526/271700</t>
  </si>
  <si>
    <t>JE/25-26260045</t>
  </si>
  <si>
    <t>KOL/G2526/781147</t>
  </si>
  <si>
    <t>KOL/G2526/781136</t>
  </si>
  <si>
    <t>KAN/G2526/947343</t>
  </si>
  <si>
    <t>JE/25-26260041</t>
  </si>
  <si>
    <t>KAN/G2526/947330</t>
  </si>
  <si>
    <t>BP/25-26/062113</t>
  </si>
  <si>
    <t>KAN/G2526/947313</t>
  </si>
  <si>
    <t>JE/25-26260034</t>
  </si>
  <si>
    <t>PAT/G2526/812433</t>
  </si>
  <si>
    <t>GAZ/G2526/933270</t>
  </si>
  <si>
    <t>IND/G2526/081497</t>
  </si>
  <si>
    <t>PAT/G2526/812443</t>
  </si>
  <si>
    <t>PAT/G2526/812383</t>
  </si>
  <si>
    <t>JE251017423.</t>
  </si>
  <si>
    <t>JE251017423</t>
  </si>
  <si>
    <t>JE251017402</t>
  </si>
  <si>
    <t>IND/G2526/081462</t>
  </si>
  <si>
    <t>BP/25-26/005020</t>
  </si>
  <si>
    <t>IND/G2526/081430</t>
  </si>
  <si>
    <t>BP/25-26/062024</t>
  </si>
  <si>
    <t>BP/25-26/061988</t>
  </si>
  <si>
    <t>BP/25-26/061985</t>
  </si>
  <si>
    <t>BP/25-26/061981</t>
  </si>
  <si>
    <t>BP/25-26/061968</t>
  </si>
  <si>
    <t>BP/25-26/061959</t>
  </si>
  <si>
    <t>BP/25-26/061957</t>
  </si>
  <si>
    <t>BP/25-26/061950</t>
  </si>
  <si>
    <t>BP/25-26/061941</t>
  </si>
  <si>
    <t>BP/25-26/061934</t>
  </si>
  <si>
    <t>BP/25-26/061932</t>
  </si>
  <si>
    <t>BP/25-26/061930</t>
  </si>
  <si>
    <t>JE/25-26260010</t>
  </si>
  <si>
    <t>PAT/G2526/812228</t>
  </si>
  <si>
    <t>BHI/G2526/992321</t>
  </si>
  <si>
    <t>BHI/G2526/992320</t>
  </si>
  <si>
    <t>IND/G2526/081407</t>
  </si>
  <si>
    <t>PAT/G2526/812256</t>
  </si>
  <si>
    <t>PAT/G2526/812210</t>
  </si>
  <si>
    <t>IND/G2526/081333</t>
  </si>
  <si>
    <t>JE/25-26260007</t>
  </si>
  <si>
    <t>JE/25-26260005</t>
  </si>
  <si>
    <t>DEL/G2526/451178</t>
  </si>
  <si>
    <t>JE/25-26260004</t>
  </si>
  <si>
    <t>ZIR/G2526/482412</t>
  </si>
  <si>
    <t>ZIR/G2526/482411</t>
  </si>
  <si>
    <t>JE/25-26260002</t>
  </si>
  <si>
    <t>JE251001376</t>
  </si>
  <si>
    <t>BP/25-26/061872</t>
  </si>
  <si>
    <t>BP/25-26/061847</t>
  </si>
  <si>
    <t>BP/25-26/061843</t>
  </si>
  <si>
    <t>BP/25-26/061825</t>
  </si>
  <si>
    <t>BP/25-26/061805</t>
  </si>
  <si>
    <t>BP/25-26/061803</t>
  </si>
  <si>
    <t>BP/25-26/061790</t>
  </si>
  <si>
    <t>BP/25-26/061765</t>
  </si>
  <si>
    <t>BP/25-26/061745</t>
  </si>
  <si>
    <t>BP/25-26/061744</t>
  </si>
  <si>
    <t>NAG/G2526/361271</t>
  </si>
  <si>
    <t>BP/25-26/061735</t>
  </si>
  <si>
    <t>DG</t>
  </si>
  <si>
    <t>CR/2526/727089</t>
  </si>
  <si>
    <t>CR/2526/727082</t>
  </si>
  <si>
    <t>CR/2526/727061</t>
  </si>
  <si>
    <t>CR/2526/727018</t>
  </si>
  <si>
    <t>CR/2526/726955</t>
  </si>
  <si>
    <t>CR/2526/726945</t>
  </si>
  <si>
    <t>CR/2526/726944</t>
  </si>
  <si>
    <t>CR/2526/726943</t>
  </si>
  <si>
    <t>CR/2526/726939</t>
  </si>
  <si>
    <t>CR/2526/726938</t>
  </si>
  <si>
    <t>CR/2526/726878</t>
  </si>
  <si>
    <t>CR/2526/726867</t>
  </si>
  <si>
    <t>CR/2526/726834</t>
  </si>
  <si>
    <t>CR/2526/726816</t>
  </si>
  <si>
    <t>CR/2526/726815</t>
  </si>
  <si>
    <t>CR/2526/726813</t>
  </si>
  <si>
    <t>CR/2526/726812</t>
  </si>
  <si>
    <t>CR/2526/726811</t>
  </si>
  <si>
    <t>CR/2526/726810</t>
  </si>
  <si>
    <t>CR/2526/726809</t>
  </si>
  <si>
    <t>CR/2526/726807</t>
  </si>
  <si>
    <t>CR/2526/726795</t>
  </si>
  <si>
    <t>CR/2526/726792</t>
  </si>
  <si>
    <t>CR/2526/726789</t>
  </si>
  <si>
    <t>CR/2526/726783</t>
  </si>
  <si>
    <t>CR/2526/726766</t>
  </si>
  <si>
    <t>CR/2526/726765</t>
  </si>
  <si>
    <t>CR/2526/726731</t>
  </si>
  <si>
    <t>CR/2526/726603</t>
  </si>
  <si>
    <t>CR/2526/726570</t>
  </si>
  <si>
    <t>CR/2526/726555</t>
  </si>
  <si>
    <t>CR/2526/726549</t>
  </si>
  <si>
    <t>CR/2526/726435</t>
  </si>
  <si>
    <t>CR/2526/726336</t>
  </si>
  <si>
    <t>CR/2526/726332</t>
  </si>
  <si>
    <t>CR/2526/726294</t>
  </si>
  <si>
    <t>CR/2526/726259</t>
  </si>
  <si>
    <t>BP/25-26/061723</t>
  </si>
  <si>
    <t>BP/25-26/061722</t>
  </si>
  <si>
    <t>KOL/G2526/780872</t>
  </si>
  <si>
    <t>KOL/G2526/780871</t>
  </si>
  <si>
    <t>KOL/G2526/780870</t>
  </si>
  <si>
    <t>KOL/G2526/780867</t>
  </si>
  <si>
    <t>PAT/G2526/811945</t>
  </si>
  <si>
    <t>RAN/G2526/240497</t>
  </si>
  <si>
    <t>BP/25-26/061668</t>
  </si>
  <si>
    <t>CR/2425/751761</t>
  </si>
  <si>
    <t>PAT/G2526/811826</t>
  </si>
  <si>
    <t>BP/25-26/061661</t>
  </si>
  <si>
    <t>JE25987027</t>
  </si>
  <si>
    <t>NAG/G2526/361137</t>
  </si>
  <si>
    <t>BP/25-26/061647</t>
  </si>
  <si>
    <t>PAT/G2526/811691</t>
  </si>
  <si>
    <t>BP/25-26/061627</t>
  </si>
  <si>
    <t>BP/25-26/061592</t>
  </si>
  <si>
    <t>BP/25-26/061591</t>
  </si>
  <si>
    <t>BP/25-26/061559</t>
  </si>
  <si>
    <t>BP/25-26/061557</t>
  </si>
  <si>
    <t>BP/25-26/061530</t>
  </si>
  <si>
    <t>BP/25-26/061524</t>
  </si>
  <si>
    <t>BP/25-26/061519</t>
  </si>
  <si>
    <t>BP/25-26/061496</t>
  </si>
  <si>
    <t>BP/25-26/061471</t>
  </si>
  <si>
    <t>BP/25-26/061427</t>
  </si>
  <si>
    <t>BP/25-26/061415</t>
  </si>
  <si>
    <t>BP/25-26/061394</t>
  </si>
  <si>
    <t>KOL/G2526/780735</t>
  </si>
  <si>
    <t>KOL/G2526/780732</t>
  </si>
  <si>
    <t>BP/25-26/061387</t>
  </si>
  <si>
    <t>BP/25-26/061385</t>
  </si>
  <si>
    <t>BP/25-26/061380</t>
  </si>
  <si>
    <t>JE25975666</t>
  </si>
  <si>
    <t>KAN/G2526/946444</t>
  </si>
  <si>
    <t>CR/2425/750887</t>
  </si>
  <si>
    <t>CR/2425/750788</t>
  </si>
  <si>
    <t>JE25981587</t>
  </si>
  <si>
    <t>JE25974686</t>
  </si>
  <si>
    <t>BP/25-26/061349</t>
  </si>
  <si>
    <t>BP/25-26/061342</t>
  </si>
  <si>
    <t>KOL/G2526/780702</t>
  </si>
  <si>
    <t>BHI/I2526/991545</t>
  </si>
  <si>
    <t>ZIR/I2526/481797</t>
  </si>
  <si>
    <t>NAG/G2526/360942</t>
  </si>
  <si>
    <t>NAG/G2526/360941</t>
  </si>
  <si>
    <t>BP/25-26/061316</t>
  </si>
  <si>
    <t>ZIR/I2526/481786</t>
  </si>
  <si>
    <t>BP/25-26/061298</t>
  </si>
  <si>
    <t>GAZ/G2526/931983</t>
  </si>
  <si>
    <t>IND/G2526/080834</t>
  </si>
  <si>
    <t>KOL/G2526/780652</t>
  </si>
  <si>
    <t>NAG/G2526/360904</t>
  </si>
  <si>
    <t>ZIR/I2526/481680</t>
  </si>
  <si>
    <t>JAI/G2526/301134</t>
  </si>
  <si>
    <t>BP/25-26/061266</t>
  </si>
  <si>
    <t>BP/25-26/061236</t>
  </si>
  <si>
    <t>BP/25-26/061227</t>
  </si>
  <si>
    <t>BP/25-26/061225</t>
  </si>
  <si>
    <t>BP/25-26/061185</t>
  </si>
  <si>
    <t>BHI/I2526/991292</t>
  </si>
  <si>
    <t>BP/25-26/061165</t>
  </si>
  <si>
    <t>BP/25-26/061162</t>
  </si>
  <si>
    <t>BP/25-26/061143</t>
  </si>
  <si>
    <t>BP/25-26/061134</t>
  </si>
  <si>
    <t>BP/25-26/061133</t>
  </si>
  <si>
    <t>BP/25-26/061131</t>
  </si>
  <si>
    <t>JE25958151</t>
  </si>
  <si>
    <t>JE25958123</t>
  </si>
  <si>
    <t>GAZ/G2526/931720</t>
  </si>
  <si>
    <t>BP/25-26/061095</t>
  </si>
  <si>
    <t>CR/2526/720239</t>
  </si>
  <si>
    <t>CR/2526/720142</t>
  </si>
  <si>
    <t>CR/2526/719901</t>
  </si>
  <si>
    <t>CR/2526/719804</t>
  </si>
  <si>
    <t>BP/25-26/061081</t>
  </si>
  <si>
    <t>BP/25-26/061078</t>
  </si>
  <si>
    <t>BP/25-26/061072</t>
  </si>
  <si>
    <t>BP/25-26/061056</t>
  </si>
  <si>
    <t>BP/25-26/061040</t>
  </si>
  <si>
    <t>BP/25-26/061035</t>
  </si>
  <si>
    <t>BP/25-26/061009</t>
  </si>
  <si>
    <t>BP/25-26/060986</t>
  </si>
  <si>
    <t>BHI/I2526/991112</t>
  </si>
  <si>
    <t>BP/25-26/060981</t>
  </si>
  <si>
    <t>KAN/G2526/945993</t>
  </si>
  <si>
    <t>GAZ/G2526/931539</t>
  </si>
  <si>
    <t>GAZ/G2526/931538</t>
  </si>
  <si>
    <t>GAZ/G2526/931537</t>
  </si>
  <si>
    <t>BP/25-26/060963</t>
  </si>
  <si>
    <t>GAZ/G2526/931522</t>
  </si>
  <si>
    <t>GAZ/G2526/931514</t>
  </si>
  <si>
    <t>BHI/I2526/991056</t>
  </si>
  <si>
    <t>BP/25-26/060957</t>
  </si>
  <si>
    <t>PAT/G2526/811076</t>
  </si>
  <si>
    <t>VAR/G2526/955700</t>
  </si>
  <si>
    <t>BP/25-26/060941</t>
  </si>
  <si>
    <t>BP/25-26/060929</t>
  </si>
  <si>
    <t>RAN/G2526/240205</t>
  </si>
  <si>
    <t>JE25947728</t>
  </si>
  <si>
    <t>JE25947721</t>
  </si>
  <si>
    <t>PAT/G2526/811049</t>
  </si>
  <si>
    <t>JE25945193</t>
  </si>
  <si>
    <t>JE25945163</t>
  </si>
  <si>
    <t>VAR/G2526/955670</t>
  </si>
  <si>
    <t>BHI/I2526/990876</t>
  </si>
  <si>
    <t>JAI/G2526/300821</t>
  </si>
  <si>
    <t>KOL/G2526/780494</t>
  </si>
  <si>
    <t>KOL/G2526/780493</t>
  </si>
  <si>
    <t>KOL/G2526/780483</t>
  </si>
  <si>
    <t>PAT/G2526/811006</t>
  </si>
  <si>
    <t>KOL/G2526/780371</t>
  </si>
  <si>
    <t>BP/25-26/060878</t>
  </si>
  <si>
    <t>PAT/G2526/810861</t>
  </si>
  <si>
    <t>PAT/G2526/810863</t>
  </si>
  <si>
    <t>PAT/G2526/810862</t>
  </si>
  <si>
    <t>PAT/G2526/810857</t>
  </si>
  <si>
    <t>PAT/G2526/810830</t>
  </si>
  <si>
    <t>BP/25-26/001624</t>
  </si>
  <si>
    <t>PAT/G2526/810804</t>
  </si>
  <si>
    <t>PAT/G2526/810789</t>
  </si>
  <si>
    <t>PAT/G2526/810788</t>
  </si>
  <si>
    <t>PAT/G2526/810787</t>
  </si>
  <si>
    <t>PAT/G2526/810785</t>
  </si>
  <si>
    <t>PAT/G2526/810784</t>
  </si>
  <si>
    <t>BP/25-26/060839</t>
  </si>
  <si>
    <t>BP/25-26/060833</t>
  </si>
  <si>
    <t>BP/25-26/060829</t>
  </si>
  <si>
    <t>BP/25-26/060827</t>
  </si>
  <si>
    <t>BP/25-26/060826</t>
  </si>
  <si>
    <t>BP/25-26/060824</t>
  </si>
  <si>
    <t>BP/25-26/060807</t>
  </si>
  <si>
    <t>KAN/G2526/945646</t>
  </si>
  <si>
    <t>BP/25-26/060788</t>
  </si>
  <si>
    <t>BP/25-26/060773</t>
  </si>
  <si>
    <t>BP/25-26/060768</t>
  </si>
  <si>
    <t>BP/25-26/060764</t>
  </si>
  <si>
    <t>BP/25-26/060760</t>
  </si>
  <si>
    <t>BP/25-26/060743</t>
  </si>
  <si>
    <t>KOL/I2526/780316</t>
  </si>
  <si>
    <t>KOL/G2526/780324</t>
  </si>
  <si>
    <t>BP/25-26/060683</t>
  </si>
  <si>
    <t>PAT/G2526/810741</t>
  </si>
  <si>
    <t>PAT/G2526/810740</t>
  </si>
  <si>
    <t>BP/25-26/060665</t>
  </si>
  <si>
    <t>KOL/G2526/780282</t>
  </si>
  <si>
    <t>BP/25-26/060654</t>
  </si>
  <si>
    <t>BP/25-26/060653</t>
  </si>
  <si>
    <t>BP/25-26/060645</t>
  </si>
  <si>
    <t>BP/25-26/060611</t>
  </si>
  <si>
    <t>BP/25-26/060606</t>
  </si>
  <si>
    <t>BP/25-26/060596</t>
  </si>
  <si>
    <t>BP/25-26/060578</t>
  </si>
  <si>
    <t>BP/25-26/060560</t>
  </si>
  <si>
    <t>BP/25-26/060547</t>
  </si>
  <si>
    <t>BP/25-26/060544</t>
  </si>
  <si>
    <t>PAT/G2526/810636</t>
  </si>
  <si>
    <t>JAI/G2526/300494</t>
  </si>
  <si>
    <t>KOL/I2526/780233</t>
  </si>
  <si>
    <t>PAT/G2526/810592</t>
  </si>
  <si>
    <t>BP/25-26/060501</t>
  </si>
  <si>
    <t>JE25923750</t>
  </si>
  <si>
    <t>KOL/G2526/780179</t>
  </si>
  <si>
    <t>KOL/G2526/780147</t>
  </si>
  <si>
    <t>KOL/G2526/780134</t>
  </si>
  <si>
    <t>PAT/G2526/810457</t>
  </si>
  <si>
    <t>NAG/G2526/360195</t>
  </si>
  <si>
    <t>RAN/G2526/240078</t>
  </si>
  <si>
    <t>BP/25-26/060453</t>
  </si>
  <si>
    <t>PAT/G2526/810339</t>
  </si>
  <si>
    <t>BP/25-26/060434</t>
  </si>
  <si>
    <t>BP/25-26/001300</t>
  </si>
  <si>
    <t>JAI/G2526/300234</t>
  </si>
  <si>
    <t>BP/25-26/060431</t>
  </si>
  <si>
    <t>BP/25-26/060422</t>
  </si>
  <si>
    <t>BP/25-26/060399</t>
  </si>
  <si>
    <t>BP/25-26/060366</t>
  </si>
  <si>
    <t>BP/25-26/060360</t>
  </si>
  <si>
    <t>BP/25-26/060359</t>
  </si>
  <si>
    <t>BP/25-26/060338</t>
  </si>
  <si>
    <t>BP/25-26/060308</t>
  </si>
  <si>
    <t>BP/25-26/060261</t>
  </si>
  <si>
    <t>BP/25-26/060255</t>
  </si>
  <si>
    <t>PAT/G2526/810279</t>
  </si>
  <si>
    <t>JAI/G2526/300184</t>
  </si>
  <si>
    <t>JAI/G2526/300183</t>
  </si>
  <si>
    <t>BP/25-26/060249</t>
  </si>
  <si>
    <t>BP/25-26/060246</t>
  </si>
  <si>
    <t>JAI/G2526/300143</t>
  </si>
  <si>
    <t>BP/25-26/060183</t>
  </si>
  <si>
    <t>KAN/G2526/945163</t>
  </si>
  <si>
    <t>BP/25-26/060170</t>
  </si>
  <si>
    <t>BP/25-26/060126</t>
  </si>
  <si>
    <t>BP/25-26/060108</t>
  </si>
  <si>
    <t>BP/25-26/060107</t>
  </si>
  <si>
    <t>BP/25-26/000876</t>
  </si>
  <si>
    <t>KOL/G2526/780025</t>
  </si>
  <si>
    <t>JAI/G2425/305779</t>
  </si>
  <si>
    <t>KOL/G2425/782236</t>
  </si>
  <si>
    <t>DEL/BP//064060</t>
  </si>
  <si>
    <t>JE221735523</t>
  </si>
  <si>
    <t>JE221735522</t>
  </si>
  <si>
    <t>JE24901520</t>
  </si>
  <si>
    <t>BHI/G2425/995561</t>
  </si>
  <si>
    <t>BHI/G2425/995560</t>
  </si>
  <si>
    <t>PAT/G2425/813869</t>
  </si>
  <si>
    <t>GAZ/G2425/937630</t>
  </si>
  <si>
    <t>DEL/BP//064040</t>
  </si>
  <si>
    <t>DEL/BP//064039</t>
  </si>
  <si>
    <t>DEL/BP//064017</t>
  </si>
  <si>
    <t>DEL/BP//063998</t>
  </si>
  <si>
    <t>DEL/BP//063964</t>
  </si>
  <si>
    <t>DEL/BP//063939</t>
  </si>
  <si>
    <t>DEL/BP//063935</t>
  </si>
  <si>
    <t>KOL/G2425/782156</t>
  </si>
  <si>
    <t>BHI/G2425/995441</t>
  </si>
  <si>
    <t>DEL/BP//063893</t>
  </si>
  <si>
    <t>DEL/BP//063878</t>
  </si>
  <si>
    <t>DEL/BP//063865</t>
  </si>
  <si>
    <t>DEL/BP//063856</t>
  </si>
  <si>
    <t>DEL/BP//063854</t>
  </si>
  <si>
    <t>DEL/BP//063850</t>
  </si>
  <si>
    <t>DEL/BP//063832</t>
  </si>
  <si>
    <t>DEL/BP//063829</t>
  </si>
  <si>
    <t>DEL/BP//063795</t>
  </si>
  <si>
    <t>DEL/BP//063792</t>
  </si>
  <si>
    <t>DEL/BP//063778</t>
  </si>
  <si>
    <t>DEL/BP//063725</t>
  </si>
  <si>
    <t>DEL/BP//063709</t>
  </si>
  <si>
    <t>DEL/BP//063704</t>
  </si>
  <si>
    <t>DEL/BP//063700</t>
  </si>
  <si>
    <t>DEL/BP//063696</t>
  </si>
  <si>
    <t>DEL/BP//063664</t>
  </si>
  <si>
    <t>DEL/BP//063657</t>
  </si>
  <si>
    <t>DEL/BP//063643</t>
  </si>
  <si>
    <t>KOL/G2425/782039</t>
  </si>
  <si>
    <t>KOL/G2425/782030</t>
  </si>
  <si>
    <t>DEL/BP//063628</t>
  </si>
  <si>
    <t>DEL/BP//063623</t>
  </si>
  <si>
    <t>DEL/BP//063604</t>
  </si>
  <si>
    <t>ZIR/G2425/486724</t>
  </si>
  <si>
    <t>DEL/G2425/452646</t>
  </si>
  <si>
    <t>DEL/G2425/452627</t>
  </si>
  <si>
    <t>JAI/G2425/305253</t>
  </si>
  <si>
    <t>KOL/G2425/781979</t>
  </si>
  <si>
    <t>KOL/G2425/781978</t>
  </si>
  <si>
    <t>DEL/BP//063573</t>
  </si>
  <si>
    <t>DEL/BP//063558</t>
  </si>
  <si>
    <t>DEL/BP//063530</t>
  </si>
  <si>
    <t>DEL/BP//063528</t>
  </si>
  <si>
    <t>DEL/BP//063523</t>
  </si>
  <si>
    <t>DEL/BP//063493</t>
  </si>
  <si>
    <t>DEL/BP//063487</t>
  </si>
  <si>
    <t>DEL/BP//063481</t>
  </si>
  <si>
    <t>PAT/G2425/813348</t>
  </si>
  <si>
    <t>DEL/BP//063447</t>
  </si>
  <si>
    <t>JAI/G2425/305008</t>
  </si>
  <si>
    <t>DEL/BP//063397</t>
  </si>
  <si>
    <t>DEL/BP//063395</t>
  </si>
  <si>
    <t>DEL/BP//063393</t>
  </si>
  <si>
    <t>DEL/BP//063349</t>
  </si>
  <si>
    <t>DEL/BP//063346</t>
  </si>
  <si>
    <t>DEL/BP//063328</t>
  </si>
  <si>
    <t>DEL/BP//063327</t>
  </si>
  <si>
    <t>DEL/BP//063286</t>
  </si>
  <si>
    <t>DEL/BP//063277</t>
  </si>
  <si>
    <t>DEL/BP//063261</t>
  </si>
  <si>
    <t>DEL/BP//063260</t>
  </si>
  <si>
    <t>DEL/BP//063237</t>
  </si>
  <si>
    <t>DEL/BP//063232</t>
  </si>
  <si>
    <t>VAR/G2425/958359</t>
  </si>
  <si>
    <t>DEL/BP//063225</t>
  </si>
  <si>
    <t>DEL/BP//063221</t>
  </si>
  <si>
    <t>DEL/BP//063217</t>
  </si>
  <si>
    <t>KOL/I2425/781868</t>
  </si>
  <si>
    <t>DEL/BP//063201</t>
  </si>
  <si>
    <t>DEL/BP//063198</t>
  </si>
  <si>
    <t>DEL/BP//063197</t>
  </si>
  <si>
    <t>KOL/I2425/781864</t>
  </si>
  <si>
    <t>KOL/I2425/781863</t>
  </si>
  <si>
    <t>DEL/BP//063180</t>
  </si>
  <si>
    <t>DEL/BP//063179</t>
  </si>
  <si>
    <t>KAN/G2425/949411</t>
  </si>
  <si>
    <t>DEL/BP//063161</t>
  </si>
  <si>
    <t>DEL/G2425/452464</t>
  </si>
  <si>
    <t>BHI/I2425/994872</t>
  </si>
  <si>
    <t>DEL/G2425/452437</t>
  </si>
  <si>
    <t>DEL/G2425/452432</t>
  </si>
  <si>
    <t>DEL/BP//063128</t>
  </si>
  <si>
    <t>DEL/BP//063112</t>
  </si>
  <si>
    <t>GAZ/G2425/936431</t>
  </si>
  <si>
    <t>DEL/BP//063096</t>
  </si>
  <si>
    <t>DEL/G2425/452363</t>
  </si>
  <si>
    <t>ZIR/I2425/485814</t>
  </si>
  <si>
    <t>ZIR/I2425/485796</t>
  </si>
  <si>
    <t>BP//008442</t>
  </si>
  <si>
    <t>RAN/G2425/241614</t>
  </si>
  <si>
    <t>DEL/BP//062838</t>
  </si>
  <si>
    <t>DEL/BP//062810</t>
  </si>
  <si>
    <t>KOL/G2425/781714</t>
  </si>
  <si>
    <t>DEL/BP//062801</t>
  </si>
  <si>
    <t>CR/2425/740631</t>
  </si>
  <si>
    <t>DEL/BP//062777</t>
  </si>
  <si>
    <t>RAN/G2425/241596</t>
  </si>
  <si>
    <t>DEL/BP//062775</t>
  </si>
  <si>
    <t>KOL/G2425/781654</t>
  </si>
  <si>
    <t>RAN/G2425/241570</t>
  </si>
  <si>
    <t>ZIR/G2425/485444</t>
  </si>
  <si>
    <t>RAN/G2425/241515</t>
  </si>
  <si>
    <t>JE221664718</t>
  </si>
  <si>
    <t>DEL/BP//062691</t>
  </si>
  <si>
    <t>DEL/BP//062670</t>
  </si>
  <si>
    <t>DEL/BP//062664</t>
  </si>
  <si>
    <t>DEL/BP//062649</t>
  </si>
  <si>
    <t>ZIR/I2425/485319</t>
  </si>
  <si>
    <t>DEL/BP//062615</t>
  </si>
  <si>
    <t>DEL/BP//062585</t>
  </si>
  <si>
    <t>ZIR/G2425/485268</t>
  </si>
  <si>
    <t>DEL/BP//062493</t>
  </si>
  <si>
    <t>DEL/BP//062489</t>
  </si>
  <si>
    <t>DEL/BP//062477</t>
  </si>
  <si>
    <t>DEL/BP//062472</t>
  </si>
  <si>
    <t>DEL/BP//062469</t>
  </si>
  <si>
    <t>KOL/G2425/781490</t>
  </si>
  <si>
    <t>DEL/BP//062455</t>
  </si>
  <si>
    <t>DEL/BP//062391</t>
  </si>
  <si>
    <t>BP//007214</t>
  </si>
  <si>
    <t>KOL/G2425/781432</t>
  </si>
  <si>
    <t>KOL/G2425/781400</t>
  </si>
  <si>
    <t>PAT/G2425/812256</t>
  </si>
  <si>
    <t>PAT/G2425/812198</t>
  </si>
  <si>
    <t>KOL/G2425/781303</t>
  </si>
  <si>
    <t>KOL/G2425/781288</t>
  </si>
  <si>
    <t>DEL/BP//062211</t>
  </si>
  <si>
    <t>DEL/BP//062202</t>
  </si>
  <si>
    <t>DEL/BP//062198</t>
  </si>
  <si>
    <t>DEL/BP//062197</t>
  </si>
  <si>
    <t>DEL/BP//062187</t>
  </si>
  <si>
    <t>PAT/G2425/812089</t>
  </si>
  <si>
    <t>KOL/G2425/781219</t>
  </si>
  <si>
    <t>BHI/I2425/993632</t>
  </si>
  <si>
    <t>BHI/I2425/993631</t>
  </si>
  <si>
    <t>DEL/BP//062124</t>
  </si>
  <si>
    <t>DEL/BP//062123</t>
  </si>
  <si>
    <t>DEL/BP//062111</t>
  </si>
  <si>
    <t>KAN/G2425/948036</t>
  </si>
  <si>
    <t>DEL/BP//062023</t>
  </si>
  <si>
    <t>DEL/BP//062006</t>
  </si>
  <si>
    <t>KOL/G2425/781052</t>
  </si>
  <si>
    <t>KOL/G2425/781064</t>
  </si>
  <si>
    <t>PAT/G2425/811905</t>
  </si>
  <si>
    <t>PAT/G2425/811887</t>
  </si>
  <si>
    <t>DEL/BP//061971</t>
  </si>
  <si>
    <t>DEL/BP//061965</t>
  </si>
  <si>
    <t>PAT/G2425/811724</t>
  </si>
  <si>
    <t>DEL/BP//061942</t>
  </si>
  <si>
    <t>DEL/BP//061937</t>
  </si>
  <si>
    <t>GAW/I2425/840414</t>
  </si>
  <si>
    <t>DEL/BP//061936</t>
  </si>
  <si>
    <t>DEL/BP//061900</t>
  </si>
  <si>
    <t>DEL/BP//061886</t>
  </si>
  <si>
    <t>DEL/BP//061879</t>
  </si>
  <si>
    <t>DEL/BP//061877</t>
  </si>
  <si>
    <t>DEL/BP//061874</t>
  </si>
  <si>
    <t>PAT/G2425/811649</t>
  </si>
  <si>
    <t>DEL/BP//061871</t>
  </si>
  <si>
    <t>DEL/BP//061870</t>
  </si>
  <si>
    <t>DEL/BP//061859</t>
  </si>
  <si>
    <t>DEL/BP//061807</t>
  </si>
  <si>
    <t>DEL/BP//061801</t>
  </si>
  <si>
    <t>DEL/BP//061793</t>
  </si>
  <si>
    <t>PAT/G2425/811590</t>
  </si>
  <si>
    <t>DEL/BP//061761</t>
  </si>
  <si>
    <t>DEL/BP//061751</t>
  </si>
  <si>
    <t>DEL/BP//061711</t>
  </si>
  <si>
    <t>DEL/BP//061708</t>
  </si>
  <si>
    <t>DEL/BP//061702</t>
  </si>
  <si>
    <t>NAG/G2425/362535</t>
  </si>
  <si>
    <t>DEL/BP//061687</t>
  </si>
  <si>
    <t>DEL/BP//061659</t>
  </si>
  <si>
    <t>DEL/BP//061650</t>
  </si>
  <si>
    <t>DEL/BP//061646</t>
  </si>
  <si>
    <t>DEL/BP//061624</t>
  </si>
  <si>
    <t>DEL/BP//061611</t>
  </si>
  <si>
    <t>DEL/BP//061566</t>
  </si>
  <si>
    <t>DEL/BP//061545</t>
  </si>
  <si>
    <t>DEL/BP//061543</t>
  </si>
  <si>
    <t>DEL/BP//061506</t>
  </si>
  <si>
    <t>DEL/BP//061495</t>
  </si>
  <si>
    <t>DEL/BP//061489</t>
  </si>
  <si>
    <t>DEL/BP//061469</t>
  </si>
  <si>
    <t>DEL/BP//061467</t>
  </si>
  <si>
    <t>DEL/BP//061445</t>
  </si>
  <si>
    <t>DEL/BP//061406</t>
  </si>
  <si>
    <t>DEL/BP//061402</t>
  </si>
  <si>
    <t>DEL/BP//061393</t>
  </si>
  <si>
    <t>PAT/G2425/811129</t>
  </si>
  <si>
    <t>VAR/G2425/956598</t>
  </si>
  <si>
    <t>DEL/BP//061345</t>
  </si>
  <si>
    <t>DEL/BP//061338</t>
  </si>
  <si>
    <t>DEL/BP//061337</t>
  </si>
  <si>
    <t>DEL/BP//061332</t>
  </si>
  <si>
    <t>ZIR/G2425/483004</t>
  </si>
  <si>
    <t>DEL/BP//061258</t>
  </si>
  <si>
    <t>DEL/BP//061257</t>
  </si>
  <si>
    <t>DEL/BP//061241</t>
  </si>
  <si>
    <t>DEL/BP//061239</t>
  </si>
  <si>
    <t>DEL/BP//061222</t>
  </si>
  <si>
    <t>DEL/BP//061201</t>
  </si>
  <si>
    <t>DEL/BP//061144</t>
  </si>
  <si>
    <t>DEL/BP//061140</t>
  </si>
  <si>
    <t>DEL/BP//061126</t>
  </si>
  <si>
    <t>DEL/BP//061117</t>
  </si>
  <si>
    <t>DEL/BP//061063</t>
  </si>
  <si>
    <t>NAG/I2425/361895</t>
  </si>
  <si>
    <t>DEL/BP//061056</t>
  </si>
  <si>
    <t>BHI/I2425/992077</t>
  </si>
  <si>
    <t>DEL/BP//061035</t>
  </si>
  <si>
    <t>NAG/I2425/361821</t>
  </si>
  <si>
    <t>BHI/G2425/991918</t>
  </si>
  <si>
    <t>JAI/G2425/301671</t>
  </si>
  <si>
    <t>NAG/I2425/361765</t>
  </si>
  <si>
    <t>DEL/BP//061011</t>
  </si>
  <si>
    <t>DEL/BP//061002</t>
  </si>
  <si>
    <t>DEL/BP//061000</t>
  </si>
  <si>
    <t>NAG/I2425/361700</t>
  </si>
  <si>
    <t>RAN/G2425/240601</t>
  </si>
  <si>
    <t>NAG/I2425/361643</t>
  </si>
  <si>
    <t>DEL/BP//060950</t>
  </si>
  <si>
    <t>DEL/BP//060938</t>
  </si>
  <si>
    <t>DEL/BP//060903</t>
  </si>
  <si>
    <t>NAG/I2425/361562</t>
  </si>
  <si>
    <t>DEL/BP//060862</t>
  </si>
  <si>
    <t>ZIR/I2425/482071</t>
  </si>
  <si>
    <t>BHI/I2425/991578</t>
  </si>
  <si>
    <t>NAG/I2425/361446</t>
  </si>
  <si>
    <t>KAN/G2425/946245</t>
  </si>
  <si>
    <t>DEL/BP//060722</t>
  </si>
  <si>
    <t>DEL/BP//060675</t>
  </si>
  <si>
    <t>DEL/BP//060637</t>
  </si>
  <si>
    <t>DEL/BP//060588</t>
  </si>
  <si>
    <t>DEL/BP//060506</t>
  </si>
  <si>
    <t>JE24900215</t>
  </si>
  <si>
    <t>JE24900211</t>
  </si>
  <si>
    <t>JE24900181</t>
  </si>
  <si>
    <t>DEL/BP//060453</t>
  </si>
  <si>
    <t>DEL/BP//060446</t>
  </si>
  <si>
    <t>DEL/BP//060440</t>
  </si>
  <si>
    <t>DEL/BP//060438</t>
  </si>
  <si>
    <t>ZIR/I2425/481128</t>
  </si>
  <si>
    <t>DEL/BP//060420</t>
  </si>
  <si>
    <t>DEL/BP//060411</t>
  </si>
  <si>
    <t>DEL/BP//060378</t>
  </si>
  <si>
    <t>DEL/BP//060347</t>
  </si>
  <si>
    <t>DEL/BP//060332</t>
  </si>
  <si>
    <t>DEL/BP//060305</t>
  </si>
  <si>
    <t>DEL/BP//060282</t>
  </si>
  <si>
    <t>DEL/BP//060213</t>
  </si>
  <si>
    <t>JE24900021</t>
  </si>
  <si>
    <t>DEL/BP//060211</t>
  </si>
  <si>
    <t>JAI/G2425/300321</t>
  </si>
  <si>
    <t>ZIR/I2425/480153</t>
  </si>
  <si>
    <t>DEL/BP//060052</t>
  </si>
  <si>
    <t>JAI/G2425/300055</t>
  </si>
  <si>
    <t>DEL/BP//060039</t>
  </si>
  <si>
    <t>BP/23-24/063111</t>
  </si>
  <si>
    <t>ZIR/I2324/487147</t>
  </si>
  <si>
    <t>BP/23-24/063075</t>
  </si>
  <si>
    <t>BP/23-24/062969</t>
  </si>
  <si>
    <t>BP/23-24/062968</t>
  </si>
  <si>
    <t>BP/23-24/062946</t>
  </si>
  <si>
    <t>BP/23-24/062914</t>
  </si>
  <si>
    <t>BP/23-24/062913</t>
  </si>
  <si>
    <t>BP/23-24/062877</t>
  </si>
  <si>
    <t>BP/23-24/062866</t>
  </si>
  <si>
    <t>BP/23-24/062862</t>
  </si>
  <si>
    <t>BP/23-24/062834</t>
  </si>
  <si>
    <t>BP/23-24/062802</t>
  </si>
  <si>
    <t>BP/23-24/062795</t>
  </si>
  <si>
    <t>BP/23-24/062790</t>
  </si>
  <si>
    <t>BP/23-24/062785</t>
  </si>
  <si>
    <t>BP/23-24/062693</t>
  </si>
  <si>
    <t>BP/23-24/062626</t>
  </si>
  <si>
    <t>BP/23-24/062434</t>
  </si>
  <si>
    <t>BP/23-24/062422</t>
  </si>
  <si>
    <t>BP/23-24/062221</t>
  </si>
  <si>
    <t>BP/23-24/062145</t>
  </si>
  <si>
    <t>BP/23-24/062126</t>
  </si>
  <si>
    <t>BP/23-24/062087</t>
  </si>
  <si>
    <t>BP/23-24/061990</t>
  </si>
  <si>
    <t>BP/23-24/061969</t>
  </si>
  <si>
    <t>BP/23-24/061920</t>
  </si>
  <si>
    <t>BP/23-24/061898</t>
  </si>
  <si>
    <t>NAG/G2324/362554</t>
  </si>
  <si>
    <t>BP/23-24/061520</t>
  </si>
  <si>
    <t>BP/23-24/061293</t>
  </si>
  <si>
    <t>BP/23-24/061103</t>
  </si>
  <si>
    <t>BP/23-24/061025</t>
  </si>
  <si>
    <t>BP/23-24/061022</t>
  </si>
  <si>
    <t>BP/23-24/060970</t>
  </si>
  <si>
    <t>KAN/G2324/947071</t>
  </si>
  <si>
    <t>ZIR/I2324/482073</t>
  </si>
  <si>
    <t>BP/23-24/060764</t>
  </si>
  <si>
    <t>BP/23-24/060735</t>
  </si>
  <si>
    <t>BP/23-24/060641</t>
  </si>
  <si>
    <t>BP/23-24/060576</t>
  </si>
  <si>
    <t>AHM/G2324/211264</t>
  </si>
  <si>
    <t>BP/23-24/060317</t>
  </si>
  <si>
    <t>BP/23-24/060263</t>
  </si>
  <si>
    <t>BP/23-24/060227</t>
  </si>
  <si>
    <t>RAI/G2324/330051</t>
  </si>
  <si>
    <t>AHM/G2324/210224</t>
  </si>
  <si>
    <t>BP/23-24/060147</t>
  </si>
  <si>
    <t>BP/23-24/060057</t>
  </si>
  <si>
    <t>BHI/G2223/993354</t>
  </si>
  <si>
    <t>BP/22-23/062055</t>
  </si>
  <si>
    <t>BP/22-23/061980</t>
  </si>
  <si>
    <t>BP/22-23/061203</t>
  </si>
  <si>
    <t>BP/22-23/061191</t>
  </si>
  <si>
    <t>BP/22-23/061186</t>
  </si>
  <si>
    <t>BP/22-23/061119</t>
  </si>
  <si>
    <t>BP/22-23/060958</t>
  </si>
  <si>
    <t>HAL/G2223/070410</t>
  </si>
  <si>
    <t>KAN/G2223/946766</t>
  </si>
  <si>
    <t>BP/22-23/060534</t>
  </si>
  <si>
    <t>BP/22-23/060533</t>
  </si>
  <si>
    <t>BP/22-23/060439</t>
  </si>
  <si>
    <t>HAL/G2223/070148</t>
  </si>
  <si>
    <t>DEL/G2223/450358</t>
  </si>
  <si>
    <t>VAR/G2223/955100</t>
  </si>
  <si>
    <t>BP/21-22/061499</t>
  </si>
  <si>
    <t>AHM/G2122/211878</t>
  </si>
  <si>
    <t>BP/18-19/006584</t>
  </si>
  <si>
    <t>BP/17-18/004225</t>
  </si>
  <si>
    <t>BP/17-18/001521</t>
  </si>
  <si>
    <t>31-90 Days</t>
  </si>
  <si>
    <t>AD1321</t>
  </si>
  <si>
    <t>B.K TRADERS/JEWAR</t>
  </si>
  <si>
    <t>DD0290</t>
  </si>
  <si>
    <t>Shri Shyam Electronics/HANUMANGARH</t>
  </si>
  <si>
    <t>DD1427</t>
  </si>
  <si>
    <t>HARSH TRADING/DAHANU</t>
  </si>
  <si>
    <t>AD4073</t>
  </si>
  <si>
    <t>SEFALI COMMERCIAL PRIVATE LIMITED/B</t>
  </si>
  <si>
    <t>AD3885</t>
  </si>
  <si>
    <t>SRI STORES / PUNSIYA</t>
  </si>
  <si>
    <t>AD4235</t>
  </si>
  <si>
    <t>NATRAJ FOOD PRODUCTS/Bilaspur</t>
  </si>
  <si>
    <t>AD3005</t>
  </si>
  <si>
    <t>MALIK ENTERPRISES/ JHABRERA</t>
  </si>
  <si>
    <t>DD0885</t>
  </si>
  <si>
    <t>DARSHAN TRADING/VASHI</t>
  </si>
  <si>
    <t>AD4366</t>
  </si>
  <si>
    <t>RAJ &amp; SONS/BHARATPUR</t>
  </si>
  <si>
    <t>AD1765</t>
  </si>
  <si>
    <t>KRISHNA ENTERPRISES / BATHINDA</t>
  </si>
  <si>
    <t xml:space="preserve">Done </t>
  </si>
  <si>
    <t>Entry Correction</t>
  </si>
  <si>
    <t>Payment Done</t>
  </si>
  <si>
    <t>Payment Hold due to Scheme/claims</t>
  </si>
  <si>
    <t>No Confirmation</t>
  </si>
  <si>
    <t>Will adjsust with next invoice</t>
  </si>
  <si>
    <t>Wrong Entry</t>
  </si>
  <si>
    <t xml:space="preserve">Payment Received Till 26-05-2026 </t>
  </si>
  <si>
    <t>Adjust Next Cheque</t>
  </si>
  <si>
    <t>Payment committed for future Date 30-05-2026</t>
  </si>
  <si>
    <t xml:space="preserve">Payment Received Till 22-05-2026 </t>
  </si>
  <si>
    <t xml:space="preserve">Payment Received Till 23-05-2026 </t>
  </si>
  <si>
    <t xml:space="preserve">Payment Received Till 22-05-2026 &amp; 25-05-2026 </t>
  </si>
  <si>
    <t>Payment done</t>
  </si>
  <si>
    <t xml:space="preserve">Payment Received Till 29-05-2026 &amp; 10-06-2026 </t>
  </si>
  <si>
    <t xml:space="preserve">Payment Received Till 29-05-2026 </t>
  </si>
  <si>
    <t xml:space="preserve">Payment Received Till 28-05-2026 </t>
  </si>
  <si>
    <t>Dure to Fan FOC not received  (Payment Received Till 26-05-2026 )</t>
  </si>
  <si>
    <t xml:space="preserve">Payment Received Till 30-05-2026 </t>
  </si>
  <si>
    <t xml:space="preserve">Payment Received Till 25-05-2026 </t>
  </si>
  <si>
    <t>Rs 1.35 Paymnet transfer till 23th May and Rs2.74 adjust against Van Claim (Feb to April)</t>
  </si>
  <si>
    <t>NEFT Done</t>
  </si>
  <si>
    <t>Rs 1.37 adjust against Van claim (Feb-April)</t>
  </si>
  <si>
    <t xml:space="preserve">Payment Received Till 22-05-2026 &amp; 23-05-2026 </t>
  </si>
  <si>
    <t xml:space="preserve">Payment Received Till 27-05-2026 </t>
  </si>
  <si>
    <t>write off</t>
  </si>
  <si>
    <t>No Dues as on date</t>
  </si>
  <si>
    <t xml:space="preserve">Payment Received Done 26-05-2026 </t>
  </si>
  <si>
    <t xml:space="preserve">Payment Received Done 28-05-2026 </t>
  </si>
  <si>
    <t>Hold due to 3 months van claim</t>
  </si>
  <si>
    <t xml:space="preserve">Last 3 Months Ven Clam Pending </t>
  </si>
  <si>
    <t>Closed  Through SRN</t>
  </si>
  <si>
    <t xml:space="preserve">Payment Received Till 30-05-2026 &amp; 10-06-2026 </t>
  </si>
  <si>
    <t xml:space="preserve">Payment Received Till 30-05-2026 &amp; 15-06-2026 </t>
  </si>
  <si>
    <t xml:space="preserve">Payment Received Done 25-05-2026 </t>
  </si>
  <si>
    <t>Payment Received Till 25-5-2026</t>
  </si>
  <si>
    <t>Adjust against Defective Stock, Stock reached at depot</t>
  </si>
  <si>
    <t>Due to FOC late  Payment Received Till 28-05-2026</t>
  </si>
  <si>
    <t>Monday evening we will discuss</t>
  </si>
  <si>
    <t xml:space="preserve">Legal is required </t>
  </si>
  <si>
    <t>F&amp;F settlement</t>
  </si>
  <si>
    <t>we shall request for CN</t>
  </si>
  <si>
    <t xml:space="preserve">Payment Received Till 15-06-2026 </t>
  </si>
  <si>
    <t>Part payment till 15-06-2026 and Balace through FOC</t>
  </si>
  <si>
    <t xml:space="preserve">Closed Through SRN </t>
  </si>
  <si>
    <t>will be setled as per next coulmn</t>
  </si>
  <si>
    <t xml:space="preserve">F&amp;F settlement, CN issue </t>
  </si>
  <si>
    <t xml:space="preserve">Payment Received Till 05-06-2026 </t>
  </si>
  <si>
    <t>Closed Payment Received Till 28-05-2026</t>
  </si>
  <si>
    <t>F&amp;F</t>
  </si>
  <si>
    <t>Closed Payment Received Till 30-05-2026</t>
  </si>
  <si>
    <t xml:space="preserve">Closed Payment Received Till 07-06-2026 </t>
  </si>
  <si>
    <t>Taking Time, SRN is the solution</t>
  </si>
  <si>
    <t>Through damage (Payment Received Till 30-05-2026 )</t>
  </si>
  <si>
    <t xml:space="preserve">Payment Received Till 25-06-2026 </t>
  </si>
  <si>
    <t xml:space="preserve">Payment Received Till 27-06-2026 </t>
  </si>
  <si>
    <t>3 L Done ,Remaining will be done on 25 May</t>
  </si>
  <si>
    <t xml:space="preserve">Claim Issue of same amt. /FNF party </t>
  </si>
  <si>
    <t xml:space="preserve">Cheque at bank </t>
  </si>
  <si>
    <t>Wiil be cleared by 23-05</t>
  </si>
  <si>
    <t>Will be cleared on 25-May</t>
  </si>
  <si>
    <t>Outstanding will be adjusted in FNF</t>
  </si>
  <si>
    <t>Late supply stock</t>
  </si>
  <si>
    <t>Will be adjusted in next invoice</t>
  </si>
  <si>
    <t xml:space="preserve">Poor SO </t>
  </si>
  <si>
    <t>Will be cleared 26 May</t>
  </si>
  <si>
    <t xml:space="preserve">1.40 left only ,not fully updated </t>
  </si>
  <si>
    <t xml:space="preserve">3.80 left only ,not fully updated </t>
  </si>
  <si>
    <t xml:space="preserve">3.61 RTGS done </t>
  </si>
  <si>
    <t xml:space="preserve">1.80 Done </t>
  </si>
  <si>
    <t>4 L Will be cleared this month</t>
  </si>
  <si>
    <t>Follow up by ASH ,didn’t reply on call</t>
  </si>
  <si>
    <t>SRN pending (Old Stock )</t>
  </si>
  <si>
    <t>To be cleared as FnF</t>
  </si>
  <si>
    <t>All Clear</t>
  </si>
  <si>
    <t>13K pending</t>
  </si>
  <si>
    <t>Will collect by Monday</t>
  </si>
  <si>
    <t>Tomorrow he will clear</t>
  </si>
  <si>
    <t>Will collect by month end</t>
  </si>
  <si>
    <t>Today will Clear</t>
  </si>
  <si>
    <t>Customer is saying huge Market OS</t>
  </si>
  <si>
    <t>Taking directly followup , DB is saying today</t>
  </si>
  <si>
    <t xml:space="preserve">Market overdues is high, will transfer on Tuesday </t>
  </si>
  <si>
    <t>Will collect by Tuesday</t>
  </si>
  <si>
    <t>will collect</t>
  </si>
  <si>
    <t>Party closed, and CN Pending</t>
  </si>
  <si>
    <t>will collect till 15th June</t>
  </si>
  <si>
    <t>will Clear by Next Week</t>
  </si>
  <si>
    <t>CN Pending will discussed with DB &amp; clear till June</t>
  </si>
  <si>
    <t>Already clear</t>
  </si>
  <si>
    <t>17k Pending</t>
  </si>
  <si>
    <t>Will clear in Next Month 1st Week</t>
  </si>
  <si>
    <t>Will collect by month End</t>
  </si>
  <si>
    <t>Expiry stock sent to depo/CN pending</t>
  </si>
  <si>
    <t>CN Pending</t>
  </si>
  <si>
    <t>will collect in Next month</t>
  </si>
  <si>
    <t>Replacement Pending</t>
  </si>
  <si>
    <t>Article issue</t>
  </si>
  <si>
    <t>Monday will Clear</t>
  </si>
  <si>
    <t>will collect till 10th June</t>
  </si>
  <si>
    <t>7-505-ODS</t>
  </si>
  <si>
    <t>OB0100</t>
  </si>
  <si>
    <t>SRI GANESH AGENCIES</t>
  </si>
  <si>
    <t>OB0289</t>
  </si>
  <si>
    <t>NOOR TRADERS</t>
  </si>
  <si>
    <t>OB0292</t>
  </si>
  <si>
    <t>SHIV ENTERPRISES</t>
  </si>
  <si>
    <t>OB0322</t>
  </si>
  <si>
    <t>M/S SAIRAM AGENCY</t>
  </si>
  <si>
    <t>OB0342</t>
  </si>
  <si>
    <t>TILOTTAMA AGENCY</t>
  </si>
  <si>
    <t>OD0066</t>
  </si>
  <si>
    <t>M/S RUDRAA ENTERPRISERS</t>
  </si>
  <si>
    <t>OS0103</t>
  </si>
  <si>
    <t>PRATIK ENTERPRISES</t>
  </si>
  <si>
    <t>7-503-SAP</t>
  </si>
  <si>
    <t>AP0377</t>
  </si>
  <si>
    <t>SUPREME ENTERPRISES</t>
  </si>
  <si>
    <t>AP0874</t>
  </si>
  <si>
    <t>BALAJI ENTERPRISES</t>
  </si>
  <si>
    <t>AP0893</t>
  </si>
  <si>
    <t>SAI MARUTHI GENERAL STORES</t>
  </si>
  <si>
    <t>AP0902</t>
  </si>
  <si>
    <t>SRI RK TRADERS</t>
  </si>
  <si>
    <t>AP0943</t>
  </si>
  <si>
    <t>VENKATADURGA AGENCIES</t>
  </si>
  <si>
    <t>AP0970</t>
  </si>
  <si>
    <t>SAI SREENIVASA MARKETINGS</t>
  </si>
  <si>
    <t>AP1034</t>
  </si>
  <si>
    <t>SUJITHA TRADERS</t>
  </si>
  <si>
    <t>AP1043</t>
  </si>
  <si>
    <t>SRI RAMA ELECTRICALS</t>
  </si>
  <si>
    <t>AP1071</t>
  </si>
  <si>
    <t>K V S DISTRIBUTORS</t>
  </si>
  <si>
    <t>6-403-KER</t>
  </si>
  <si>
    <t>KL0104</t>
  </si>
  <si>
    <t>SREE VIGNESHWARA TRADERS</t>
  </si>
  <si>
    <t>7-502-TGS</t>
  </si>
  <si>
    <t>TL0116</t>
  </si>
  <si>
    <t>SNEHA ENTERPRISES</t>
  </si>
  <si>
    <t>TL0240</t>
  </si>
  <si>
    <t>GAYATHRI ENTERPRISES</t>
  </si>
  <si>
    <t>TL0455</t>
  </si>
  <si>
    <t>SIRI ENTERPRISES</t>
  </si>
  <si>
    <t>TL0479</t>
  </si>
  <si>
    <t>SRI DEVI SANITARY &amp; ELECTRICAL</t>
  </si>
  <si>
    <t>TL0544</t>
  </si>
  <si>
    <t>SRI SAIRAM ENTERPRISES</t>
  </si>
  <si>
    <t>TL0565</t>
  </si>
  <si>
    <t>PRAKASH ELECTRICAL &amp; SANITARY</t>
  </si>
  <si>
    <t>TL0573</t>
  </si>
  <si>
    <t>M/S NATIONAL AGENCIES</t>
  </si>
  <si>
    <t>TL0611</t>
  </si>
  <si>
    <t>SARITHA ELECTRICALS</t>
  </si>
  <si>
    <t>TL0613</t>
  </si>
  <si>
    <t>SRI MANNI AGENCIES</t>
  </si>
  <si>
    <t>TL0615</t>
  </si>
  <si>
    <t>BALAJI ELECTRICAL &amp; HARDWARE</t>
  </si>
  <si>
    <t>6-409-NKA</t>
  </si>
  <si>
    <t>KA0604</t>
  </si>
  <si>
    <t>AYUSH ELECTRICAL AND AGENCY</t>
  </si>
  <si>
    <t>KA0776</t>
  </si>
  <si>
    <t>B A ENTERPRISE</t>
  </si>
  <si>
    <t>KA0794</t>
  </si>
  <si>
    <t>SHRI SAI TRADERS</t>
  </si>
  <si>
    <t>KA0824</t>
  </si>
  <si>
    <t>SRI MALLIKARJUNA TRADERS</t>
  </si>
  <si>
    <t>KA0858</t>
  </si>
  <si>
    <t>MALATESH ENTERPRISES</t>
  </si>
  <si>
    <t>KA0892</t>
  </si>
  <si>
    <t>MAHALAKSHMI AGENCIES</t>
  </si>
  <si>
    <t>KA0948</t>
  </si>
  <si>
    <t>CHETHANA ENTERPRISES</t>
  </si>
  <si>
    <t>7-504-NAP</t>
  </si>
  <si>
    <t>AP0030</t>
  </si>
  <si>
    <t>DIVYA DISTRIBUTORS(NEW)</t>
  </si>
  <si>
    <t>AP0116</t>
  </si>
  <si>
    <t>RAMA LAKSHMI ENTERPRISES</t>
  </si>
  <si>
    <t>AP0179</t>
  </si>
  <si>
    <t>SRI GRANDHI AGENCIES</t>
  </si>
  <si>
    <t>AP0323</t>
  </si>
  <si>
    <t>GEETHIKA GENERAL STORES</t>
  </si>
  <si>
    <t>AP0679</t>
  </si>
  <si>
    <t>SRI RAJA AGENCIES</t>
  </si>
  <si>
    <t>AP0695</t>
  </si>
  <si>
    <t>SRI VASAVI TRADERS</t>
  </si>
  <si>
    <t>AP0738</t>
  </si>
  <si>
    <t>SRI DURGA DEVI ENTERPRISES</t>
  </si>
  <si>
    <t>AP0755</t>
  </si>
  <si>
    <t>SRI VISWAKRISHNA AGENCIES</t>
  </si>
  <si>
    <t>AP0792</t>
  </si>
  <si>
    <t>PAVAN PUTRA ENTERPRISES</t>
  </si>
  <si>
    <t>AP0914</t>
  </si>
  <si>
    <t>SWATI ENTERPRISES</t>
  </si>
  <si>
    <t>AP1001</t>
  </si>
  <si>
    <t>SRI KARTHIKEYA AGENCIES</t>
  </si>
  <si>
    <t>AP1041</t>
  </si>
  <si>
    <t>MANIKANTA TRADERS</t>
  </si>
  <si>
    <t>6-402-STN</t>
  </si>
  <si>
    <t>CB0583</t>
  </si>
  <si>
    <t>JRT ENTERPRISES</t>
  </si>
  <si>
    <t>CB0602</t>
  </si>
  <si>
    <t>KUMARAN AGENCY</t>
  </si>
  <si>
    <t>CB0917</t>
  </si>
  <si>
    <t>ANNAI TRADERS</t>
  </si>
  <si>
    <t>TN0955</t>
  </si>
  <si>
    <t>SANTHOSH ENTEPRISES</t>
  </si>
  <si>
    <t>TN1368</t>
  </si>
  <si>
    <t>V.G.B TRADERS</t>
  </si>
  <si>
    <t>TN1424</t>
  </si>
  <si>
    <t>ABHI ENTERPRISES</t>
  </si>
  <si>
    <t>6-407-BLR</t>
  </si>
  <si>
    <t>KA0193</t>
  </si>
  <si>
    <t>SUMEDHA BUSINESS LINK</t>
  </si>
  <si>
    <t>KA0711</t>
  </si>
  <si>
    <t>SHANTHALA ENTERPRISES</t>
  </si>
  <si>
    <t>KA0853</t>
  </si>
  <si>
    <t>R.C.ENTERPRISES</t>
  </si>
  <si>
    <t>KA0879</t>
  </si>
  <si>
    <t>SHRI BEERESHWARA SWAMY ENTERPRISES</t>
  </si>
  <si>
    <t>KA0881</t>
  </si>
  <si>
    <t>SHREE GANESH GENERAL STORE</t>
  </si>
  <si>
    <t>KA0893</t>
  </si>
  <si>
    <t>R.P.DISTRIBUTORS</t>
  </si>
  <si>
    <t>KA0916</t>
  </si>
  <si>
    <t>AAINATH FANCY</t>
  </si>
  <si>
    <t>KA0934</t>
  </si>
  <si>
    <t>S K AGENCY</t>
  </si>
  <si>
    <t>KA0940</t>
  </si>
  <si>
    <t>S &amp; S ENTERPRISES</t>
  </si>
  <si>
    <t>KA0943</t>
  </si>
  <si>
    <t>RAJASHREE ENTERPRISES</t>
  </si>
  <si>
    <t>KA0946</t>
  </si>
  <si>
    <t>SHALOM ENTERPRISES</t>
  </si>
  <si>
    <t>KA0952</t>
  </si>
  <si>
    <t>NANKIA ELECTRICALS</t>
  </si>
  <si>
    <t>KA0955</t>
  </si>
  <si>
    <t>MATAJI TRADING CO</t>
  </si>
  <si>
    <t>KA0959</t>
  </si>
  <si>
    <t>SHREE MANJUNATHA ENTERPRISES</t>
  </si>
  <si>
    <t>KA0964</t>
  </si>
  <si>
    <t>BHAVANI ENTERPRISES</t>
  </si>
  <si>
    <t>7-501-HYD</t>
  </si>
  <si>
    <t>TL0414</t>
  </si>
  <si>
    <t>SRI NARASIMHA AGENCIES</t>
  </si>
  <si>
    <t>TL0548</t>
  </si>
  <si>
    <t>MAXWELL ELECTRICALS</t>
  </si>
  <si>
    <t>6-406-MAA</t>
  </si>
  <si>
    <t>TN0058</t>
  </si>
  <si>
    <t>HANUMAN AGENCY</t>
  </si>
  <si>
    <t>TN0505</t>
  </si>
  <si>
    <t>M.M.S.ENTERPRISES</t>
  </si>
  <si>
    <t>PENDING TO COLLECT</t>
  </si>
  <si>
    <t xml:space="preserve">payment will clear by 25th </t>
  </si>
  <si>
    <t>DB Disputes</t>
  </si>
  <si>
    <t>Sales return stock at depot (approval pending HO)</t>
  </si>
  <si>
    <t>Payment will clear by 28th</t>
  </si>
  <si>
    <t xml:space="preserve">payment will clear by 23rd </t>
  </si>
  <si>
    <t>Stock recived Depot 5 lac approval pending HO &amp; FOC need to adjust  (taken competion dealership)</t>
  </si>
  <si>
    <t xml:space="preserve">Partial payment 5 lac on 26th and balance will on 30th </t>
  </si>
  <si>
    <t>PAYMENT WILL CLEAR BY 23-05-26</t>
  </si>
  <si>
    <t>PAYMENT WILL CLEAR BY 25-05-26</t>
  </si>
  <si>
    <t>DB will return the stock next month after settlement will clear balance payment</t>
  </si>
  <si>
    <t xml:space="preserve">FOC need to adjust </t>
  </si>
  <si>
    <t>PAYMENT WILL CLEAR BY 26-05-26</t>
  </si>
  <si>
    <t>Stock Return Value worth 0.64, Mail by 22nd May</t>
  </si>
  <si>
    <t>Defective stock &amp; Saleable worth 1.80L</t>
  </si>
  <si>
    <t>Stock Return worth 0.32k</t>
  </si>
  <si>
    <t>0.30k by month end Defective stock worth 0.15k</t>
  </si>
  <si>
    <t xml:space="preserve">Payment will clear by next month </t>
  </si>
  <si>
    <t>30k cleared 22nd and balance FOC need adjusted</t>
  </si>
  <si>
    <t>PAYMENT WILL DONE BY 29-05-26</t>
  </si>
  <si>
    <t>PAYMENT WILL DONE BY 30-05-26</t>
  </si>
  <si>
    <t>DB disputes</t>
  </si>
  <si>
    <t xml:space="preserve">DB father exipred will clear payment by next month </t>
  </si>
  <si>
    <t>PAYMENT WILL DONE BY 28-05-26</t>
  </si>
  <si>
    <t>Partial 0.50 23rd and balance 25th Monday</t>
  </si>
  <si>
    <t>Sales return 5.5 lac , Damage-Defective 3 lac (Sent to Depot ) and balance amt will be paid by 10th Jun</t>
  </si>
  <si>
    <t>Stock Return, FOC apporximate value 0.25k yet initiate the return</t>
  </si>
  <si>
    <t>payment will clear by 25th</t>
  </si>
  <si>
    <t>Defective stock worth 1.5L , Balance payment will clear 1.5</t>
  </si>
  <si>
    <t xml:space="preserve">Payment will clear by 23rd </t>
  </si>
  <si>
    <t>0.98k FOC need to be adjusted in O/S 19th May,Balance will be cleared 28th May</t>
  </si>
  <si>
    <t>1.4 lac cleared on 22nd balance 25th and 30th</t>
  </si>
  <si>
    <t>Need to check with Depo (Disputes in defecive stocks)</t>
  </si>
  <si>
    <t>Payment will clear 30th</t>
  </si>
  <si>
    <t>Mail sent Stock Return value 2.83L sent to depo &amp; FOC Value 0.08k (approval is pending)</t>
  </si>
  <si>
    <t xml:space="preserve">Stock Return (Stock at depot approval received ) need adjust </t>
  </si>
  <si>
    <t>Stock Return, FOC apporximate value 0.20k</t>
  </si>
  <si>
    <t>Payment will clear by 25th</t>
  </si>
  <si>
    <t>Stock returned to Depot 32k and balance amt  will be clear by  25th Monday</t>
  </si>
  <si>
    <t xml:space="preserve">full Payment will be collected by Wednesday partial payment 2 lac by Monday </t>
  </si>
  <si>
    <t xml:space="preserve">Damage-Defective 0.50 lac (Sent to Depot ) and FOC need accounted </t>
  </si>
  <si>
    <t>&gt; 15 days Total</t>
  </si>
  <si>
    <t>Legal-New</t>
  </si>
  <si>
    <t>SRN to other distributor</t>
  </si>
  <si>
    <t>Amount not Clear Due to Company Make CN NSB Value -scheme FOC and damage</t>
  </si>
  <si>
    <t>check receiving date</t>
  </si>
  <si>
    <t>Bhagwati Traders Cr</t>
  </si>
  <si>
    <t>SRN Stock to be checked at depot</t>
  </si>
  <si>
    <t>Seconday FOC</t>
  </si>
  <si>
    <t>Legal-ASM to visit</t>
  </si>
  <si>
    <t>warranty stock replacement</t>
  </si>
  <si>
    <t>DB disputes - 27k ots</t>
  </si>
  <si>
    <t>GST difference</t>
  </si>
  <si>
    <t>&gt;30th Sep = new legal</t>
  </si>
  <si>
    <t>Party is Pragati. Advance billing but scheme not given on primary for 3UH. SO OD is howing</t>
  </si>
  <si>
    <t>50-50 consignment billing</t>
  </si>
  <si>
    <t>Radioms FNF pending. Will resume work once Radioms issue is sorted out</t>
  </si>
  <si>
    <t xml:space="preserve">LED  and torches payment not received from market. Will do FNF of this DB </t>
  </si>
  <si>
    <t>Billing done for 7.5L to give to OM Trading on March closing. But OM had not taken stock.  Paid 3L till  now.  Will pay 3L by 26th .  Rest 1.5 L by 28th May</t>
  </si>
  <si>
    <t>4.45 L stock recovered and shifted to Mishuk Enterprise godown.  Balance 2.73 L.  Need fresh invoice of 2.73L</t>
  </si>
  <si>
    <t>SRN Done CN pending.</t>
  </si>
  <si>
    <t>Payment already  clear on 22/05/26</t>
  </si>
  <si>
    <t>FOC CN and damage pending for FNF-ASH to send mail to Om for Navaratna schemes</t>
  </si>
  <si>
    <t>Party is absconding after WB election results as he is TMC leader.</t>
  </si>
  <si>
    <t>Billed 7.5 Lac on March closing. 2.5 L paid. 2.5L by 28th May. Rest 2L by 10th June</t>
  </si>
  <si>
    <t xml:space="preserve">Party not responfing.  SO will  visit on 25th May </t>
  </si>
  <si>
    <t xml:space="preserve">Damage issue.  </t>
  </si>
  <si>
    <t>Party not receiving phone and don’t want to pay any money. Not ready to meet</t>
  </si>
  <si>
    <t>Damage CN pending. Old issue. Will sort out by 1st week of June</t>
  </si>
  <si>
    <t>FOC CN pending</t>
  </si>
  <si>
    <t>Paying 20k each month</t>
  </si>
  <si>
    <t>Party  not responding</t>
  </si>
  <si>
    <t>Party not responfing.  SO will again visit on 27th May</t>
  </si>
  <si>
    <t>Party not receiving phone and don’t want to pay any money.</t>
  </si>
  <si>
    <t>Spoke to party.  FNF already done 1 year ago</t>
  </si>
  <si>
    <t>Proprietor has died</t>
  </si>
  <si>
    <t>SRN Done CN Pending.</t>
  </si>
  <si>
    <t>AP0394</t>
  </si>
  <si>
    <t>SREE VASAVI AGENCIES</t>
  </si>
  <si>
    <t>AP0674</t>
  </si>
  <si>
    <t>SRI VINAYAKA DURGA AGENICIES</t>
  </si>
  <si>
    <t>AP0832</t>
  </si>
  <si>
    <t>SRI BALAJI ENTERPRISES</t>
  </si>
  <si>
    <t>AP1022</t>
  </si>
  <si>
    <t>M/S SRI KANAKAMAHALAKSHMI AGENCIES</t>
  </si>
  <si>
    <t>AP0250</t>
  </si>
  <si>
    <t>SRI VENKATA RAJYA LAKSHMI GENERAL STORES</t>
  </si>
  <si>
    <t>AP0270</t>
  </si>
  <si>
    <t>SURYA AGENCIES</t>
  </si>
  <si>
    <t>AP0665</t>
  </si>
  <si>
    <t>JAYALAKSHMI TRADERS</t>
  </si>
  <si>
    <t>AP0687</t>
  </si>
  <si>
    <t>CHANDRA AGENCIES</t>
  </si>
  <si>
    <t>AP0767</t>
  </si>
  <si>
    <t>SHREE SHAKTHI AGENCY</t>
  </si>
  <si>
    <t>AP0931</t>
  </si>
  <si>
    <t>MKS ELECTRICALS</t>
  </si>
  <si>
    <t>AP1014</t>
  </si>
  <si>
    <t>M/S SRI HANUMAN ENTERPRISES</t>
  </si>
  <si>
    <t>AP1059</t>
  </si>
  <si>
    <t>RAMASAI ELECTRICALS</t>
  </si>
  <si>
    <t>AP1066</t>
  </si>
  <si>
    <t>SRI LAKSHMI POLERAMMA HARDWARE &amp; ELECTRICALS</t>
  </si>
  <si>
    <t>TL0231</t>
  </si>
  <si>
    <t>MAHALAXMI AGENCIES</t>
  </si>
  <si>
    <t>TL0534</t>
  </si>
  <si>
    <t>SRESHTA AGENCIES</t>
  </si>
  <si>
    <t>TL0629</t>
  </si>
  <si>
    <t>SREE LAXMINARSIMHA ENTERPRISES</t>
  </si>
  <si>
    <t>KA0713</t>
  </si>
  <si>
    <t>HARISH AGENCY</t>
  </si>
  <si>
    <t>KA0751</t>
  </si>
  <si>
    <t>SGRS ENTERPRISES</t>
  </si>
  <si>
    <t>KA0206</t>
  </si>
  <si>
    <t>VIJAY DISTRIBUTORS</t>
  </si>
  <si>
    <t>KA0643</t>
  </si>
  <si>
    <t>OM SHAKTHI ENTERPRISE</t>
  </si>
  <si>
    <t>KA0738</t>
  </si>
  <si>
    <t>SRI VASAVI ENTERPRISES</t>
  </si>
  <si>
    <t>KA0801</t>
  </si>
  <si>
    <t>M M ENTERPRISES</t>
  </si>
  <si>
    <t>KA0865</t>
  </si>
  <si>
    <t>PANCHAJANYA ENTERPRISES</t>
  </si>
  <si>
    <t>KA0871</t>
  </si>
  <si>
    <t>AMRUTHA ENTERPRISES</t>
  </si>
  <si>
    <t>TN0129</t>
  </si>
  <si>
    <t>M.S.R. ENTERPRISES</t>
  </si>
  <si>
    <t>TN0228</t>
  </si>
  <si>
    <t>SRI ABIRAMI ENTERPRISES</t>
  </si>
  <si>
    <t>CB0128</t>
  </si>
  <si>
    <t>NANDEEP TRADERS</t>
  </si>
  <si>
    <t>CB0565</t>
  </si>
  <si>
    <t>ADAM TRADERS</t>
  </si>
  <si>
    <t>CB0576</t>
  </si>
  <si>
    <t>PULIYANATH ELECTRICALS</t>
  </si>
  <si>
    <t>KL0345</t>
  </si>
  <si>
    <t>VILATHUR AGENCIES</t>
  </si>
  <si>
    <t>TN0970</t>
  </si>
  <si>
    <t>SRI AKSHAYA ELECTRICALS</t>
  </si>
  <si>
    <t>TN1228</t>
  </si>
  <si>
    <t>A.T.K.ENTERPRISES</t>
  </si>
  <si>
    <t>TN1241</t>
  </si>
  <si>
    <t>ANNAI ELECTRICAL AND HARDWARE</t>
  </si>
  <si>
    <t>South</t>
  </si>
  <si>
    <t>AD0033</t>
  </si>
  <si>
    <t>GUPTA ENTERPRISES / YAMUNA VIHAR</t>
  </si>
  <si>
    <t>AD3668</t>
  </si>
  <si>
    <t>PRINCE ENTERPRISE/DELHI</t>
  </si>
  <si>
    <t>AD0035</t>
  </si>
  <si>
    <t>JAIN SALES/DELHI</t>
  </si>
  <si>
    <t>AD0114</t>
  </si>
  <si>
    <t>KANHA TRADING COMPANY/BHIWANI</t>
  </si>
  <si>
    <t>AD2639</t>
  </si>
  <si>
    <t>JASS TRADERS/PHAGWARA</t>
  </si>
  <si>
    <t>AD4374</t>
  </si>
  <si>
    <t>Mangla Traders/Karnal</t>
  </si>
  <si>
    <t>CSAD0147</t>
  </si>
  <si>
    <t>SUBHASH CHAND &amp; SONS/Aut</t>
  </si>
  <si>
    <t>SDS0121</t>
  </si>
  <si>
    <t>PANKAJ FURNITURE &amp; P R TRADING/RAIA</t>
  </si>
  <si>
    <t>AD0029</t>
  </si>
  <si>
    <t>ASSOCIATED BUSINESS CORPORATION / D</t>
  </si>
  <si>
    <t>2-206-JHA</t>
  </si>
  <si>
    <t>AD4382</t>
  </si>
  <si>
    <t>BHAVYA AGENCY/MEDININAGAR</t>
  </si>
  <si>
    <t>SD0114</t>
  </si>
  <si>
    <t>AYUSH ELECTRICALS/MUZAFFARPUR/CF)</t>
  </si>
  <si>
    <t>DD0004</t>
  </si>
  <si>
    <t>KISAN ELECTRICALS AND DECORATION/DE</t>
  </si>
  <si>
    <t>AD2046</t>
  </si>
  <si>
    <t>KRISHNA AGENCY/RAMGANJ MANDI)</t>
  </si>
  <si>
    <t>DD0816</t>
  </si>
  <si>
    <t>KANDARI TRADERS/Agrakhal</t>
  </si>
  <si>
    <t>AD2715</t>
  </si>
  <si>
    <t>OM SAI RAM TRADERS/SUBHASH NAGAR</t>
  </si>
  <si>
    <t>AD3666</t>
  </si>
  <si>
    <t>M/S RAMA AGENCY/LUCKNOW</t>
  </si>
  <si>
    <t>AD0389</t>
  </si>
  <si>
    <t>RITIK AGENCIES / MERACHI</t>
  </si>
  <si>
    <t>SDS0111</t>
  </si>
  <si>
    <t>NS2 ENTERPRISES/ALIGARH</t>
  </si>
  <si>
    <t>AD1099</t>
  </si>
  <si>
    <t>SUMAN ENTERPRISES / SAIDPUR</t>
  </si>
  <si>
    <t>AD0882</t>
  </si>
  <si>
    <t>SHRI ADHINATH TRADERS / PATTI</t>
  </si>
  <si>
    <t>SDS0189</t>
  </si>
  <si>
    <t>A R R KAMUNI AGENCY/SOLAPUR</t>
  </si>
  <si>
    <t>AD3414</t>
  </si>
  <si>
    <t>GURU KIRPA TRADERS/AMRITSAR</t>
  </si>
  <si>
    <t>AD2400</t>
  </si>
  <si>
    <t>KANCHAN AGENCIES/PIMPRI</t>
  </si>
  <si>
    <t>SDS0089</t>
  </si>
  <si>
    <t>ANVI ENTERPRISES/AHMEDNAGAR AHMEDNAGAR</t>
  </si>
  <si>
    <t>AD3802</t>
  </si>
  <si>
    <t>SRI GOPAL TRADING CO. / KHILA</t>
  </si>
  <si>
    <t>AD3822</t>
  </si>
  <si>
    <t>DAMODAR AGENCY/KOLKATA</t>
  </si>
  <si>
    <t>AD4111</t>
  </si>
  <si>
    <t>ARIHANT TRADERS/DELHI</t>
  </si>
  <si>
    <t>AD4270</t>
  </si>
  <si>
    <t>Baba Anandeswar Traders/Kanpur Naga</t>
  </si>
  <si>
    <t>DD0670</t>
  </si>
  <si>
    <t>PRAKASH ELECTRICAL AND INVERTER BAT</t>
  </si>
  <si>
    <t>DD0385</t>
  </si>
  <si>
    <t>NAVNEET ELECTRIC/ MUZAFFARPUR / SOD</t>
  </si>
  <si>
    <t>AD4350</t>
  </si>
  <si>
    <t>SHREE BALAJI TRADING COMPANY/BARSAT</t>
  </si>
  <si>
    <t>AD1921</t>
  </si>
  <si>
    <t>KHUSHI ENTERPRISES/HATA</t>
  </si>
  <si>
    <t>AD3812</t>
  </si>
  <si>
    <t>GANDHI STORES / KOLKATA CENTRAL</t>
  </si>
  <si>
    <t>AD0165</t>
  </si>
  <si>
    <t>CHINE SUPER STORE / SULTANPUR</t>
  </si>
  <si>
    <t>DD0146</t>
  </si>
  <si>
    <t>NEW RAWAT ELECTRONICS/CHIBARAMAU</t>
  </si>
  <si>
    <t>AD1949</t>
  </si>
  <si>
    <t>ROSHAN LAL AND BROTHERS/DING MANDI</t>
  </si>
  <si>
    <t>DD1019</t>
  </si>
  <si>
    <t>LAXMI SALES/SHUJALPUR</t>
  </si>
  <si>
    <t>AD2381</t>
  </si>
  <si>
    <t>Kothari Marketing/ Gandhinagar</t>
  </si>
  <si>
    <t>AD4380</t>
  </si>
  <si>
    <t>GAJRAJ ENTERPRISES/DELHI</t>
  </si>
  <si>
    <t>DD0568</t>
  </si>
  <si>
    <t>AMIR CHAND GIAN CHAND/ CHAMBA</t>
  </si>
  <si>
    <t>AD2139</t>
  </si>
  <si>
    <t>DHANRAJ LAXMIPAT/RAJELDESAR)</t>
  </si>
  <si>
    <t>AD0514</t>
  </si>
  <si>
    <t>RAKESH AGENCYS / RURA</t>
  </si>
  <si>
    <t>SDS0093</t>
  </si>
  <si>
    <t>MODY AGENCIES /AURANGABAD</t>
  </si>
  <si>
    <t>DD0951</t>
  </si>
  <si>
    <t>JIJAU ENTERPRISES/NANDED</t>
  </si>
  <si>
    <t>AD4214</t>
  </si>
  <si>
    <t>GOYAL STATIONERS/TIGRI</t>
  </si>
  <si>
    <t>AD4319</t>
  </si>
  <si>
    <t>REYANSHI TRADING PRIVATE LIMITED/KO</t>
  </si>
  <si>
    <t>AD0050</t>
  </si>
  <si>
    <t>HIMANSHU TRADERS / GARUR</t>
  </si>
  <si>
    <t>DD0928</t>
  </si>
  <si>
    <t>KISHORI TRADERS/DALTONGANJ</t>
  </si>
  <si>
    <t>AD4349</t>
  </si>
  <si>
    <t>BAGHLA SALES CORPORATION/JAIPUR</t>
  </si>
  <si>
    <t>AD3352</t>
  </si>
  <si>
    <t>PARVEEN SALES CORPORATION/CHANDIGAR</t>
  </si>
  <si>
    <t>AD4347</t>
  </si>
  <si>
    <t>SHRINIWAS RAMCHANDRA LOYA/SOLAPUR</t>
  </si>
  <si>
    <t>AD4259</t>
  </si>
  <si>
    <t>SUBHA LABH/SINGUR</t>
  </si>
  <si>
    <t>DD0368</t>
  </si>
  <si>
    <t>GEETA SHREE ENTERPRISES / NAGDA JUN</t>
  </si>
  <si>
    <t>DD1351</t>
  </si>
  <si>
    <t>Shri Bihari ji traders/Achalda</t>
  </si>
  <si>
    <t>AD0868</t>
  </si>
  <si>
    <t>GOYAL AGENCY / ANPARA</t>
  </si>
  <si>
    <t>AD2182</t>
  </si>
  <si>
    <t>DIVYA MARKETING</t>
  </si>
  <si>
    <t>AD4005</t>
  </si>
  <si>
    <t>SREE BISHNU STORES/KOLAGHAT</t>
  </si>
  <si>
    <t>AD3792</t>
  </si>
  <si>
    <t>BIG BROTHER / KALINAGAR</t>
  </si>
  <si>
    <t>CSAD0253</t>
  </si>
  <si>
    <t>SHAGUN ENTERPRISES/BANMANKHI</t>
  </si>
  <si>
    <t>AD3360</t>
  </si>
  <si>
    <t>CHITRANSH ENTERPRISES/MAHEVA</t>
  </si>
  <si>
    <t>AD4358</t>
  </si>
  <si>
    <t>Unique Agency/Bhopal</t>
  </si>
  <si>
    <t>AD4370</t>
  </si>
  <si>
    <t>BALAJI TRADERS/HATA</t>
  </si>
  <si>
    <t>DD1435</t>
  </si>
  <si>
    <t>JANVI ENTERPRISES/HATA</t>
  </si>
  <si>
    <t>DD1180</t>
  </si>
  <si>
    <t>DAVINDER TRADERS/PATIALA</t>
  </si>
  <si>
    <t>AD0308</t>
  </si>
  <si>
    <t>BHOLAY NATH NIKHIL KUMAR / SIYANA</t>
  </si>
  <si>
    <t>DD0406</t>
  </si>
  <si>
    <t>DAKSHINAMURTI ELECTRICALS &amp; TOOLS/</t>
  </si>
  <si>
    <t>CSAD0083</t>
  </si>
  <si>
    <t>RATTAN CHAND SONS/CHOWARI</t>
  </si>
  <si>
    <t>AD0053</t>
  </si>
  <si>
    <t>JAI LAXMI ENTERPRISES / DEWAL</t>
  </si>
  <si>
    <t>AD0120</t>
  </si>
  <si>
    <t>LAXMI AGENCIES / SAFIDON MANDI</t>
  </si>
  <si>
    <t>AD3632</t>
  </si>
  <si>
    <t>GAYTRI TRADERS/BARACHAKIA</t>
  </si>
  <si>
    <t>AD3496</t>
  </si>
  <si>
    <t>VIGHNAHARTA AGENCIES / BHILAR</t>
  </si>
  <si>
    <t>AD1476</t>
  </si>
  <si>
    <t>RAJ KUMAR ARUN KUMAR/SAMANA</t>
  </si>
  <si>
    <t>DD0706</t>
  </si>
  <si>
    <t>HIMANSHU ENTERPRISES/ ROBERTSGANJ</t>
  </si>
  <si>
    <t>DD0886</t>
  </si>
  <si>
    <t>NEW PUJA STORE/MUNGER</t>
  </si>
  <si>
    <t>AD1058</t>
  </si>
  <si>
    <t>PRADHAN &amp; BROTHER / REWA</t>
  </si>
  <si>
    <t>DD0616</t>
  </si>
  <si>
    <t>AMAN SUPER STORE/ GANDHINAGAR</t>
  </si>
  <si>
    <t>CSAD0172</t>
  </si>
  <si>
    <t>RAKESH KUMAR JAIN AND SONS / NADAUN</t>
  </si>
  <si>
    <t>AD1797</t>
  </si>
  <si>
    <t>THAKUR JI TRADESR/AURANGABAD</t>
  </si>
  <si>
    <t>DD1124</t>
  </si>
  <si>
    <t>LUCKY STORES/KOLHAPUR /L)</t>
  </si>
  <si>
    <t>AD2100</t>
  </si>
  <si>
    <t>DIPESH KUMAR HITESH KUMAR /GHATOL)</t>
  </si>
  <si>
    <t>AP1067</t>
  </si>
  <si>
    <t>SRI VENKATA LAXMI HANUMAN ENTER PRISES</t>
  </si>
  <si>
    <t>KA0849</t>
  </si>
  <si>
    <t>MAHALAKSHMI DISTRIBUTORS</t>
  </si>
  <si>
    <t>East-ODS</t>
  </si>
  <si>
    <t>18876731/1875445</t>
  </si>
  <si>
    <t>18853374/1879928</t>
  </si>
  <si>
    <t>18751914/1879830</t>
  </si>
  <si>
    <t>18875880 &amp; 18875</t>
  </si>
  <si>
    <t>FG000042</t>
  </si>
  <si>
    <t>CN3300000047</t>
  </si>
  <si>
    <t>FG000038</t>
  </si>
  <si>
    <t>BHI/G2526/994997</t>
  </si>
  <si>
    <t>GAZ/I2526/936588</t>
  </si>
  <si>
    <t>DA</t>
  </si>
  <si>
    <t>Review Remarks - 06/06</t>
  </si>
  <si>
    <t>Commitment Date-22/05</t>
  </si>
  <si>
    <t>Commitment Date-06/06</t>
  </si>
  <si>
    <t>Payment will be clear on 08/Jun</t>
  </si>
  <si>
    <t xml:space="preserve">Will be adjusted in sec schemes </t>
  </si>
  <si>
    <t xml:space="preserve">1l RTGS </t>
  </si>
  <si>
    <t xml:space="preserve"> 4 l Partial Payment</t>
  </si>
  <si>
    <t>1L partial payment</t>
  </si>
  <si>
    <t xml:space="preserve">50K done ,38 K left </t>
  </si>
  <si>
    <t>Done</t>
  </si>
  <si>
    <t xml:space="preserve">April van claim to be adjusted </t>
  </si>
  <si>
    <t xml:space="preserve">FNF party , CN need to be made doesn’t include in ledger </t>
  </si>
  <si>
    <t xml:space="preserve">Party closed ,SRN will be done </t>
  </si>
  <si>
    <t xml:space="preserve">Cheque Submit today ,didn’t show yet </t>
  </si>
  <si>
    <t xml:space="preserve">Vacant SO </t>
  </si>
  <si>
    <t xml:space="preserve">Partial payment </t>
  </si>
  <si>
    <t>RTGS</t>
  </si>
  <si>
    <t xml:space="preserve">DONE </t>
  </si>
  <si>
    <t>Paymnet Made/ reflect and adjust</t>
  </si>
  <si>
    <t xml:space="preserve">Payment Received </t>
  </si>
  <si>
    <t>cheque deposit Today</t>
  </si>
  <si>
    <t xml:space="preserve">Adjust ven claim </t>
  </si>
  <si>
    <t>Dure to Fan FOC not received  (Payment Received Till 30-06-2026 )</t>
  </si>
  <si>
    <t xml:space="preserve">ven claim pening </t>
  </si>
  <si>
    <t>Adjust Against April Month Van Claim</t>
  </si>
  <si>
    <t>As on date Balance only Rs. 14K</t>
  </si>
  <si>
    <t>Payment Received</t>
  </si>
  <si>
    <t>No Dues</t>
  </si>
  <si>
    <t>Acoounts team to take action/need to correct TB</t>
  </si>
  <si>
    <t xml:space="preserve">Damag Claim </t>
  </si>
  <si>
    <t>He Cleared others payments</t>
  </si>
  <si>
    <t>Payment Completed</t>
  </si>
  <si>
    <t xml:space="preserve">Team is liquidating the stocks </t>
  </si>
  <si>
    <t xml:space="preserve">3 lac by 30/6 &amp; rest by 31/7 </t>
  </si>
  <si>
    <t>Payment will come in part</t>
  </si>
  <si>
    <t>By 15/6/26 phase wise</t>
  </si>
  <si>
    <t xml:space="preserve">settle/adjust though april Van Claim </t>
  </si>
  <si>
    <t xml:space="preserve">4 lac by 30/6 &amp; rest by 31/7 </t>
  </si>
  <si>
    <t>Due to FOC late  Payment Received Till 30-06-2026</t>
  </si>
  <si>
    <t>SRN is required</t>
  </si>
  <si>
    <t>by 30/6/26 phase wise</t>
  </si>
  <si>
    <t>need to settle through FOC CN/Not responding</t>
  </si>
  <si>
    <t>Payment committed for future Date 30-06-2026</t>
  </si>
  <si>
    <t>78k need to adjust with Defective goods OTS/Mail is with Mr, Sandeep Quality sent by me and QC auditor</t>
  </si>
  <si>
    <t>F&amp;F settlement,</t>
  </si>
  <si>
    <t>Closed Payment Received Till 30-06-2026</t>
  </si>
  <si>
    <t>customer already consignment credit</t>
  </si>
  <si>
    <t>the Said product is being sold in company operated Van, will be paid phase wise</t>
  </si>
  <si>
    <t>By 31/7/26 phase wise</t>
  </si>
  <si>
    <t>Closed  Through SRN stock availble at Varanasi Depot</t>
  </si>
  <si>
    <t>Payment in next invoice</t>
  </si>
  <si>
    <t xml:space="preserve">Adjust next Bill </t>
  </si>
  <si>
    <t>Advance party</t>
  </si>
  <si>
    <t>Take Statement for Account verification</t>
  </si>
  <si>
    <t>Udan Dues, will clear on 10th</t>
  </si>
  <si>
    <t>Yesterdauy Cheque deposited, it willclearby today</t>
  </si>
  <si>
    <t>No Dues, All cleard</t>
  </si>
  <si>
    <t xml:space="preserve">Will collect by </t>
  </si>
  <si>
    <t>Will clear by 13th</t>
  </si>
  <si>
    <t>SO visiting next week</t>
  </si>
  <si>
    <t>will do by Monday</t>
  </si>
  <si>
    <t>Next Week</t>
  </si>
  <si>
    <t>will do till 15th Jun</t>
  </si>
  <si>
    <t>will clear</t>
  </si>
  <si>
    <t>40k Replacment &amp; 1.35 Stock transfer</t>
  </si>
  <si>
    <t>Will do by Monday</t>
  </si>
  <si>
    <t>FOC adjust &amp; Balance will do</t>
  </si>
  <si>
    <t>Will clear in Next Week</t>
  </si>
  <si>
    <t>Will collect</t>
  </si>
  <si>
    <t>will collect in Next month or Legal</t>
  </si>
  <si>
    <t>Replacement done, but he is having stock which he not orderd, he will clear when SR join.</t>
  </si>
  <si>
    <t>will Clear by Next Month</t>
  </si>
  <si>
    <t xml:space="preserve">will clear </t>
  </si>
  <si>
    <t>All Clear yesterday</t>
  </si>
  <si>
    <t>Inactive RDS</t>
  </si>
  <si>
    <t>AD4133</t>
  </si>
  <si>
    <t>BALODIA TRADERS/PADRAUNA</t>
  </si>
  <si>
    <t>DD1437</t>
  </si>
  <si>
    <t>M/S QAZI ELECTRICALS/KHERI</t>
  </si>
  <si>
    <t>KA0961</t>
  </si>
  <si>
    <t>KALALINGESHWAR TRADERS</t>
  </si>
  <si>
    <t>PAT/C2526/270331</t>
  </si>
  <si>
    <t>SRN in old file</t>
  </si>
  <si>
    <t>Legal in old file</t>
  </si>
  <si>
    <t>Payment under follow up will clear 8th</t>
  </si>
  <si>
    <t>payment done 05-06-26</t>
  </si>
  <si>
    <t>payment will be done by 10-06-26</t>
  </si>
  <si>
    <t>DB hospitalized will clear by 15th</t>
  </si>
  <si>
    <t>Payment under follow up will clear 9th</t>
  </si>
  <si>
    <t>3 lakh's by 08-06-26, Balance by 15-06-26</t>
  </si>
  <si>
    <t>FOC need adjusted, balancde to be paid</t>
  </si>
  <si>
    <t>1 lakh payment on 05-06, remaining on 08-06-26</t>
  </si>
  <si>
    <t>Payment will clear by 10-06-26</t>
  </si>
  <si>
    <t>payment will clear 15-06-26</t>
  </si>
  <si>
    <t>payment will clear 09-06-26</t>
  </si>
  <si>
    <t xml:space="preserve">Payment under follow up will clear by 29th jun </t>
  </si>
  <si>
    <t>Paymeng will clear by 10th Jun</t>
  </si>
  <si>
    <t>3lacks by 08-06, balance 15th</t>
  </si>
  <si>
    <t>1lack by 08-06, 1 lakh 10-06, balance  17-06</t>
  </si>
  <si>
    <t>2 lakh by 10-06, 2 lakh by 15, 3 lakh 20th, balance  25th</t>
  </si>
  <si>
    <t>Payment under follow up will clear by 10th</t>
  </si>
  <si>
    <t>payment wiil clear by 9th</t>
  </si>
  <si>
    <t>payment wiil clear by 10th</t>
  </si>
  <si>
    <t>2lacks by 08-06, balance 12th</t>
  </si>
  <si>
    <t xml:space="preserve">Payment under follow up will clear by 09th jun </t>
  </si>
  <si>
    <t>Due on last review call</t>
  </si>
  <si>
    <t>Part payments-10k recd</t>
  </si>
  <si>
    <t>CN pending</t>
  </si>
  <si>
    <t>50-50 consignment billing.  38 k  received in May '26</t>
  </si>
  <si>
    <t>Will make payment on 8th June</t>
  </si>
  <si>
    <t>Billing done for 7.5L to give to OM Trading on March closing. But OM had not taken stock.  Paid 4L till  now.  Will pay 3L by 10th June</t>
  </si>
  <si>
    <t>Only 25k pending</t>
  </si>
  <si>
    <t>Party is absconding after WB election results as he is TMC leader. His father spoke</t>
  </si>
  <si>
    <t>Party not responfing.  SO will  visit on 8th June</t>
  </si>
  <si>
    <t>Damage and replacement issue.  Will pay 2L by 15th June. SO will go on 10th to make final list of damage and replacement</t>
  </si>
  <si>
    <t>SDS will make part payment of 1L by 15th June. SO will go on 10th June for final discussion.</t>
  </si>
  <si>
    <t>Paid 17k on 31st May.</t>
  </si>
  <si>
    <t>Damage CN pending. Old issue. Will sort out by 1st week of June.  Will collect 1 L by 15th June</t>
  </si>
  <si>
    <t>Party  not responding.  SO PJP on 15th June</t>
  </si>
  <si>
    <t>Stock at depot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</si>
</sst>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[$-14009]dd/mm/yyyy;@"/>
  </numFmts>
  <fonts count="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rgb="FF0000CC"/>
      <name val="Aptos Narrow"/>
      <family val="2"/>
      <scheme val="minor"/>
    </font>
    <font>
      <b/>
      <sz val="11"/>
      <color rgb="FF0000CC"/>
      <name val="Arial"/>
      <family val="2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F7F7F7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66"/>
      </left>
      <right style="thin">
        <color rgb="FF000066"/>
      </right>
      <top/>
      <bottom style="thin">
        <color rgb="FF000066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1">
    <xf numFmtId="0" fontId="0" fillId="0" borderId="0" xfId="0"/>
    <xf numFmtId="14" fontId="3" fillId="3" borderId="1" xfId="0" applyNumberFormat="1" applyFont="1" applyFill="1" applyBorder="1" applyAlignment="1">
      <alignment horizontal="center" vertical="center"/>
    </xf>
    <xf numFmtId="43" fontId="4" fillId="0" borderId="1" xfId="1" applyFont="1" applyBorder="1"/>
    <xf numFmtId="43" fontId="3" fillId="4" borderId="2" xfId="1" applyFont="1" applyFill="1" applyBorder="1" applyAlignment="1">
      <alignment horizontal="center" vertical="center" wrapText="1"/>
    </xf>
    <xf numFmtId="4" fontId="0" fillId="0" borderId="0" xfId="1" applyNumberFormat="1" applyFont="1"/>
    <xf numFmtId="43" fontId="0" fillId="0" borderId="0" xfId="1" applyFont="1"/>
    <xf numFmtId="43" fontId="3" fillId="4" borderId="3" xfId="1" applyFont="1" applyFill="1" applyBorder="1" applyAlignment="1">
      <alignment horizontal="center" vertical="center" wrapText="1"/>
    </xf>
    <xf numFmtId="43" fontId="3" fillId="4" borderId="1" xfId="1" applyFont="1" applyFill="1" applyBorder="1" applyAlignment="1">
      <alignment horizontal="center" vertical="center" wrapText="1"/>
    </xf>
    <xf numFmtId="43" fontId="2" fillId="0" borderId="0" xfId="1" applyFont="1"/>
    <xf numFmtId="0" fontId="3" fillId="5" borderId="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3" fontId="3" fillId="5" borderId="1" xfId="1" applyFont="1" applyFill="1" applyBorder="1" applyAlignment="1">
      <alignment horizontal="center" vertical="center" wrapText="1"/>
    </xf>
    <xf numFmtId="43" fontId="5" fillId="0" borderId="0" xfId="1" applyFont="1"/>
    <xf numFmtId="43" fontId="6" fillId="4" borderId="2" xfId="1" applyFont="1" applyFill="1" applyBorder="1" applyAlignment="1">
      <alignment horizontal="center" vertical="center" wrapText="1"/>
    </xf>
    <xf numFmtId="4" fontId="5" fillId="0" borderId="0" xfId="1" applyNumberFormat="1" applyFont="1"/>
    <xf numFmtId="4" fontId="2" fillId="0" borderId="0" xfId="1" applyNumberFormat="1" applyFont="1"/>
    <xf numFmtId="164" fontId="3" fillId="4" borderId="1" xfId="1" applyNumberFormat="1" applyFont="1" applyFill="1" applyBorder="1" applyAlignment="1">
      <alignment horizontal="center" vertical="center" wrapText="1"/>
    </xf>
    <xf numFmtId="164" fontId="0" fillId="0" borderId="0" xfId="1" applyNumberFormat="1" applyFont="1" applyAlignment="1">
      <alignment horizontal="center"/>
    </xf>
    <xf numFmtId="164" fontId="2" fillId="0" borderId="0" xfId="1" applyNumberFormat="1" applyFont="1" applyAlignment="1">
      <alignment horizontal="center"/>
    </xf>
    <xf numFmtId="43" fontId="7" fillId="6" borderId="0" xfId="1" applyFont="1" applyFill="1"/>
    <xf numFmtId="43" fontId="3" fillId="4" borderId="4" xfId="1" applyFont="1" applyFill="1" applyBorder="1" applyAlignment="1">
      <alignment horizontal="center" vertical="center" wrapText="1"/>
    </xf>
    <xf numFmtId="4" fontId="0" fillId="0" borderId="0" xfId="1" applyNumberFormat="1" applyFont="1" applyBorder="1"/>
    <xf numFmtId="4" fontId="0" fillId="0" borderId="0" xfId="0" applyNumberFormat="1"/>
    <xf numFmtId="0" fontId="0" fillId="0" borderId="1" xfId="0" applyBorder="1"/>
    <xf numFmtId="0" fontId="7" fillId="0" borderId="1" xfId="0" applyFont="1" applyBorder="1"/>
    <xf numFmtId="43" fontId="0" fillId="0" borderId="1" xfId="0" applyNumberFormat="1" applyBorder="1"/>
    <xf numFmtId="0" fontId="0" fillId="2" borderId="1" xfId="0" applyFill="1" applyBorder="1" applyAlignment="1">
      <alignment horizontal="center" vertical="center"/>
    </xf>
    <xf numFmtId="164" fontId="0" fillId="0" borderId="0" xfId="1" applyNumberFormat="1" applyFont="1" applyAlignment="1">
      <alignment horizontal="left"/>
    </xf>
    <xf numFmtId="164" fontId="2" fillId="0" borderId="0" xfId="1" applyNumberFormat="1" applyFont="1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198437</xdr:colOff>
      <xdr:row>0</xdr:row>
      <xdr:rowOff>47625</xdr:rowOff>
    </xdr:from>
    <xdr:to>
      <xdr:col>1</xdr:col>
      <xdr:colOff>5789</xdr:colOff>
      <xdr:row>2</xdr:row>
      <xdr:rowOff>246690</xdr:rowOff>
    </xdr:to>
    <xdr:pic macro="[0]!Sheet2.CopyAndConsolidateAgewise_Lacs_FinalFixed">
      <xdr:nvPicPr>
        <xdr:cNvPr id="2" name="Picture 1">
          <a:extLst>
            <a:ext uri="{FF2B5EF4-FFF2-40B4-BE49-F238E27FC236}">
              <a16:creationId xmlns:a16="http://schemas.microsoft.com/office/drawing/2014/main" id="{3FA31933-6B93-914C-08A8-912062850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437" y="47625"/>
          <a:ext cx="635000" cy="5721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DD32-6779-4C98-B964-0FE7C42DE72F}">
  <sheetPr codeName="Sheet2" filterMode="1">
    <tabColor rgb="FFFF0000"/>
  </sheetPr>
  <dimension ref="A2:T449"/>
  <sheetViews>
    <sheetView tabSelected="1" zoomScale="85" zoomScaleNormal="85" workbookViewId="0">
      <pane xSplit="4" ySplit="4" topLeftCell="M33" activePane="bottomRight" state="frozen"/>
      <selection pane="topRight" activeCell="E1" sqref="E1"/>
      <selection pane="bottomLeft" activeCell="A5" sqref="A5"/>
      <selection pane="bottomRight" activeCell="P140" sqref="P140"/>
    </sheetView>
  </sheetViews>
  <sheetFormatPr defaultRowHeight="14.5" outlineLevelCol="1" x14ac:dyDescent="0.35"/>
  <cols>
    <col min="1" max="1" width="11.90625" customWidth="1"/>
    <col min="2" max="2" width="10.6328125" bestFit="1" customWidth="1"/>
    <col min="3" max="3" width="11.453125" customWidth="1"/>
    <col min="4" max="4" width="40.90625" customWidth="1"/>
    <col min="5" max="5" width="14.81640625" style="14" hidden="1" customWidth="1" outlineLevel="1"/>
    <col min="6" max="6" width="14.26953125" style="5" hidden="1" customWidth="1" outlineLevel="1"/>
    <col min="7" max="7" width="11.54296875" style="8" customWidth="1" collapsed="1"/>
    <col min="8" max="8" width="10.36328125" style="5" customWidth="1"/>
    <col min="9" max="9" width="11.81640625" style="5" customWidth="1"/>
    <col min="10" max="10" width="9.26953125" style="5" customWidth="1"/>
    <col min="11" max="11" width="11" style="5" customWidth="1"/>
    <col min="12" max="12" width="10.6328125" style="5" customWidth="1"/>
    <col min="13" max="13" width="11.1796875" style="5" customWidth="1"/>
    <col min="14" max="14" width="25.81640625" style="5" customWidth="1"/>
    <col min="15" max="15" width="14.26953125" style="19" customWidth="1"/>
    <col min="16" max="16" width="22.453125" style="29" customWidth="1"/>
    <col min="17" max="17" width="14.08984375" style="19" customWidth="1"/>
    <col min="18" max="18" width="29.6328125" bestFit="1" customWidth="1"/>
  </cols>
  <sheetData>
    <row r="2" spans="1:20" ht="15" customHeight="1" x14ac:dyDescent="0.35">
      <c r="E2" s="5">
        <f>E3-(('Agewise '!D3)/100000-'Legal &amp; Wrt.off'!E1)</f>
        <v>-2435.7529081999987</v>
      </c>
      <c r="F2" s="5">
        <f>F3-(('Agewise '!E3)/100000-'Legal &amp; Wrt.off'!F1)</f>
        <v>-2027.4830139999997</v>
      </c>
      <c r="G2" s="5">
        <f>G3-(('Agewise '!F3)/100000-'Legal &amp; Wrt.off'!G1)</f>
        <v>-573.66523650000067</v>
      </c>
      <c r="H2" s="5">
        <f>H3-('Agewise '!G3)/100000</f>
        <v>-156.26920920000003</v>
      </c>
      <c r="I2" s="5">
        <f>I3-(('Agewise '!H3)/100000-'Legal &amp; Wrt.off'!I1)</f>
        <v>-119.17503960000001</v>
      </c>
      <c r="J2" s="5">
        <f>J3-(SUM('Agewise '!I3:J3)/100000-'Legal &amp; Wrt.off'!J1)</f>
        <v>-144.01202940000002</v>
      </c>
      <c r="K2" s="5">
        <f>K3-(SUM('Agewise '!K3:O3)/100000-'Legal &amp; Wrt.off'!K1)</f>
        <v>-154.20895830000003</v>
      </c>
    </row>
    <row r="3" spans="1:20" ht="26.5" customHeight="1" x14ac:dyDescent="0.35">
      <c r="E3" s="14">
        <f>SUBTOTAL(9,E5:E107863)</f>
        <v>77.433502099999998</v>
      </c>
      <c r="F3" s="5">
        <f>SUBTOTAL(9,F5:F107863)</f>
        <v>5.9944081000000002</v>
      </c>
      <c r="G3" s="8">
        <f>SUBTOTAL(9,G5:G107863)</f>
        <v>73.258504299999984</v>
      </c>
      <c r="H3" s="5">
        <f>SUBTOTAL(9,H5:H107863)</f>
        <v>1.8499516</v>
      </c>
      <c r="I3" s="8">
        <f>SUBTOTAL(9,I5:I107863)</f>
        <v>6.2817618</v>
      </c>
      <c r="J3" s="8">
        <f>SUBTOTAL(9,J5:J107863)</f>
        <v>18.289215200000005</v>
      </c>
      <c r="K3" s="8">
        <f>SUBTOTAL(9,K5:K107863)</f>
        <v>46.837575700000009</v>
      </c>
      <c r="L3" s="21">
        <f>SUBTOTAL(9,L5:L107863)</f>
        <v>71.408552699999987</v>
      </c>
      <c r="M3" s="21"/>
      <c r="N3" s="8"/>
      <c r="O3" s="20"/>
      <c r="P3" s="30"/>
      <c r="Q3" s="20"/>
    </row>
    <row r="4" spans="1:20" ht="51" customHeight="1" x14ac:dyDescent="0.35">
      <c r="A4" s="3" t="s">
        <v>2015</v>
      </c>
      <c r="B4" s="3" t="s">
        <v>1</v>
      </c>
      <c r="C4" s="3" t="s">
        <v>2</v>
      </c>
      <c r="D4" s="3" t="s">
        <v>3</v>
      </c>
      <c r="E4" s="15" t="s">
        <v>4</v>
      </c>
      <c r="F4" s="3" t="s">
        <v>5</v>
      </c>
      <c r="G4" s="3" t="s">
        <v>6</v>
      </c>
      <c r="H4" s="7" t="s">
        <v>7</v>
      </c>
      <c r="I4" s="7" t="s">
        <v>8</v>
      </c>
      <c r="J4" s="7" t="s">
        <v>3093</v>
      </c>
      <c r="K4" s="7" t="s">
        <v>2006</v>
      </c>
      <c r="L4" s="7" t="s">
        <v>3407</v>
      </c>
      <c r="M4" s="7" t="s">
        <v>3791</v>
      </c>
      <c r="N4" s="7" t="s">
        <v>2021</v>
      </c>
      <c r="O4" s="18" t="s">
        <v>3687</v>
      </c>
      <c r="P4" s="7" t="s">
        <v>3686</v>
      </c>
      <c r="Q4" s="18" t="s">
        <v>3688</v>
      </c>
      <c r="R4" s="7" t="s">
        <v>2020</v>
      </c>
    </row>
    <row r="5" spans="1:20" hidden="1" x14ac:dyDescent="0.35">
      <c r="A5" t="s">
        <v>2017</v>
      </c>
      <c r="B5" t="s">
        <v>33</v>
      </c>
      <c r="C5" t="s">
        <v>34</v>
      </c>
      <c r="D5" t="s">
        <v>35</v>
      </c>
      <c r="E5" s="16">
        <v>0.86587610000000004</v>
      </c>
      <c r="F5" s="4">
        <v>0.66364410000000007</v>
      </c>
      <c r="G5" s="17">
        <v>0.202232</v>
      </c>
      <c r="H5" s="4">
        <v>0.202232</v>
      </c>
      <c r="I5" s="4">
        <v>0</v>
      </c>
      <c r="J5" s="4">
        <v>0</v>
      </c>
      <c r="K5" s="4">
        <v>0</v>
      </c>
      <c r="L5" s="4">
        <f>SUM(I5:K5)</f>
        <v>0</v>
      </c>
      <c r="M5" s="4"/>
      <c r="N5" s="4" t="s">
        <v>3119</v>
      </c>
      <c r="P5" s="29" t="s">
        <v>3704</v>
      </c>
      <c r="R5" t="s">
        <v>2007</v>
      </c>
      <c r="T5" t="e">
        <f>VLOOKUP(C5,'Legal &amp; Wrt.off'!C:C,1,0)</f>
        <v>#N/A</v>
      </c>
    </row>
    <row r="6" spans="1:20" hidden="1" x14ac:dyDescent="0.35">
      <c r="A6" t="s">
        <v>2017</v>
      </c>
      <c r="B6" t="s">
        <v>36</v>
      </c>
      <c r="C6" t="s">
        <v>44</v>
      </c>
      <c r="D6" t="s">
        <v>45</v>
      </c>
      <c r="E6" s="16">
        <v>3.4581724999999999</v>
      </c>
      <c r="F6" s="4">
        <v>3.3589118</v>
      </c>
      <c r="G6" s="17">
        <v>9.9260699999999993E-2</v>
      </c>
      <c r="H6" s="4">
        <v>9.9260699999999993E-2</v>
      </c>
      <c r="I6" s="4">
        <v>0</v>
      </c>
      <c r="J6" s="4">
        <v>0</v>
      </c>
      <c r="K6" s="4">
        <v>0</v>
      </c>
      <c r="L6" s="4">
        <f t="shared" ref="L6:L69" si="0">SUM(I6:K6)</f>
        <v>0</v>
      </c>
      <c r="M6" s="4"/>
      <c r="N6" s="4" t="s">
        <v>3120</v>
      </c>
      <c r="R6" t="s">
        <v>3115</v>
      </c>
      <c r="T6" t="e">
        <f>VLOOKUP(C6,'Legal &amp; Wrt.off'!C:C,1,0)</f>
        <v>#N/A</v>
      </c>
    </row>
    <row r="7" spans="1:20" hidden="1" x14ac:dyDescent="0.35">
      <c r="A7" t="s">
        <v>2017</v>
      </c>
      <c r="B7" t="s">
        <v>55</v>
      </c>
      <c r="C7" t="s">
        <v>56</v>
      </c>
      <c r="D7" t="s">
        <v>57</v>
      </c>
      <c r="E7" s="16">
        <v>1.7262400000000001E-2</v>
      </c>
      <c r="F7" s="4">
        <v>0</v>
      </c>
      <c r="G7" s="17">
        <v>1.7262400000000001E-2</v>
      </c>
      <c r="H7" s="4">
        <v>1.7262400000000001E-2</v>
      </c>
      <c r="I7" s="4">
        <v>0</v>
      </c>
      <c r="J7" s="4">
        <v>0</v>
      </c>
      <c r="K7" s="4">
        <v>0</v>
      </c>
      <c r="L7" s="4">
        <f t="shared" si="0"/>
        <v>0</v>
      </c>
      <c r="M7" s="4"/>
      <c r="N7" s="4" t="s">
        <v>3121</v>
      </c>
      <c r="O7" s="19">
        <v>46168</v>
      </c>
      <c r="P7" s="29" t="s">
        <v>3122</v>
      </c>
      <c r="R7" t="s">
        <v>2007</v>
      </c>
      <c r="T7" t="e">
        <f>VLOOKUP(C7,'Legal &amp; Wrt.off'!C:C,1,0)</f>
        <v>#N/A</v>
      </c>
    </row>
    <row r="8" spans="1:20" hidden="1" x14ac:dyDescent="0.35">
      <c r="A8" t="s">
        <v>2016</v>
      </c>
      <c r="B8" t="s">
        <v>41</v>
      </c>
      <c r="C8" t="s">
        <v>62</v>
      </c>
      <c r="D8" t="s">
        <v>63</v>
      </c>
      <c r="E8" s="16">
        <v>2.5952170000000003</v>
      </c>
      <c r="F8" s="4">
        <v>0</v>
      </c>
      <c r="G8" s="17">
        <v>2.5952170000000003</v>
      </c>
      <c r="H8" s="4">
        <v>0</v>
      </c>
      <c r="I8" s="4">
        <v>2.6976000000000001E-3</v>
      </c>
      <c r="J8" s="4">
        <v>2.5925194</v>
      </c>
      <c r="K8" s="4">
        <v>0</v>
      </c>
      <c r="L8" s="4">
        <f t="shared" si="0"/>
        <v>2.5952169999999999</v>
      </c>
      <c r="M8" s="4"/>
      <c r="N8" s="4" t="s">
        <v>3170</v>
      </c>
      <c r="O8" s="19">
        <v>46167</v>
      </c>
      <c r="P8" s="29" t="s">
        <v>3689</v>
      </c>
      <c r="Q8" s="19">
        <v>46181</v>
      </c>
      <c r="R8" t="s">
        <v>2007</v>
      </c>
      <c r="T8" t="e">
        <f>VLOOKUP(C8,'Legal &amp; Wrt.off'!C:C,1,0)</f>
        <v>#N/A</v>
      </c>
    </row>
    <row r="9" spans="1:20" hidden="1" x14ac:dyDescent="0.35">
      <c r="A9" t="s">
        <v>2019</v>
      </c>
      <c r="B9" t="s">
        <v>30</v>
      </c>
      <c r="C9" t="s">
        <v>64</v>
      </c>
      <c r="D9" t="s">
        <v>65</v>
      </c>
      <c r="E9" s="16">
        <v>5.332147</v>
      </c>
      <c r="F9" s="4">
        <v>3.2339118</v>
      </c>
      <c r="G9" s="17">
        <v>2.0982352</v>
      </c>
      <c r="H9" s="4">
        <v>0.33083660000000004</v>
      </c>
      <c r="I9" s="4">
        <v>1.7673985999999999</v>
      </c>
      <c r="J9" s="4">
        <v>0</v>
      </c>
      <c r="K9" s="4">
        <v>0</v>
      </c>
      <c r="L9" s="4">
        <f t="shared" si="0"/>
        <v>1.7673985999999999</v>
      </c>
      <c r="M9" s="4"/>
      <c r="N9" s="4" t="s">
        <v>3188</v>
      </c>
      <c r="P9" s="29" t="s">
        <v>3188</v>
      </c>
      <c r="R9" t="s">
        <v>3116</v>
      </c>
      <c r="T9" t="e">
        <f>VLOOKUP(C9,'Legal &amp; Wrt.off'!C:C,1,0)</f>
        <v>#N/A</v>
      </c>
    </row>
    <row r="10" spans="1:20" hidden="1" x14ac:dyDescent="0.35">
      <c r="A10" t="s">
        <v>2019</v>
      </c>
      <c r="B10" t="s">
        <v>30</v>
      </c>
      <c r="C10" t="s">
        <v>66</v>
      </c>
      <c r="D10" t="s">
        <v>67</v>
      </c>
      <c r="E10" s="16">
        <v>21.435381700000001</v>
      </c>
      <c r="F10" s="4">
        <v>13.130967800000001</v>
      </c>
      <c r="G10" s="17">
        <v>8.3044139000000001</v>
      </c>
      <c r="H10" s="4">
        <v>7.6944518999999998</v>
      </c>
      <c r="I10" s="4">
        <v>0.609962</v>
      </c>
      <c r="J10" s="4">
        <v>0</v>
      </c>
      <c r="K10" s="4">
        <v>0</v>
      </c>
      <c r="L10" s="4">
        <f t="shared" si="0"/>
        <v>0.609962</v>
      </c>
      <c r="M10" s="4"/>
      <c r="N10" s="4" t="s">
        <v>3188</v>
      </c>
      <c r="P10" s="29" t="s">
        <v>3188</v>
      </c>
      <c r="R10" t="s">
        <v>3116</v>
      </c>
      <c r="T10" t="e">
        <f>VLOOKUP(C10,'Legal &amp; Wrt.off'!C:C,1,0)</f>
        <v>#N/A</v>
      </c>
    </row>
    <row r="11" spans="1:20" hidden="1" x14ac:dyDescent="0.35">
      <c r="A11" t="s">
        <v>2019</v>
      </c>
      <c r="B11" t="s">
        <v>30</v>
      </c>
      <c r="C11" t="s">
        <v>70</v>
      </c>
      <c r="D11" t="s">
        <v>71</v>
      </c>
      <c r="E11" s="16">
        <v>4.1112915000000001</v>
      </c>
      <c r="F11" s="4">
        <v>3.4864209999999995</v>
      </c>
      <c r="G11" s="17">
        <v>0.6248705</v>
      </c>
      <c r="H11" s="4">
        <v>0.6248705</v>
      </c>
      <c r="I11" s="4">
        <v>0</v>
      </c>
      <c r="J11" s="4">
        <v>0</v>
      </c>
      <c r="K11" s="4">
        <v>0</v>
      </c>
      <c r="L11" s="4">
        <f t="shared" si="0"/>
        <v>0</v>
      </c>
      <c r="M11" s="4"/>
      <c r="N11" s="4" t="s">
        <v>3189</v>
      </c>
      <c r="O11" s="19">
        <v>46165</v>
      </c>
      <c r="P11" s="29" t="s">
        <v>3188</v>
      </c>
      <c r="R11" t="s">
        <v>2007</v>
      </c>
      <c r="T11" t="e">
        <f>VLOOKUP(C11,'Legal &amp; Wrt.off'!C:C,1,0)</f>
        <v>#N/A</v>
      </c>
    </row>
    <row r="12" spans="1:20" hidden="1" x14ac:dyDescent="0.35">
      <c r="A12" t="s">
        <v>2019</v>
      </c>
      <c r="B12" t="s">
        <v>30</v>
      </c>
      <c r="C12" t="s">
        <v>72</v>
      </c>
      <c r="D12" t="s">
        <v>73</v>
      </c>
      <c r="E12" s="16">
        <v>1.9196782000000001</v>
      </c>
      <c r="F12" s="4">
        <v>1.7054422</v>
      </c>
      <c r="G12" s="17">
        <v>0.21423599999999998</v>
      </c>
      <c r="H12" s="4">
        <v>0.15909329999999999</v>
      </c>
      <c r="I12" s="4">
        <v>5.5142699999999906E-2</v>
      </c>
      <c r="J12" s="4">
        <v>0</v>
      </c>
      <c r="K12" s="4">
        <v>0</v>
      </c>
      <c r="L12" s="4">
        <f t="shared" si="0"/>
        <v>5.5142699999999906E-2</v>
      </c>
      <c r="M12" s="4"/>
      <c r="N12" s="4" t="s">
        <v>3188</v>
      </c>
      <c r="P12" s="29" t="s">
        <v>3188</v>
      </c>
      <c r="R12" t="s">
        <v>3116</v>
      </c>
      <c r="T12" t="e">
        <f>VLOOKUP(C12,'Legal &amp; Wrt.off'!C:C,1,0)</f>
        <v>#N/A</v>
      </c>
    </row>
    <row r="13" spans="1:20" hidden="1" x14ac:dyDescent="0.35">
      <c r="A13" t="s">
        <v>2017</v>
      </c>
      <c r="B13" t="s">
        <v>55</v>
      </c>
      <c r="C13" t="s">
        <v>86</v>
      </c>
      <c r="D13" t="s">
        <v>87</v>
      </c>
      <c r="E13" s="16">
        <v>3.0569378000000005</v>
      </c>
      <c r="F13" s="4">
        <v>2.8346602000000001</v>
      </c>
      <c r="G13" s="17">
        <v>0.22227759999999999</v>
      </c>
      <c r="H13" s="4">
        <v>0.21922470000000002</v>
      </c>
      <c r="I13" s="4">
        <v>3.0529000000000099E-3</v>
      </c>
      <c r="J13" s="4">
        <v>0</v>
      </c>
      <c r="K13" s="4">
        <v>0</v>
      </c>
      <c r="L13" s="4">
        <f t="shared" si="0"/>
        <v>3.0529000000000099E-3</v>
      </c>
      <c r="M13" s="4"/>
      <c r="N13" s="4" t="s">
        <v>3121</v>
      </c>
      <c r="O13" s="19">
        <v>46168</v>
      </c>
      <c r="R13" t="s">
        <v>2007</v>
      </c>
      <c r="T13" t="e">
        <f>VLOOKUP(C13,'Legal &amp; Wrt.off'!C:C,1,0)</f>
        <v>#N/A</v>
      </c>
    </row>
    <row r="14" spans="1:20" hidden="1" x14ac:dyDescent="0.35">
      <c r="A14" t="s">
        <v>2016</v>
      </c>
      <c r="B14" t="s">
        <v>100</v>
      </c>
      <c r="C14" t="s">
        <v>101</v>
      </c>
      <c r="D14" t="s">
        <v>102</v>
      </c>
      <c r="E14" s="16">
        <v>2.6368876000000001</v>
      </c>
      <c r="F14" s="4">
        <v>0</v>
      </c>
      <c r="G14" s="17">
        <v>2.6368876000000001</v>
      </c>
      <c r="H14" s="4">
        <v>0</v>
      </c>
      <c r="I14" s="4">
        <v>0.51</v>
      </c>
      <c r="J14" s="4">
        <v>2.1268875999999999</v>
      </c>
      <c r="K14" s="4">
        <v>0</v>
      </c>
      <c r="L14" s="4">
        <f t="shared" si="0"/>
        <v>2.6368875999999997</v>
      </c>
      <c r="M14" s="4"/>
      <c r="N14" s="4" t="s">
        <v>3171</v>
      </c>
      <c r="P14" s="29" t="s">
        <v>3171</v>
      </c>
      <c r="R14" t="s">
        <v>3117</v>
      </c>
      <c r="T14" t="e">
        <f>VLOOKUP(C14,'Legal &amp; Wrt.off'!C:C,1,0)</f>
        <v>#N/A</v>
      </c>
    </row>
    <row r="15" spans="1:20" hidden="1" x14ac:dyDescent="0.35">
      <c r="A15" t="s">
        <v>2019</v>
      </c>
      <c r="B15" t="s">
        <v>30</v>
      </c>
      <c r="C15" t="s">
        <v>118</v>
      </c>
      <c r="D15" t="s">
        <v>119</v>
      </c>
      <c r="E15" s="16">
        <v>4.9442829999999995</v>
      </c>
      <c r="F15" s="4">
        <v>3.8742339000000001</v>
      </c>
      <c r="G15" s="17">
        <v>1.0700491000000001</v>
      </c>
      <c r="H15" s="4">
        <v>1.0700491000000001</v>
      </c>
      <c r="I15" s="4">
        <v>0</v>
      </c>
      <c r="J15" s="4">
        <v>0</v>
      </c>
      <c r="K15" s="4">
        <v>0</v>
      </c>
      <c r="L15" s="4">
        <f t="shared" si="0"/>
        <v>0</v>
      </c>
      <c r="M15" s="4"/>
      <c r="N15" s="4" t="s">
        <v>3188</v>
      </c>
      <c r="P15" s="29" t="s">
        <v>3188</v>
      </c>
      <c r="R15" t="s">
        <v>3116</v>
      </c>
      <c r="T15" t="e">
        <f>VLOOKUP(C15,'Legal &amp; Wrt.off'!C:C,1,0)</f>
        <v>#N/A</v>
      </c>
    </row>
    <row r="16" spans="1:20" hidden="1" x14ac:dyDescent="0.35">
      <c r="A16" t="s">
        <v>2019</v>
      </c>
      <c r="B16" t="s">
        <v>46</v>
      </c>
      <c r="C16" t="s">
        <v>120</v>
      </c>
      <c r="D16" t="s">
        <v>121</v>
      </c>
      <c r="E16" s="16">
        <v>3.8206946000000004</v>
      </c>
      <c r="F16" s="4">
        <v>3.7698347999999999</v>
      </c>
      <c r="G16" s="17">
        <v>5.0859799999999997E-2</v>
      </c>
      <c r="H16" s="4">
        <v>5.0859799999999997E-2</v>
      </c>
      <c r="I16" s="4">
        <v>0</v>
      </c>
      <c r="J16" s="4">
        <v>0</v>
      </c>
      <c r="K16" s="4">
        <v>0</v>
      </c>
      <c r="L16" s="4">
        <f t="shared" si="0"/>
        <v>0</v>
      </c>
      <c r="M16" s="4"/>
      <c r="N16" s="4" t="s">
        <v>3190</v>
      </c>
      <c r="O16" s="19">
        <v>46167</v>
      </c>
      <c r="R16" t="s">
        <v>2007</v>
      </c>
      <c r="T16" t="e">
        <f>VLOOKUP(C16,'Legal &amp; Wrt.off'!C:C,1,0)</f>
        <v>#N/A</v>
      </c>
    </row>
    <row r="17" spans="1:20" hidden="1" x14ac:dyDescent="0.35">
      <c r="A17" t="s">
        <v>2019</v>
      </c>
      <c r="B17" t="s">
        <v>16</v>
      </c>
      <c r="C17" t="s">
        <v>122</v>
      </c>
      <c r="D17" t="s">
        <v>123</v>
      </c>
      <c r="E17" s="16">
        <v>17.4057125</v>
      </c>
      <c r="F17" s="4">
        <v>17.065059699999999</v>
      </c>
      <c r="G17" s="17">
        <v>0.34065279999999998</v>
      </c>
      <c r="H17" s="4">
        <v>0.34020010000000001</v>
      </c>
      <c r="I17" s="4">
        <v>4.5270000000000005E-4</v>
      </c>
      <c r="J17" s="4">
        <v>0</v>
      </c>
      <c r="K17" s="4">
        <v>0</v>
      </c>
      <c r="L17" s="4">
        <f t="shared" si="0"/>
        <v>4.5270000000000005E-4</v>
      </c>
      <c r="M17" s="4"/>
      <c r="N17" s="4" t="s">
        <v>3188</v>
      </c>
      <c r="R17" t="s">
        <v>3116</v>
      </c>
      <c r="T17" t="e">
        <f>VLOOKUP(C17,'Legal &amp; Wrt.off'!C:C,1,0)</f>
        <v>#N/A</v>
      </c>
    </row>
    <row r="18" spans="1:20" hidden="1" x14ac:dyDescent="0.35">
      <c r="A18" t="s">
        <v>2019</v>
      </c>
      <c r="B18" t="s">
        <v>30</v>
      </c>
      <c r="C18" t="s">
        <v>138</v>
      </c>
      <c r="D18" t="s">
        <v>139</v>
      </c>
      <c r="E18" s="16">
        <v>2.1598242000000001</v>
      </c>
      <c r="F18" s="4">
        <v>2.0499299999999998</v>
      </c>
      <c r="G18" s="17">
        <v>0.1098942</v>
      </c>
      <c r="H18" s="4">
        <v>0</v>
      </c>
      <c r="I18" s="4">
        <v>0.1098942</v>
      </c>
      <c r="J18" s="4">
        <v>0</v>
      </c>
      <c r="K18" s="4">
        <v>0</v>
      </c>
      <c r="L18" s="4">
        <f t="shared" si="0"/>
        <v>0.1098942</v>
      </c>
      <c r="M18" s="4"/>
      <c r="N18" s="4" t="s">
        <v>3188</v>
      </c>
      <c r="P18" s="29" t="s">
        <v>3188</v>
      </c>
      <c r="R18" t="s">
        <v>3116</v>
      </c>
      <c r="T18" t="e">
        <f>VLOOKUP(C18,'Legal &amp; Wrt.off'!C:C,1,0)</f>
        <v>#N/A</v>
      </c>
    </row>
    <row r="19" spans="1:20" hidden="1" x14ac:dyDescent="0.35">
      <c r="A19" t="s">
        <v>2019</v>
      </c>
      <c r="B19" t="s">
        <v>16</v>
      </c>
      <c r="C19" t="s">
        <v>146</v>
      </c>
      <c r="D19" t="s">
        <v>147</v>
      </c>
      <c r="E19" s="16">
        <v>27.884483500000002</v>
      </c>
      <c r="F19" s="4">
        <v>23.395911600000002</v>
      </c>
      <c r="G19" s="17">
        <v>4.4885719000000002</v>
      </c>
      <c r="H19" s="4">
        <v>4.4885719000000002</v>
      </c>
      <c r="I19" s="4">
        <v>0</v>
      </c>
      <c r="J19" s="4">
        <v>0</v>
      </c>
      <c r="K19" s="4">
        <v>0</v>
      </c>
      <c r="L19" s="4">
        <f t="shared" si="0"/>
        <v>0</v>
      </c>
      <c r="M19" s="4"/>
      <c r="N19" s="4" t="s">
        <v>3188</v>
      </c>
      <c r="P19" s="29" t="s">
        <v>3740</v>
      </c>
      <c r="R19" t="s">
        <v>3116</v>
      </c>
      <c r="T19" t="e">
        <f>VLOOKUP(C19,'Legal &amp; Wrt.off'!C:C,1,0)</f>
        <v>#N/A</v>
      </c>
    </row>
    <row r="20" spans="1:20" hidden="1" x14ac:dyDescent="0.35">
      <c r="A20" t="s">
        <v>2017</v>
      </c>
      <c r="B20" t="s">
        <v>36</v>
      </c>
      <c r="C20" t="s">
        <v>152</v>
      </c>
      <c r="D20" t="s">
        <v>153</v>
      </c>
      <c r="E20" s="16">
        <v>5.6315999999999996E-3</v>
      </c>
      <c r="F20" s="4">
        <v>0</v>
      </c>
      <c r="G20" s="17">
        <v>5.6315999999999996E-3</v>
      </c>
      <c r="H20" s="4">
        <v>0</v>
      </c>
      <c r="I20" s="4">
        <v>5.6315999999999996E-3</v>
      </c>
      <c r="J20" s="4">
        <v>0</v>
      </c>
      <c r="K20" s="4">
        <v>0</v>
      </c>
      <c r="L20" s="4">
        <f t="shared" si="0"/>
        <v>5.6315999999999996E-3</v>
      </c>
      <c r="M20" s="4"/>
      <c r="N20" s="4" t="s">
        <v>3123</v>
      </c>
      <c r="O20" s="19">
        <v>46172</v>
      </c>
      <c r="P20" s="29" t="s">
        <v>3705</v>
      </c>
      <c r="Q20" s="19">
        <v>46199</v>
      </c>
      <c r="R20" t="s">
        <v>2007</v>
      </c>
      <c r="T20" t="e">
        <f>VLOOKUP(C20,'Legal &amp; Wrt.off'!C:C,1,0)</f>
        <v>#N/A</v>
      </c>
    </row>
    <row r="21" spans="1:20" hidden="1" x14ac:dyDescent="0.35">
      <c r="A21" t="s">
        <v>2017</v>
      </c>
      <c r="B21" t="s">
        <v>55</v>
      </c>
      <c r="C21" t="s">
        <v>174</v>
      </c>
      <c r="D21" t="s">
        <v>175</v>
      </c>
      <c r="E21" s="16">
        <v>7.5973852000000006</v>
      </c>
      <c r="F21" s="4">
        <v>6.9885273999999997</v>
      </c>
      <c r="G21" s="17">
        <v>0.6088578</v>
      </c>
      <c r="H21" s="4">
        <v>0.6088578</v>
      </c>
      <c r="I21" s="4">
        <v>0</v>
      </c>
      <c r="J21" s="4">
        <v>0</v>
      </c>
      <c r="K21" s="4">
        <v>0</v>
      </c>
      <c r="L21" s="4">
        <f t="shared" si="0"/>
        <v>0</v>
      </c>
      <c r="M21" s="4"/>
      <c r="N21" s="4" t="s">
        <v>3121</v>
      </c>
      <c r="O21" s="19">
        <v>46168</v>
      </c>
      <c r="P21" s="29" t="s">
        <v>3705</v>
      </c>
      <c r="Q21" s="19">
        <v>46180</v>
      </c>
      <c r="R21" t="s">
        <v>2007</v>
      </c>
      <c r="T21" t="e">
        <f>VLOOKUP(C21,'Legal &amp; Wrt.off'!C:C,1,0)</f>
        <v>#N/A</v>
      </c>
    </row>
    <row r="22" spans="1:20" hidden="1" x14ac:dyDescent="0.35">
      <c r="A22" t="s">
        <v>2016</v>
      </c>
      <c r="B22" t="s">
        <v>100</v>
      </c>
      <c r="C22" t="s">
        <v>178</v>
      </c>
      <c r="D22" t="s">
        <v>179</v>
      </c>
      <c r="E22" s="16">
        <v>3.218375</v>
      </c>
      <c r="F22" s="4">
        <v>2.0985119999999999</v>
      </c>
      <c r="G22" s="17">
        <v>1.1198630000000001</v>
      </c>
      <c r="H22" s="4">
        <v>1.1198630000000001</v>
      </c>
      <c r="I22" s="4">
        <v>0</v>
      </c>
      <c r="J22" s="4">
        <v>0</v>
      </c>
      <c r="K22" s="4">
        <v>0</v>
      </c>
      <c r="L22" s="4">
        <f t="shared" si="0"/>
        <v>0</v>
      </c>
      <c r="M22" s="4"/>
      <c r="N22" s="4" t="s">
        <v>3172</v>
      </c>
      <c r="R22" t="s">
        <v>3116</v>
      </c>
      <c r="T22" t="e">
        <f>VLOOKUP(C22,'Legal &amp; Wrt.off'!C:C,1,0)</f>
        <v>#N/A</v>
      </c>
    </row>
    <row r="23" spans="1:20" hidden="1" x14ac:dyDescent="0.35">
      <c r="A23" t="s">
        <v>2017</v>
      </c>
      <c r="B23" t="s">
        <v>55</v>
      </c>
      <c r="C23" t="s">
        <v>200</v>
      </c>
      <c r="D23" t="s">
        <v>201</v>
      </c>
      <c r="E23" s="16">
        <v>5.4527029000000002</v>
      </c>
      <c r="F23" s="4">
        <v>5.2557295999999996</v>
      </c>
      <c r="G23" s="17">
        <v>0.19697330000000002</v>
      </c>
      <c r="H23" s="4">
        <v>0.19697330000000002</v>
      </c>
      <c r="I23" s="4">
        <v>0</v>
      </c>
      <c r="J23" s="4">
        <v>0</v>
      </c>
      <c r="K23" s="4">
        <v>0</v>
      </c>
      <c r="L23" s="4">
        <f t="shared" si="0"/>
        <v>0</v>
      </c>
      <c r="M23" s="4"/>
      <c r="N23" s="4" t="s">
        <v>3125</v>
      </c>
      <c r="O23" s="19">
        <v>46165</v>
      </c>
      <c r="R23" t="s">
        <v>2007</v>
      </c>
      <c r="T23" t="e">
        <f>VLOOKUP(C23,'Legal &amp; Wrt.off'!C:C,1,0)</f>
        <v>#N/A</v>
      </c>
    </row>
    <row r="24" spans="1:20" hidden="1" x14ac:dyDescent="0.35">
      <c r="A24" t="s">
        <v>2017</v>
      </c>
      <c r="B24" t="s">
        <v>210</v>
      </c>
      <c r="C24" t="s">
        <v>211</v>
      </c>
      <c r="D24" t="s">
        <v>212</v>
      </c>
      <c r="E24" s="16">
        <v>9.6986131000000011</v>
      </c>
      <c r="F24" s="4">
        <v>9.4117285000000006</v>
      </c>
      <c r="G24" s="17">
        <v>0.28688459999999999</v>
      </c>
      <c r="H24" s="4">
        <v>0.28688459999999999</v>
      </c>
      <c r="I24" s="4">
        <v>0</v>
      </c>
      <c r="J24" s="4">
        <v>0</v>
      </c>
      <c r="K24" s="4">
        <v>0</v>
      </c>
      <c r="L24" s="4">
        <f t="shared" si="0"/>
        <v>0</v>
      </c>
      <c r="M24" s="4"/>
      <c r="N24" s="4" t="s">
        <v>3126</v>
      </c>
      <c r="O24" s="19">
        <v>46167</v>
      </c>
      <c r="R24" t="s">
        <v>2007</v>
      </c>
      <c r="T24" t="e">
        <f>VLOOKUP(C24,'Legal &amp; Wrt.off'!C:C,1,0)</f>
        <v>#N/A</v>
      </c>
    </row>
    <row r="25" spans="1:20" hidden="1" x14ac:dyDescent="0.35">
      <c r="A25" t="s">
        <v>2017</v>
      </c>
      <c r="B25" t="s">
        <v>210</v>
      </c>
      <c r="C25" t="s">
        <v>213</v>
      </c>
      <c r="D25" t="s">
        <v>214</v>
      </c>
      <c r="E25" s="16">
        <v>8.4226468000000008</v>
      </c>
      <c r="F25" s="4">
        <v>6.7432688000000001</v>
      </c>
      <c r="G25" s="17">
        <v>1.6793779999999998</v>
      </c>
      <c r="H25" s="4">
        <v>1.6793779999999998</v>
      </c>
      <c r="I25" s="4">
        <v>0</v>
      </c>
      <c r="J25" s="4">
        <v>0</v>
      </c>
      <c r="K25" s="4">
        <v>0</v>
      </c>
      <c r="L25" s="4">
        <f t="shared" si="0"/>
        <v>0</v>
      </c>
      <c r="M25" s="4"/>
      <c r="N25" s="4" t="s">
        <v>3127</v>
      </c>
      <c r="P25" s="29" t="s">
        <v>3706</v>
      </c>
      <c r="Q25" s="19">
        <v>46181</v>
      </c>
      <c r="R25" t="s">
        <v>2007</v>
      </c>
      <c r="T25" t="e">
        <f>VLOOKUP(C25,'Legal &amp; Wrt.off'!C:C,1,0)</f>
        <v>#N/A</v>
      </c>
    </row>
    <row r="26" spans="1:20" hidden="1" x14ac:dyDescent="0.35">
      <c r="A26" t="s">
        <v>2017</v>
      </c>
      <c r="B26" t="s">
        <v>88</v>
      </c>
      <c r="C26" t="s">
        <v>215</v>
      </c>
      <c r="D26" t="s">
        <v>216</v>
      </c>
      <c r="E26" s="16">
        <v>6.3492782999999999</v>
      </c>
      <c r="F26" s="4">
        <v>0</v>
      </c>
      <c r="G26" s="17">
        <v>6.3492782999999999</v>
      </c>
      <c r="H26" s="4">
        <v>1.201948</v>
      </c>
      <c r="I26" s="4">
        <v>5.1473303000000001</v>
      </c>
      <c r="J26" s="4">
        <v>0</v>
      </c>
      <c r="K26" s="4">
        <v>0</v>
      </c>
      <c r="L26" s="4">
        <f t="shared" si="0"/>
        <v>5.1473303000000001</v>
      </c>
      <c r="M26" s="4"/>
      <c r="N26" s="4" t="s">
        <v>3128</v>
      </c>
      <c r="O26" s="19">
        <v>46183</v>
      </c>
      <c r="P26" s="29" t="s">
        <v>3705</v>
      </c>
      <c r="Q26" s="19">
        <v>46183</v>
      </c>
      <c r="R26" t="s">
        <v>2007</v>
      </c>
      <c r="T26" t="e">
        <f>VLOOKUP(C26,'Legal &amp; Wrt.off'!C:C,1,0)</f>
        <v>#N/A</v>
      </c>
    </row>
    <row r="27" spans="1:20" hidden="1" x14ac:dyDescent="0.35">
      <c r="A27" t="s">
        <v>2017</v>
      </c>
      <c r="B27" t="s">
        <v>88</v>
      </c>
      <c r="C27" t="s">
        <v>219</v>
      </c>
      <c r="D27" t="s">
        <v>220</v>
      </c>
      <c r="E27" s="16">
        <v>2.4013342999999998</v>
      </c>
      <c r="F27" s="4">
        <v>0</v>
      </c>
      <c r="G27" s="17">
        <v>2.4013342999999998</v>
      </c>
      <c r="H27" s="4">
        <v>5.9000000000000003E-4</v>
      </c>
      <c r="I27" s="4">
        <v>2.3842569</v>
      </c>
      <c r="J27" s="4">
        <v>1.6487399999999899E-2</v>
      </c>
      <c r="K27" s="4">
        <v>0</v>
      </c>
      <c r="L27" s="4">
        <f t="shared" si="0"/>
        <v>2.4007442999999999</v>
      </c>
      <c r="M27" s="4"/>
      <c r="N27" s="4" t="s">
        <v>3130</v>
      </c>
      <c r="O27" s="19">
        <v>46170</v>
      </c>
      <c r="P27" s="29" t="s">
        <v>3705</v>
      </c>
      <c r="Q27" s="19">
        <v>46202</v>
      </c>
      <c r="R27" t="s">
        <v>2007</v>
      </c>
      <c r="T27" t="e">
        <f>VLOOKUP(C27,'Legal &amp; Wrt.off'!C:C,1,0)</f>
        <v>#N/A</v>
      </c>
    </row>
    <row r="28" spans="1:20" hidden="1" x14ac:dyDescent="0.35">
      <c r="A28" t="s">
        <v>2017</v>
      </c>
      <c r="B28" t="s">
        <v>88</v>
      </c>
      <c r="C28" t="s">
        <v>221</v>
      </c>
      <c r="D28" t="s">
        <v>222</v>
      </c>
      <c r="E28" s="16">
        <v>10.536992399999999</v>
      </c>
      <c r="F28" s="4">
        <v>9.6940991000000007</v>
      </c>
      <c r="G28" s="17">
        <v>0.84289330000000007</v>
      </c>
      <c r="H28" s="4">
        <v>0.84289330000000007</v>
      </c>
      <c r="I28" s="4">
        <v>0</v>
      </c>
      <c r="J28" s="4">
        <v>0</v>
      </c>
      <c r="K28" s="4">
        <v>0</v>
      </c>
      <c r="L28" s="4">
        <f t="shared" si="0"/>
        <v>0</v>
      </c>
      <c r="M28" s="4"/>
      <c r="N28" s="4" t="s">
        <v>3130</v>
      </c>
      <c r="O28" s="19">
        <v>46170</v>
      </c>
      <c r="P28" s="29" t="s">
        <v>3707</v>
      </c>
      <c r="R28" t="s">
        <v>2007</v>
      </c>
      <c r="T28" t="e">
        <f>VLOOKUP(C28,'Legal &amp; Wrt.off'!C:C,1,0)</f>
        <v>#N/A</v>
      </c>
    </row>
    <row r="29" spans="1:20" hidden="1" x14ac:dyDescent="0.35">
      <c r="A29" t="s">
        <v>2019</v>
      </c>
      <c r="B29" t="s">
        <v>16</v>
      </c>
      <c r="C29" t="s">
        <v>227</v>
      </c>
      <c r="D29" t="s">
        <v>228</v>
      </c>
      <c r="E29" s="16">
        <v>10.774348600000001</v>
      </c>
      <c r="F29" s="4">
        <v>9.3515768999999995</v>
      </c>
      <c r="G29" s="17">
        <v>1.4227717000000002</v>
      </c>
      <c r="H29" s="4">
        <v>1.4227717000000002</v>
      </c>
      <c r="I29" s="4">
        <v>0</v>
      </c>
      <c r="J29" s="4">
        <v>0</v>
      </c>
      <c r="K29" s="4">
        <v>0</v>
      </c>
      <c r="L29" s="4">
        <f t="shared" si="0"/>
        <v>0</v>
      </c>
      <c r="M29" s="4"/>
      <c r="N29" s="4" t="s">
        <v>3191</v>
      </c>
      <c r="O29" s="19">
        <v>46165</v>
      </c>
      <c r="P29" s="29" t="s">
        <v>3741</v>
      </c>
      <c r="Q29" s="19">
        <v>46179</v>
      </c>
      <c r="R29" t="s">
        <v>2007</v>
      </c>
      <c r="T29" t="e">
        <f>VLOOKUP(C29,'Legal &amp; Wrt.off'!C:C,1,0)</f>
        <v>#N/A</v>
      </c>
    </row>
    <row r="30" spans="1:20" hidden="1" x14ac:dyDescent="0.35">
      <c r="A30" t="s">
        <v>2017</v>
      </c>
      <c r="B30" t="s">
        <v>36</v>
      </c>
      <c r="C30" t="s">
        <v>229</v>
      </c>
      <c r="D30" t="s">
        <v>230</v>
      </c>
      <c r="E30" s="16">
        <v>1.4615994000000001</v>
      </c>
      <c r="F30" s="4">
        <v>1.431379</v>
      </c>
      <c r="G30" s="17">
        <v>3.0220399999999998E-2</v>
      </c>
      <c r="H30" s="4">
        <v>3.0220399999999998E-2</v>
      </c>
      <c r="I30" s="4">
        <v>0</v>
      </c>
      <c r="J30" s="4">
        <v>0</v>
      </c>
      <c r="K30" s="4">
        <v>0</v>
      </c>
      <c r="L30" s="4">
        <f t="shared" si="0"/>
        <v>0</v>
      </c>
      <c r="M30" s="4"/>
      <c r="N30" s="4" t="s">
        <v>3123</v>
      </c>
      <c r="O30" s="19">
        <v>46172</v>
      </c>
      <c r="P30" s="29" t="s">
        <v>3705</v>
      </c>
      <c r="Q30" s="19">
        <v>46199</v>
      </c>
      <c r="R30" t="s">
        <v>2007</v>
      </c>
      <c r="T30" t="e">
        <f>VLOOKUP(C30,'Legal &amp; Wrt.off'!C:C,1,0)</f>
        <v>#N/A</v>
      </c>
    </row>
    <row r="31" spans="1:20" hidden="1" x14ac:dyDescent="0.35">
      <c r="A31" t="s">
        <v>2017</v>
      </c>
      <c r="B31" t="s">
        <v>36</v>
      </c>
      <c r="C31" t="s">
        <v>231</v>
      </c>
      <c r="D31" t="s">
        <v>232</v>
      </c>
      <c r="E31" s="16">
        <v>1.5707800000000001</v>
      </c>
      <c r="F31" s="4">
        <v>1.5404498000000002</v>
      </c>
      <c r="G31" s="17">
        <v>3.0330199999999998E-2</v>
      </c>
      <c r="H31" s="4">
        <v>3.0330199999999998E-2</v>
      </c>
      <c r="I31" s="4">
        <v>0</v>
      </c>
      <c r="J31" s="4">
        <v>0</v>
      </c>
      <c r="K31" s="4">
        <v>0</v>
      </c>
      <c r="L31" s="4">
        <f t="shared" si="0"/>
        <v>0</v>
      </c>
      <c r="M31" s="4"/>
      <c r="N31" s="4" t="s">
        <v>3123</v>
      </c>
      <c r="O31" s="19">
        <v>46172</v>
      </c>
      <c r="P31" s="29" t="s">
        <v>3705</v>
      </c>
      <c r="Q31" s="19">
        <v>46199</v>
      </c>
      <c r="R31" t="s">
        <v>2007</v>
      </c>
      <c r="T31" t="e">
        <f>VLOOKUP(C31,'Legal &amp; Wrt.off'!C:C,1,0)</f>
        <v>#N/A</v>
      </c>
    </row>
    <row r="32" spans="1:20" hidden="1" x14ac:dyDescent="0.35">
      <c r="A32" t="s">
        <v>2017</v>
      </c>
      <c r="B32" t="s">
        <v>55</v>
      </c>
      <c r="C32" t="s">
        <v>241</v>
      </c>
      <c r="D32" t="s">
        <v>242</v>
      </c>
      <c r="E32" s="16">
        <v>1.8092500000000001E-2</v>
      </c>
      <c r="F32" s="4">
        <v>0</v>
      </c>
      <c r="G32" s="17">
        <v>1.8092500000000001E-2</v>
      </c>
      <c r="H32" s="4">
        <v>0</v>
      </c>
      <c r="I32" s="4">
        <v>1.8092500000000001E-2</v>
      </c>
      <c r="J32" s="4">
        <v>0</v>
      </c>
      <c r="K32" s="4">
        <v>0</v>
      </c>
      <c r="L32" s="4">
        <f t="shared" si="0"/>
        <v>1.8092500000000001E-2</v>
      </c>
      <c r="M32" s="4"/>
      <c r="N32" s="4" t="s">
        <v>3122</v>
      </c>
      <c r="P32" s="29" t="s">
        <v>3122</v>
      </c>
      <c r="R32" t="s">
        <v>2007</v>
      </c>
      <c r="T32" t="e">
        <f>VLOOKUP(C32,'Legal &amp; Wrt.off'!C:C,1,0)</f>
        <v>#N/A</v>
      </c>
    </row>
    <row r="33" spans="1:20" x14ac:dyDescent="0.35">
      <c r="A33" t="s">
        <v>2017</v>
      </c>
      <c r="B33" t="s">
        <v>55</v>
      </c>
      <c r="C33" t="s">
        <v>253</v>
      </c>
      <c r="D33" t="s">
        <v>254</v>
      </c>
      <c r="E33" s="16">
        <v>1.8613257999999999</v>
      </c>
      <c r="F33" s="4">
        <v>0.3503308</v>
      </c>
      <c r="G33" s="17">
        <v>1.5109950000000001</v>
      </c>
      <c r="H33" s="4">
        <v>0.60702020000000001</v>
      </c>
      <c r="I33" s="4">
        <v>0.90397479999999997</v>
      </c>
      <c r="J33" s="4">
        <v>0</v>
      </c>
      <c r="K33" s="4">
        <v>0</v>
      </c>
      <c r="L33" s="4">
        <f t="shared" si="0"/>
        <v>0.90397479999999997</v>
      </c>
      <c r="M33" s="4"/>
      <c r="N33" s="4" t="s">
        <v>3130</v>
      </c>
      <c r="O33" s="19">
        <v>46170</v>
      </c>
      <c r="P33" s="29" t="s">
        <v>3705</v>
      </c>
      <c r="Q33" s="19">
        <v>46183</v>
      </c>
      <c r="R33" t="s">
        <v>2007</v>
      </c>
      <c r="T33" t="e">
        <f>VLOOKUP(C33,'Legal &amp; Wrt.off'!C:C,1,0)</f>
        <v>#N/A</v>
      </c>
    </row>
    <row r="34" spans="1:20" hidden="1" x14ac:dyDescent="0.35">
      <c r="A34" t="s">
        <v>2017</v>
      </c>
      <c r="B34" t="s">
        <v>19</v>
      </c>
      <c r="C34" t="s">
        <v>284</v>
      </c>
      <c r="D34" t="s">
        <v>285</v>
      </c>
      <c r="E34" s="16">
        <v>5.7682549999999999</v>
      </c>
      <c r="F34" s="4">
        <v>0.89575479999999996</v>
      </c>
      <c r="G34" s="17">
        <v>4.8725002000000002</v>
      </c>
      <c r="H34" s="4">
        <v>2.7019411999999998</v>
      </c>
      <c r="I34" s="4">
        <v>2.1705589999999999</v>
      </c>
      <c r="J34" s="4">
        <v>0</v>
      </c>
      <c r="K34" s="4">
        <v>0</v>
      </c>
      <c r="L34" s="4">
        <f t="shared" si="0"/>
        <v>2.1705589999999999</v>
      </c>
      <c r="M34" s="4"/>
      <c r="N34" s="4" t="s">
        <v>3131</v>
      </c>
      <c r="O34" s="19">
        <v>46168</v>
      </c>
      <c r="P34" s="29" t="s">
        <v>3708</v>
      </c>
      <c r="Q34" s="19">
        <v>46203</v>
      </c>
      <c r="R34" t="s">
        <v>2007</v>
      </c>
      <c r="T34" t="e">
        <f>VLOOKUP(C34,'Legal &amp; Wrt.off'!C:C,1,0)</f>
        <v>#N/A</v>
      </c>
    </row>
    <row r="35" spans="1:20" hidden="1" x14ac:dyDescent="0.35">
      <c r="A35" t="s">
        <v>2017</v>
      </c>
      <c r="B35" t="s">
        <v>36</v>
      </c>
      <c r="C35" t="s">
        <v>290</v>
      </c>
      <c r="D35" t="s">
        <v>291</v>
      </c>
      <c r="E35" s="16">
        <v>0.94822130000000004</v>
      </c>
      <c r="F35" s="4">
        <v>0</v>
      </c>
      <c r="G35" s="17">
        <v>0.94822130000000004</v>
      </c>
      <c r="H35" s="4">
        <v>0.94822130000000004</v>
      </c>
      <c r="I35" s="4">
        <v>0</v>
      </c>
      <c r="J35" s="4">
        <v>0</v>
      </c>
      <c r="K35" s="4">
        <v>0</v>
      </c>
      <c r="L35" s="4">
        <f t="shared" si="0"/>
        <v>0</v>
      </c>
      <c r="M35" s="4"/>
      <c r="N35" s="4" t="s">
        <v>3124</v>
      </c>
      <c r="O35" s="19">
        <v>46164</v>
      </c>
      <c r="P35" s="29" t="s">
        <v>3705</v>
      </c>
      <c r="Q35" s="19">
        <v>46199</v>
      </c>
      <c r="R35" t="s">
        <v>2007</v>
      </c>
      <c r="T35" t="e">
        <f>VLOOKUP(C35,'Legal &amp; Wrt.off'!C:C,1,0)</f>
        <v>#N/A</v>
      </c>
    </row>
    <row r="36" spans="1:20" hidden="1" x14ac:dyDescent="0.35">
      <c r="A36" t="s">
        <v>2017</v>
      </c>
      <c r="B36" t="s">
        <v>88</v>
      </c>
      <c r="C36" t="s">
        <v>292</v>
      </c>
      <c r="D36" t="s">
        <v>293</v>
      </c>
      <c r="E36" s="16">
        <v>6.0919644999999996</v>
      </c>
      <c r="F36" s="4">
        <v>1.2771952</v>
      </c>
      <c r="G36" s="17">
        <v>4.8147693</v>
      </c>
      <c r="H36" s="4">
        <v>5.2650000000000002E-2</v>
      </c>
      <c r="I36" s="4">
        <v>4.7621193000000002</v>
      </c>
      <c r="J36" s="4">
        <v>0</v>
      </c>
      <c r="K36" s="4">
        <v>0</v>
      </c>
      <c r="L36" s="4">
        <f t="shared" si="0"/>
        <v>4.7621193000000002</v>
      </c>
      <c r="M36" s="4"/>
      <c r="N36" s="4" t="s">
        <v>3129</v>
      </c>
      <c r="O36" s="19">
        <v>46171</v>
      </c>
      <c r="P36" s="29" t="s">
        <v>3705</v>
      </c>
      <c r="Q36" s="19">
        <v>46202</v>
      </c>
      <c r="R36" t="s">
        <v>2007</v>
      </c>
      <c r="T36" t="e">
        <f>VLOOKUP(C36,'Legal &amp; Wrt.off'!C:C,1,0)</f>
        <v>#N/A</v>
      </c>
    </row>
    <row r="37" spans="1:20" hidden="1" x14ac:dyDescent="0.35">
      <c r="A37" t="s">
        <v>2017</v>
      </c>
      <c r="B37" t="s">
        <v>88</v>
      </c>
      <c r="C37" t="s">
        <v>294</v>
      </c>
      <c r="D37" t="s">
        <v>295</v>
      </c>
      <c r="E37" s="16">
        <v>2.3613701000000002</v>
      </c>
      <c r="F37" s="4">
        <v>0.5424696</v>
      </c>
      <c r="G37" s="17">
        <v>1.8189004999999998</v>
      </c>
      <c r="H37" s="4">
        <v>5.9000000000000003E-4</v>
      </c>
      <c r="I37" s="4">
        <v>1.8183104999999999</v>
      </c>
      <c r="J37" s="4">
        <v>0</v>
      </c>
      <c r="K37" s="4">
        <v>0</v>
      </c>
      <c r="L37" s="4">
        <f t="shared" si="0"/>
        <v>1.8183104999999999</v>
      </c>
      <c r="M37" s="4"/>
      <c r="N37" s="4" t="s">
        <v>3129</v>
      </c>
      <c r="O37" s="19">
        <v>46171</v>
      </c>
      <c r="P37" s="29" t="s">
        <v>3705</v>
      </c>
      <c r="Q37" s="19">
        <v>46188</v>
      </c>
      <c r="R37" t="s">
        <v>2007</v>
      </c>
      <c r="T37" t="e">
        <f>VLOOKUP(C37,'Legal &amp; Wrt.off'!C:C,1,0)</f>
        <v>#N/A</v>
      </c>
    </row>
    <row r="38" spans="1:20" hidden="1" x14ac:dyDescent="0.35">
      <c r="A38" t="s">
        <v>2017</v>
      </c>
      <c r="B38" t="s">
        <v>88</v>
      </c>
      <c r="C38" t="s">
        <v>302</v>
      </c>
      <c r="D38" t="s">
        <v>303</v>
      </c>
      <c r="E38" s="16">
        <v>1.2629051</v>
      </c>
      <c r="F38" s="4">
        <v>0.40305279999999999</v>
      </c>
      <c r="G38" s="17">
        <v>0.85985230000000001</v>
      </c>
      <c r="H38" s="4">
        <v>5.9000000000000003E-4</v>
      </c>
      <c r="I38" s="4">
        <v>0.85926229999999992</v>
      </c>
      <c r="J38" s="4">
        <v>0</v>
      </c>
      <c r="K38" s="4">
        <v>0</v>
      </c>
      <c r="L38" s="4">
        <f t="shared" si="0"/>
        <v>0.85926229999999992</v>
      </c>
      <c r="M38" s="4"/>
      <c r="N38" s="4" t="s">
        <v>3121</v>
      </c>
      <c r="O38" s="19">
        <v>46168</v>
      </c>
      <c r="P38" s="29" t="s">
        <v>3705</v>
      </c>
      <c r="Q38" s="19">
        <v>46183</v>
      </c>
      <c r="R38" t="s">
        <v>2007</v>
      </c>
      <c r="T38" t="e">
        <f>VLOOKUP(C38,'Legal &amp; Wrt.off'!C:C,1,0)</f>
        <v>#N/A</v>
      </c>
    </row>
    <row r="39" spans="1:20" hidden="1" x14ac:dyDescent="0.35">
      <c r="A39" t="s">
        <v>2017</v>
      </c>
      <c r="B39" t="s">
        <v>210</v>
      </c>
      <c r="C39" t="s">
        <v>306</v>
      </c>
      <c r="D39" t="s">
        <v>307</v>
      </c>
      <c r="E39" s="16">
        <v>1.5542817999999998</v>
      </c>
      <c r="F39" s="4">
        <v>1.325178</v>
      </c>
      <c r="G39" s="17">
        <v>0.2291038</v>
      </c>
      <c r="H39" s="4">
        <v>0.19930200000000001</v>
      </c>
      <c r="I39" s="4">
        <v>2.9801799999999899E-2</v>
      </c>
      <c r="J39" s="4">
        <v>0</v>
      </c>
      <c r="K39" s="4">
        <v>0</v>
      </c>
      <c r="L39" s="4">
        <f t="shared" si="0"/>
        <v>2.9801799999999899E-2</v>
      </c>
      <c r="M39" s="4"/>
      <c r="N39" s="4" t="s">
        <v>3121</v>
      </c>
      <c r="O39" s="19">
        <v>46168</v>
      </c>
      <c r="P39" s="29" t="s">
        <v>3709</v>
      </c>
      <c r="R39" t="s">
        <v>2007</v>
      </c>
      <c r="T39" t="e">
        <f>VLOOKUP(C39,'Legal &amp; Wrt.off'!C:C,1,0)</f>
        <v>#N/A</v>
      </c>
    </row>
    <row r="40" spans="1:20" hidden="1" x14ac:dyDescent="0.35">
      <c r="A40" t="s">
        <v>2019</v>
      </c>
      <c r="B40" t="s">
        <v>24</v>
      </c>
      <c r="C40" t="s">
        <v>308</v>
      </c>
      <c r="D40" t="s">
        <v>309</v>
      </c>
      <c r="E40" s="16">
        <v>0.77862050000000005</v>
      </c>
      <c r="F40" s="4">
        <v>0.2079396</v>
      </c>
      <c r="G40" s="17">
        <v>0.57068089999999994</v>
      </c>
      <c r="H40" s="4">
        <v>0</v>
      </c>
      <c r="I40" s="4">
        <v>0.57068089999999994</v>
      </c>
      <c r="J40" s="4">
        <v>0</v>
      </c>
      <c r="K40" s="4">
        <v>0</v>
      </c>
      <c r="L40" s="4">
        <f t="shared" si="0"/>
        <v>0.57068089999999994</v>
      </c>
      <c r="M40" s="4"/>
      <c r="N40" s="4" t="s">
        <v>3192</v>
      </c>
      <c r="O40" s="19">
        <v>46172</v>
      </c>
      <c r="P40" s="29" t="s">
        <v>3743</v>
      </c>
      <c r="Q40" s="19">
        <v>46183</v>
      </c>
      <c r="R40" t="s">
        <v>2007</v>
      </c>
      <c r="T40" t="e">
        <f>VLOOKUP(C40,'Legal &amp; Wrt.off'!C:C,1,0)</f>
        <v>#N/A</v>
      </c>
    </row>
    <row r="41" spans="1:20" hidden="1" x14ac:dyDescent="0.35">
      <c r="A41" t="s">
        <v>2019</v>
      </c>
      <c r="B41" t="s">
        <v>16</v>
      </c>
      <c r="C41" t="s">
        <v>312</v>
      </c>
      <c r="D41" t="s">
        <v>313</v>
      </c>
      <c r="E41" s="16">
        <v>4.5011650999999997</v>
      </c>
      <c r="F41" s="4">
        <v>3.8765044</v>
      </c>
      <c r="G41" s="17">
        <v>0.62466069999999996</v>
      </c>
      <c r="H41" s="4">
        <v>0.62466069999999996</v>
      </c>
      <c r="I41" s="4">
        <v>0</v>
      </c>
      <c r="J41" s="4">
        <v>0</v>
      </c>
      <c r="K41" s="4">
        <v>0</v>
      </c>
      <c r="L41" s="4">
        <f t="shared" si="0"/>
        <v>0</v>
      </c>
      <c r="M41" s="4"/>
      <c r="N41" s="4" t="s">
        <v>3193</v>
      </c>
      <c r="O41" s="19">
        <v>46165</v>
      </c>
      <c r="R41" t="s">
        <v>2007</v>
      </c>
      <c r="T41" t="e">
        <f>VLOOKUP(C41,'Legal &amp; Wrt.off'!C:C,1,0)</f>
        <v>#N/A</v>
      </c>
    </row>
    <row r="42" spans="1:20" hidden="1" x14ac:dyDescent="0.35">
      <c r="A42" t="s">
        <v>2019</v>
      </c>
      <c r="B42" t="s">
        <v>16</v>
      </c>
      <c r="C42" t="s">
        <v>316</v>
      </c>
      <c r="D42" t="s">
        <v>317</v>
      </c>
      <c r="E42" s="16">
        <v>2.7204535999999999</v>
      </c>
      <c r="F42" s="4">
        <v>0.51129400000000003</v>
      </c>
      <c r="G42" s="17">
        <v>2.2091596</v>
      </c>
      <c r="H42" s="4">
        <v>0</v>
      </c>
      <c r="I42" s="4">
        <v>2.2091596</v>
      </c>
      <c r="J42" s="4">
        <v>0</v>
      </c>
      <c r="K42" s="4">
        <v>0</v>
      </c>
      <c r="L42" s="4">
        <f t="shared" si="0"/>
        <v>2.2091596</v>
      </c>
      <c r="M42" s="4"/>
      <c r="N42" s="4" t="s">
        <v>3194</v>
      </c>
      <c r="O42" s="19">
        <v>46168</v>
      </c>
      <c r="P42" s="29" t="s">
        <v>3744</v>
      </c>
      <c r="Q42" s="19">
        <v>46186</v>
      </c>
      <c r="R42" t="s">
        <v>2007</v>
      </c>
      <c r="T42" t="e">
        <f>VLOOKUP(C42,'Legal &amp; Wrt.off'!C:C,1,0)</f>
        <v>#N/A</v>
      </c>
    </row>
    <row r="43" spans="1:20" hidden="1" x14ac:dyDescent="0.35">
      <c r="A43" t="s">
        <v>2019</v>
      </c>
      <c r="B43" t="s">
        <v>16</v>
      </c>
      <c r="C43" t="s">
        <v>318</v>
      </c>
      <c r="D43" t="s">
        <v>319</v>
      </c>
      <c r="E43" s="16">
        <v>0.83766110000000005</v>
      </c>
      <c r="F43" s="4">
        <v>0.33397540000000003</v>
      </c>
      <c r="G43" s="17">
        <v>0.50368570000000001</v>
      </c>
      <c r="H43" s="4">
        <v>0.49689139999999998</v>
      </c>
      <c r="I43" s="4">
        <v>6.7942999999999303E-3</v>
      </c>
      <c r="J43" s="4">
        <v>0</v>
      </c>
      <c r="K43" s="4">
        <v>0</v>
      </c>
      <c r="L43" s="4">
        <f t="shared" si="0"/>
        <v>6.7942999999999303E-3</v>
      </c>
      <c r="M43" s="4"/>
      <c r="N43" s="4" t="s">
        <v>3195</v>
      </c>
      <c r="O43" s="19">
        <v>46165</v>
      </c>
      <c r="P43" s="29" t="s">
        <v>3742</v>
      </c>
      <c r="R43" t="s">
        <v>2007</v>
      </c>
      <c r="T43" t="e">
        <f>VLOOKUP(C43,'Legal &amp; Wrt.off'!C:C,1,0)</f>
        <v>#N/A</v>
      </c>
    </row>
    <row r="44" spans="1:20" hidden="1" x14ac:dyDescent="0.35">
      <c r="A44" t="s">
        <v>2017</v>
      </c>
      <c r="B44" t="s">
        <v>36</v>
      </c>
      <c r="C44" t="s">
        <v>324</v>
      </c>
      <c r="D44" t="s">
        <v>325</v>
      </c>
      <c r="E44" s="16">
        <v>1.3928320999999999</v>
      </c>
      <c r="F44" s="4">
        <v>1.2176183999999999</v>
      </c>
      <c r="G44" s="17">
        <v>0.1752137</v>
      </c>
      <c r="H44" s="4">
        <v>5.9000000000000003E-4</v>
      </c>
      <c r="I44" s="4">
        <v>0.17462369999999999</v>
      </c>
      <c r="J44" s="4">
        <v>0</v>
      </c>
      <c r="K44" s="4">
        <v>0</v>
      </c>
      <c r="L44" s="4">
        <f t="shared" si="0"/>
        <v>0.17462369999999999</v>
      </c>
      <c r="M44" s="4"/>
      <c r="N44" s="4" t="s">
        <v>3120</v>
      </c>
      <c r="P44" s="29" t="s">
        <v>3120</v>
      </c>
      <c r="R44" t="s">
        <v>3115</v>
      </c>
      <c r="T44" t="e">
        <f>VLOOKUP(C44,'Legal &amp; Wrt.off'!C:C,1,0)</f>
        <v>#N/A</v>
      </c>
    </row>
    <row r="45" spans="1:20" hidden="1" x14ac:dyDescent="0.35">
      <c r="A45" t="s">
        <v>2017</v>
      </c>
      <c r="B45" t="s">
        <v>210</v>
      </c>
      <c r="C45" t="s">
        <v>331</v>
      </c>
      <c r="D45" t="s">
        <v>332</v>
      </c>
      <c r="E45" s="16">
        <v>6.2210086999999996</v>
      </c>
      <c r="F45" s="4">
        <v>5.5518973999999996</v>
      </c>
      <c r="G45" s="17">
        <v>0.66911130000000008</v>
      </c>
      <c r="H45" s="4">
        <v>0.66911130000000008</v>
      </c>
      <c r="I45" s="4">
        <v>0</v>
      </c>
      <c r="J45" s="4">
        <v>0</v>
      </c>
      <c r="K45" s="4">
        <v>0</v>
      </c>
      <c r="L45" s="4">
        <f t="shared" si="0"/>
        <v>0</v>
      </c>
      <c r="M45" s="4"/>
      <c r="N45" s="4" t="s">
        <v>3133</v>
      </c>
      <c r="O45" s="19">
        <v>46167</v>
      </c>
      <c r="P45" s="29" t="s">
        <v>3706</v>
      </c>
      <c r="Q45" s="19">
        <v>46178</v>
      </c>
      <c r="R45" t="s">
        <v>2007</v>
      </c>
      <c r="T45" t="e">
        <f>VLOOKUP(C45,'Legal &amp; Wrt.off'!C:C,1,0)</f>
        <v>#N/A</v>
      </c>
    </row>
    <row r="46" spans="1:20" hidden="1" x14ac:dyDescent="0.35">
      <c r="A46" t="s">
        <v>2016</v>
      </c>
      <c r="B46" t="s">
        <v>93</v>
      </c>
      <c r="C46" t="s">
        <v>343</v>
      </c>
      <c r="D46" t="s">
        <v>344</v>
      </c>
      <c r="E46" s="16">
        <v>5.0577833000000005</v>
      </c>
      <c r="F46" s="4">
        <v>4.5666340000000005</v>
      </c>
      <c r="G46" s="17">
        <v>0.49114930000000001</v>
      </c>
      <c r="H46" s="4">
        <v>0.49114930000000001</v>
      </c>
      <c r="I46" s="4">
        <v>0</v>
      </c>
      <c r="J46" s="4">
        <v>0</v>
      </c>
      <c r="K46" s="4">
        <v>0</v>
      </c>
      <c r="L46" s="4">
        <f t="shared" si="0"/>
        <v>0</v>
      </c>
      <c r="M46" s="4"/>
      <c r="N46" s="4" t="s">
        <v>3173</v>
      </c>
      <c r="O46" s="19">
        <v>46165</v>
      </c>
      <c r="R46" t="s">
        <v>2007</v>
      </c>
      <c r="T46" t="e">
        <f>VLOOKUP(C46,'Legal &amp; Wrt.off'!C:C,1,0)</f>
        <v>#N/A</v>
      </c>
    </row>
    <row r="47" spans="1:20" x14ac:dyDescent="0.35">
      <c r="A47" t="s">
        <v>2017</v>
      </c>
      <c r="B47" t="s">
        <v>111</v>
      </c>
      <c r="C47" t="s">
        <v>345</v>
      </c>
      <c r="D47" t="s">
        <v>346</v>
      </c>
      <c r="E47" s="16">
        <v>6.5442628000000003</v>
      </c>
      <c r="F47" s="4">
        <v>5.6440773000000002</v>
      </c>
      <c r="G47" s="17">
        <v>0.90018550000000008</v>
      </c>
      <c r="H47" s="4">
        <v>0</v>
      </c>
      <c r="I47" s="4">
        <v>0.90018550000000008</v>
      </c>
      <c r="J47" s="4">
        <v>0</v>
      </c>
      <c r="K47" s="4">
        <v>0</v>
      </c>
      <c r="L47" s="4">
        <f t="shared" si="0"/>
        <v>0.90018550000000008</v>
      </c>
      <c r="M47" s="4"/>
      <c r="N47" s="4" t="s">
        <v>3134</v>
      </c>
      <c r="P47" s="29" t="s">
        <v>3710</v>
      </c>
      <c r="R47" t="s">
        <v>2007</v>
      </c>
      <c r="T47" t="e">
        <f>VLOOKUP(C47,'Legal &amp; Wrt.off'!C:C,1,0)</f>
        <v>#N/A</v>
      </c>
    </row>
    <row r="48" spans="1:20" hidden="1" x14ac:dyDescent="0.35">
      <c r="A48" t="s">
        <v>2017</v>
      </c>
      <c r="B48" t="s">
        <v>55</v>
      </c>
      <c r="C48" t="s">
        <v>347</v>
      </c>
      <c r="D48" t="s">
        <v>348</v>
      </c>
      <c r="E48" s="16">
        <v>8.4507414000000001</v>
      </c>
      <c r="F48" s="4">
        <v>8.3153974000000002</v>
      </c>
      <c r="G48" s="17">
        <v>0.13534399999999999</v>
      </c>
      <c r="H48" s="4">
        <v>1.7162E-3</v>
      </c>
      <c r="I48" s="4">
        <v>0.13362780000000002</v>
      </c>
      <c r="J48" s="4">
        <v>0</v>
      </c>
      <c r="K48" s="4">
        <v>0</v>
      </c>
      <c r="L48" s="4">
        <f t="shared" si="0"/>
        <v>0.13362780000000002</v>
      </c>
      <c r="M48" s="4"/>
      <c r="N48" s="4" t="s">
        <v>3133</v>
      </c>
      <c r="O48" s="19">
        <v>46167</v>
      </c>
      <c r="P48" s="29" t="s">
        <v>3710</v>
      </c>
      <c r="R48" t="s">
        <v>2007</v>
      </c>
      <c r="T48" t="e">
        <f>VLOOKUP(C48,'Legal &amp; Wrt.off'!C:C,1,0)</f>
        <v>#N/A</v>
      </c>
    </row>
    <row r="49" spans="1:20" hidden="1" x14ac:dyDescent="0.35">
      <c r="A49" t="s">
        <v>2017</v>
      </c>
      <c r="B49" t="s">
        <v>55</v>
      </c>
      <c r="C49" t="s">
        <v>349</v>
      </c>
      <c r="D49" t="s">
        <v>350</v>
      </c>
      <c r="E49" s="16">
        <v>1.9293432000000001</v>
      </c>
      <c r="F49" s="4">
        <v>1.7955619</v>
      </c>
      <c r="G49" s="17">
        <v>0.13378129999999999</v>
      </c>
      <c r="H49" s="4">
        <v>0.13378129999999999</v>
      </c>
      <c r="I49" s="4">
        <v>0</v>
      </c>
      <c r="J49" s="4">
        <v>0</v>
      </c>
      <c r="K49" s="4">
        <v>0</v>
      </c>
      <c r="L49" s="4">
        <f t="shared" si="0"/>
        <v>0</v>
      </c>
      <c r="M49" s="4"/>
      <c r="N49" s="4" t="s">
        <v>3135</v>
      </c>
      <c r="P49" s="29" t="s">
        <v>3711</v>
      </c>
      <c r="Q49" s="19">
        <v>46183</v>
      </c>
      <c r="R49" t="s">
        <v>2007</v>
      </c>
      <c r="T49" t="e">
        <f>VLOOKUP(C49,'Legal &amp; Wrt.off'!C:C,1,0)</f>
        <v>#N/A</v>
      </c>
    </row>
    <row r="50" spans="1:20" hidden="1" x14ac:dyDescent="0.35">
      <c r="A50" t="s">
        <v>2019</v>
      </c>
      <c r="B50" t="s">
        <v>27</v>
      </c>
      <c r="C50" t="s">
        <v>353</v>
      </c>
      <c r="D50" t="s">
        <v>354</v>
      </c>
      <c r="E50" s="16">
        <v>5.4385200999999999</v>
      </c>
      <c r="F50" s="4">
        <v>5.1195820000000003</v>
      </c>
      <c r="G50" s="17">
        <v>0.3189381</v>
      </c>
      <c r="H50" s="4">
        <v>0.3189381</v>
      </c>
      <c r="I50" s="4">
        <v>0</v>
      </c>
      <c r="J50" s="4">
        <v>0</v>
      </c>
      <c r="K50" s="4">
        <v>0</v>
      </c>
      <c r="L50" s="4">
        <f t="shared" si="0"/>
        <v>0</v>
      </c>
      <c r="M50" s="4"/>
      <c r="N50" s="4" t="s">
        <v>3192</v>
      </c>
      <c r="O50" s="19">
        <v>46172</v>
      </c>
      <c r="R50" t="s">
        <v>2007</v>
      </c>
      <c r="T50" t="e">
        <f>VLOOKUP(C50,'Legal &amp; Wrt.off'!C:C,1,0)</f>
        <v>#N/A</v>
      </c>
    </row>
    <row r="51" spans="1:20" hidden="1" x14ac:dyDescent="0.35">
      <c r="A51" t="s">
        <v>2019</v>
      </c>
      <c r="B51" t="s">
        <v>24</v>
      </c>
      <c r="C51" t="s">
        <v>355</v>
      </c>
      <c r="D51" t="s">
        <v>356</v>
      </c>
      <c r="E51" s="16">
        <v>2.5046365000000002</v>
      </c>
      <c r="F51" s="4">
        <v>0</v>
      </c>
      <c r="G51" s="17">
        <v>2.5046365000000002</v>
      </c>
      <c r="H51" s="4">
        <v>0</v>
      </c>
      <c r="I51" s="4">
        <v>2.5046365000000002</v>
      </c>
      <c r="J51" s="4">
        <v>0</v>
      </c>
      <c r="K51" s="4">
        <v>0</v>
      </c>
      <c r="L51" s="4">
        <f t="shared" si="0"/>
        <v>2.5046365000000002</v>
      </c>
      <c r="M51" s="4"/>
      <c r="N51" s="4" t="s">
        <v>3192</v>
      </c>
      <c r="O51" s="19">
        <v>46172</v>
      </c>
      <c r="P51" s="29" t="s">
        <v>3743</v>
      </c>
      <c r="Q51" s="19">
        <v>46184</v>
      </c>
      <c r="R51" t="s">
        <v>2007</v>
      </c>
      <c r="T51" t="e">
        <f>VLOOKUP(C51,'Legal &amp; Wrt.off'!C:C,1,0)</f>
        <v>#N/A</v>
      </c>
    </row>
    <row r="52" spans="1:20" hidden="1" x14ac:dyDescent="0.35">
      <c r="A52" t="s">
        <v>2019</v>
      </c>
      <c r="B52" t="s">
        <v>46</v>
      </c>
      <c r="C52" t="s">
        <v>357</v>
      </c>
      <c r="D52" t="s">
        <v>358</v>
      </c>
      <c r="E52" s="16">
        <v>2.9574275000000001</v>
      </c>
      <c r="F52" s="4">
        <v>1.5033476000000001</v>
      </c>
      <c r="G52" s="17">
        <v>1.4540799</v>
      </c>
      <c r="H52" s="4">
        <v>0</v>
      </c>
      <c r="I52" s="4">
        <v>1.4540799</v>
      </c>
      <c r="J52" s="4">
        <v>0</v>
      </c>
      <c r="K52" s="4">
        <v>0</v>
      </c>
      <c r="L52" s="4">
        <f t="shared" si="0"/>
        <v>1.4540799</v>
      </c>
      <c r="M52" s="4"/>
      <c r="N52" s="4" t="s">
        <v>3196</v>
      </c>
      <c r="O52" s="19">
        <v>46168</v>
      </c>
      <c r="P52" s="29" t="s">
        <v>3745</v>
      </c>
      <c r="Q52" s="19">
        <v>46186</v>
      </c>
      <c r="R52" t="s">
        <v>2007</v>
      </c>
      <c r="T52" t="e">
        <f>VLOOKUP(C52,'Legal &amp; Wrt.off'!C:C,1,0)</f>
        <v>#N/A</v>
      </c>
    </row>
    <row r="53" spans="1:20" hidden="1" x14ac:dyDescent="0.35">
      <c r="A53" t="s">
        <v>2019</v>
      </c>
      <c r="B53" t="s">
        <v>46</v>
      </c>
      <c r="C53" t="s">
        <v>359</v>
      </c>
      <c r="D53" t="s">
        <v>360</v>
      </c>
      <c r="E53" s="16">
        <v>1.5075245000000002</v>
      </c>
      <c r="F53" s="4">
        <v>0.93283479999999996</v>
      </c>
      <c r="G53" s="17">
        <v>0.57468969999999997</v>
      </c>
      <c r="H53" s="4">
        <v>0.57468969999999997</v>
      </c>
      <c r="I53" s="4">
        <v>0</v>
      </c>
      <c r="J53" s="4">
        <v>0</v>
      </c>
      <c r="K53" s="4">
        <v>0</v>
      </c>
      <c r="L53" s="4">
        <f t="shared" si="0"/>
        <v>0</v>
      </c>
      <c r="M53" s="4"/>
      <c r="N53" s="4" t="s">
        <v>3188</v>
      </c>
      <c r="R53" t="s">
        <v>3116</v>
      </c>
      <c r="T53" t="e">
        <f>VLOOKUP(C53,'Legal &amp; Wrt.off'!C:C,1,0)</f>
        <v>#N/A</v>
      </c>
    </row>
    <row r="54" spans="1:20" hidden="1" x14ac:dyDescent="0.35">
      <c r="A54" t="s">
        <v>2017</v>
      </c>
      <c r="B54" t="s">
        <v>210</v>
      </c>
      <c r="C54" t="s">
        <v>379</v>
      </c>
      <c r="D54" t="s">
        <v>380</v>
      </c>
      <c r="E54" s="16">
        <v>8.4242278000000006</v>
      </c>
      <c r="F54" s="4">
        <v>7.2505469999999992</v>
      </c>
      <c r="G54" s="17">
        <v>1.1736808000000001</v>
      </c>
      <c r="H54" s="4">
        <v>1.1736808000000001</v>
      </c>
      <c r="I54" s="4">
        <v>0</v>
      </c>
      <c r="J54" s="4">
        <v>0</v>
      </c>
      <c r="K54" s="4">
        <v>0</v>
      </c>
      <c r="L54" s="4">
        <f t="shared" si="0"/>
        <v>0</v>
      </c>
      <c r="M54" s="4"/>
      <c r="N54" s="4" t="s">
        <v>3125</v>
      </c>
      <c r="O54" s="19">
        <v>46165</v>
      </c>
      <c r="R54" t="s">
        <v>2007</v>
      </c>
      <c r="T54" t="e">
        <f>VLOOKUP(C54,'Legal &amp; Wrt.off'!C:C,1,0)</f>
        <v>#N/A</v>
      </c>
    </row>
    <row r="55" spans="1:20" hidden="1" x14ac:dyDescent="0.35">
      <c r="A55" t="s">
        <v>2017</v>
      </c>
      <c r="B55" t="s">
        <v>36</v>
      </c>
      <c r="C55" t="s">
        <v>381</v>
      </c>
      <c r="D55" t="s">
        <v>382</v>
      </c>
      <c r="E55" s="16">
        <v>1.2624527999999999</v>
      </c>
      <c r="F55" s="4">
        <v>1.246424</v>
      </c>
      <c r="G55" s="17">
        <v>1.6028800000000003E-2</v>
      </c>
      <c r="H55" s="4">
        <v>0</v>
      </c>
      <c r="I55" s="4">
        <v>1.6028800000000003E-2</v>
      </c>
      <c r="J55" s="4">
        <v>0</v>
      </c>
      <c r="K55" s="4">
        <v>0</v>
      </c>
      <c r="L55" s="4">
        <f t="shared" si="0"/>
        <v>1.6028800000000003E-2</v>
      </c>
      <c r="M55" s="4"/>
      <c r="N55" s="4" t="s">
        <v>3120</v>
      </c>
      <c r="P55" s="29" t="s">
        <v>3120</v>
      </c>
      <c r="R55" t="s">
        <v>3115</v>
      </c>
      <c r="T55" t="e">
        <f>VLOOKUP(C55,'Legal &amp; Wrt.off'!C:C,1,0)</f>
        <v>#N/A</v>
      </c>
    </row>
    <row r="56" spans="1:20" hidden="1" x14ac:dyDescent="0.35">
      <c r="A56" t="s">
        <v>2016</v>
      </c>
      <c r="B56" t="s">
        <v>41</v>
      </c>
      <c r="C56" t="s">
        <v>397</v>
      </c>
      <c r="D56" t="s">
        <v>398</v>
      </c>
      <c r="E56" s="16">
        <v>1.5467910999999999</v>
      </c>
      <c r="F56" s="4">
        <v>1.3914498000000002</v>
      </c>
      <c r="G56" s="17">
        <v>0.15534129999999999</v>
      </c>
      <c r="H56" s="4">
        <v>5.9000000000000003E-4</v>
      </c>
      <c r="I56" s="4">
        <v>0.15475129999999998</v>
      </c>
      <c r="J56" s="4">
        <v>0</v>
      </c>
      <c r="K56" s="4">
        <v>0</v>
      </c>
      <c r="L56" s="4">
        <f t="shared" si="0"/>
        <v>0.15475129999999998</v>
      </c>
      <c r="M56" s="4"/>
      <c r="N56" s="4" t="s">
        <v>3174</v>
      </c>
      <c r="O56" s="19">
        <v>46167</v>
      </c>
      <c r="P56" s="29" t="s">
        <v>3689</v>
      </c>
      <c r="Q56" s="19">
        <v>46181</v>
      </c>
      <c r="R56" t="s">
        <v>2007</v>
      </c>
      <c r="T56" t="e">
        <f>VLOOKUP(C56,'Legal &amp; Wrt.off'!C:C,1,0)</f>
        <v>#N/A</v>
      </c>
    </row>
    <row r="57" spans="1:20" hidden="1" x14ac:dyDescent="0.35">
      <c r="A57" t="s">
        <v>2016</v>
      </c>
      <c r="B57" t="s">
        <v>41</v>
      </c>
      <c r="C57" t="s">
        <v>403</v>
      </c>
      <c r="D57" t="s">
        <v>404</v>
      </c>
      <c r="E57" s="16">
        <v>8.0022829000000009</v>
      </c>
      <c r="F57" s="4">
        <v>7.9938085999999995</v>
      </c>
      <c r="G57" s="17">
        <v>8.4742999999998601E-3</v>
      </c>
      <c r="H57" s="4">
        <v>8.4742999999998601E-3</v>
      </c>
      <c r="I57" s="4">
        <v>0</v>
      </c>
      <c r="J57" s="4">
        <v>0</v>
      </c>
      <c r="K57" s="4">
        <v>0</v>
      </c>
      <c r="L57" s="4">
        <f t="shared" si="0"/>
        <v>0</v>
      </c>
      <c r="M57" s="4"/>
      <c r="N57" s="4" t="s">
        <v>3174</v>
      </c>
      <c r="O57" s="19">
        <v>46167</v>
      </c>
      <c r="P57" s="29" t="s">
        <v>3177</v>
      </c>
      <c r="R57" t="s">
        <v>2007</v>
      </c>
      <c r="T57" t="e">
        <f>VLOOKUP(C57,'Legal &amp; Wrt.off'!C:C,1,0)</f>
        <v>#N/A</v>
      </c>
    </row>
    <row r="58" spans="1:20" hidden="1" x14ac:dyDescent="0.35">
      <c r="A58" t="s">
        <v>2016</v>
      </c>
      <c r="B58" t="s">
        <v>164</v>
      </c>
      <c r="C58" t="s">
        <v>413</v>
      </c>
      <c r="D58" t="s">
        <v>414</v>
      </c>
      <c r="E58" s="16">
        <v>4.38332000000001E-2</v>
      </c>
      <c r="F58" s="4">
        <v>0</v>
      </c>
      <c r="G58" s="17">
        <v>4.38332000000001E-2</v>
      </c>
      <c r="H58" s="4">
        <v>0</v>
      </c>
      <c r="I58" s="4">
        <v>4.38332000000001E-2</v>
      </c>
      <c r="J58" s="4">
        <v>0</v>
      </c>
      <c r="K58" s="4">
        <v>0</v>
      </c>
      <c r="L58" s="4">
        <f t="shared" si="0"/>
        <v>4.38332000000001E-2</v>
      </c>
      <c r="M58" s="4"/>
      <c r="N58" s="4" t="s">
        <v>3175</v>
      </c>
      <c r="P58" s="29" t="s">
        <v>3690</v>
      </c>
      <c r="R58" t="s">
        <v>3187</v>
      </c>
      <c r="T58" t="e">
        <f>VLOOKUP(C58,'Legal &amp; Wrt.off'!C:C,1,0)</f>
        <v>#N/A</v>
      </c>
    </row>
    <row r="59" spans="1:20" hidden="1" x14ac:dyDescent="0.35">
      <c r="A59" t="s">
        <v>2017</v>
      </c>
      <c r="B59" t="s">
        <v>210</v>
      </c>
      <c r="C59" t="s">
        <v>415</v>
      </c>
      <c r="D59" t="s">
        <v>416</v>
      </c>
      <c r="E59" s="16">
        <v>0.49014269999999999</v>
      </c>
      <c r="F59" s="4">
        <v>0</v>
      </c>
      <c r="G59" s="17">
        <v>0.49014269999999999</v>
      </c>
      <c r="H59" s="4">
        <v>5.9000000000000003E-4</v>
      </c>
      <c r="I59" s="4">
        <v>0.48587129999999995</v>
      </c>
      <c r="J59" s="4">
        <v>3.6813999999999901E-3</v>
      </c>
      <c r="K59" s="4">
        <v>0</v>
      </c>
      <c r="L59" s="4">
        <f t="shared" si="0"/>
        <v>0.48955269999999995</v>
      </c>
      <c r="M59" s="4"/>
      <c r="N59" s="4" t="s">
        <v>3126</v>
      </c>
      <c r="O59" s="19">
        <v>46167</v>
      </c>
      <c r="P59" s="29" t="s">
        <v>3712</v>
      </c>
      <c r="Q59" s="19">
        <v>46202</v>
      </c>
      <c r="R59" t="s">
        <v>2007</v>
      </c>
      <c r="T59" t="e">
        <f>VLOOKUP(C59,'Legal &amp; Wrt.off'!C:C,1,0)</f>
        <v>#N/A</v>
      </c>
    </row>
    <row r="60" spans="1:20" x14ac:dyDescent="0.35">
      <c r="A60" t="s">
        <v>2018</v>
      </c>
      <c r="B60" t="s">
        <v>169</v>
      </c>
      <c r="C60" t="s">
        <v>443</v>
      </c>
      <c r="D60" t="s">
        <v>444</v>
      </c>
      <c r="E60" s="16">
        <v>9.0446299999999993E-2</v>
      </c>
      <c r="F60" s="4">
        <v>0</v>
      </c>
      <c r="G60" s="17">
        <v>9.0446299999999993E-2</v>
      </c>
      <c r="H60" s="4">
        <v>0</v>
      </c>
      <c r="I60" s="4">
        <v>9.0446299999999993E-2</v>
      </c>
      <c r="J60" s="4">
        <v>0</v>
      </c>
      <c r="K60" s="4">
        <v>0</v>
      </c>
      <c r="L60" s="4">
        <f t="shared" si="0"/>
        <v>9.0446299999999993E-2</v>
      </c>
      <c r="M60" s="4"/>
      <c r="N60" s="4" t="s">
        <v>3420</v>
      </c>
      <c r="P60" s="29" t="s">
        <v>3420</v>
      </c>
      <c r="R60" t="s">
        <v>3117</v>
      </c>
      <c r="T60" t="e">
        <f>VLOOKUP(C60,'Legal &amp; Wrt.off'!C:C,1,0)</f>
        <v>#N/A</v>
      </c>
    </row>
    <row r="61" spans="1:20" hidden="1" x14ac:dyDescent="0.35">
      <c r="A61" t="s">
        <v>2017</v>
      </c>
      <c r="B61" t="s">
        <v>210</v>
      </c>
      <c r="C61" t="s">
        <v>453</v>
      </c>
      <c r="D61" t="s">
        <v>454</v>
      </c>
      <c r="E61" s="16">
        <v>5.3717363000000002</v>
      </c>
      <c r="F61" s="4">
        <v>0</v>
      </c>
      <c r="G61" s="17">
        <v>5.3717363000000002</v>
      </c>
      <c r="H61" s="4">
        <v>5.9000000000000003E-4</v>
      </c>
      <c r="I61" s="4">
        <v>5.3711463000000004</v>
      </c>
      <c r="J61" s="4">
        <v>0</v>
      </c>
      <c r="K61" s="4">
        <v>0</v>
      </c>
      <c r="L61" s="4">
        <f t="shared" si="0"/>
        <v>5.3711463000000004</v>
      </c>
      <c r="M61" s="4"/>
      <c r="N61" s="4" t="s">
        <v>3129</v>
      </c>
      <c r="O61" s="19">
        <v>46171</v>
      </c>
      <c r="P61" s="29" t="s">
        <v>3153</v>
      </c>
      <c r="R61" t="s">
        <v>2007</v>
      </c>
      <c r="T61" t="e">
        <f>VLOOKUP(C61,'Legal &amp; Wrt.off'!C:C,1,0)</f>
        <v>#N/A</v>
      </c>
    </row>
    <row r="62" spans="1:20" hidden="1" x14ac:dyDescent="0.35">
      <c r="A62" t="s">
        <v>2017</v>
      </c>
      <c r="B62" t="s">
        <v>88</v>
      </c>
      <c r="C62" t="s">
        <v>455</v>
      </c>
      <c r="D62" t="s">
        <v>456</v>
      </c>
      <c r="E62" s="16">
        <v>12.218315</v>
      </c>
      <c r="F62" s="4">
        <v>11.523123400000001</v>
      </c>
      <c r="G62" s="17">
        <v>0.69519160000000002</v>
      </c>
      <c r="H62" s="4">
        <v>0.69519160000000002</v>
      </c>
      <c r="I62" s="4">
        <v>0</v>
      </c>
      <c r="J62" s="4">
        <v>0</v>
      </c>
      <c r="K62" s="4">
        <v>0</v>
      </c>
      <c r="L62" s="4">
        <f t="shared" si="0"/>
        <v>0</v>
      </c>
      <c r="M62" s="4"/>
      <c r="N62" s="4" t="s">
        <v>3129</v>
      </c>
      <c r="O62" s="19">
        <v>46171</v>
      </c>
      <c r="P62" s="29" t="s">
        <v>3705</v>
      </c>
      <c r="Q62" s="19">
        <v>46188</v>
      </c>
      <c r="R62" t="s">
        <v>2007</v>
      </c>
      <c r="T62" t="e">
        <f>VLOOKUP(C62,'Legal &amp; Wrt.off'!C:C,1,0)</f>
        <v>#N/A</v>
      </c>
    </row>
    <row r="63" spans="1:20" hidden="1" x14ac:dyDescent="0.35">
      <c r="A63" t="s">
        <v>2016</v>
      </c>
      <c r="B63" t="s">
        <v>100</v>
      </c>
      <c r="C63" t="s">
        <v>457</v>
      </c>
      <c r="D63" t="s">
        <v>458</v>
      </c>
      <c r="E63" s="16">
        <v>1.2341736999999999</v>
      </c>
      <c r="F63" s="4">
        <v>1.229088</v>
      </c>
      <c r="G63" s="17">
        <v>5.0857000000000697E-3</v>
      </c>
      <c r="H63" s="4">
        <v>1.155E-3</v>
      </c>
      <c r="I63" s="4">
        <v>3.9307000000000699E-3</v>
      </c>
      <c r="J63" s="4">
        <v>0</v>
      </c>
      <c r="K63" s="4">
        <v>0</v>
      </c>
      <c r="L63" s="4">
        <f t="shared" si="0"/>
        <v>3.9307000000000699E-3</v>
      </c>
      <c r="M63" s="4"/>
      <c r="N63" s="4" t="s">
        <v>3176</v>
      </c>
      <c r="O63" s="19">
        <v>46165</v>
      </c>
      <c r="P63" s="29" t="s">
        <v>3177</v>
      </c>
      <c r="R63" t="s">
        <v>2007</v>
      </c>
      <c r="T63" t="e">
        <f>VLOOKUP(C63,'Legal &amp; Wrt.off'!C:C,1,0)</f>
        <v>#N/A</v>
      </c>
    </row>
    <row r="64" spans="1:20" hidden="1" x14ac:dyDescent="0.35">
      <c r="A64" t="s">
        <v>2019</v>
      </c>
      <c r="B64" t="s">
        <v>24</v>
      </c>
      <c r="C64" t="s">
        <v>465</v>
      </c>
      <c r="D64" t="s">
        <v>466</v>
      </c>
      <c r="E64" s="16">
        <v>1.1363814999999999</v>
      </c>
      <c r="F64" s="4">
        <v>0.654192</v>
      </c>
      <c r="G64" s="17">
        <v>0.48218949999999999</v>
      </c>
      <c r="H64" s="4">
        <v>0.48218949999999999</v>
      </c>
      <c r="I64" s="4">
        <v>0</v>
      </c>
      <c r="J64" s="4">
        <v>0</v>
      </c>
      <c r="K64" s="4">
        <v>0</v>
      </c>
      <c r="L64" s="4">
        <f t="shared" si="0"/>
        <v>0</v>
      </c>
      <c r="M64" s="4"/>
      <c r="N64" s="4" t="s">
        <v>3197</v>
      </c>
      <c r="O64" s="19">
        <v>46169</v>
      </c>
      <c r="P64" s="29" t="s">
        <v>3743</v>
      </c>
      <c r="Q64" s="19">
        <v>46184</v>
      </c>
      <c r="R64" t="s">
        <v>2007</v>
      </c>
      <c r="T64" t="e">
        <f>VLOOKUP(C64,'Legal &amp; Wrt.off'!C:C,1,0)</f>
        <v>#N/A</v>
      </c>
    </row>
    <row r="65" spans="1:20" hidden="1" x14ac:dyDescent="0.35">
      <c r="A65" t="s">
        <v>2017</v>
      </c>
      <c r="B65" t="s">
        <v>19</v>
      </c>
      <c r="C65" t="s">
        <v>471</v>
      </c>
      <c r="D65" t="s">
        <v>472</v>
      </c>
      <c r="E65" s="16">
        <v>0.27062229999999998</v>
      </c>
      <c r="F65" s="4">
        <v>0.26293110000000003</v>
      </c>
      <c r="G65" s="17">
        <v>7.69120000000003E-3</v>
      </c>
      <c r="H65" s="4">
        <v>7.69120000000003E-3</v>
      </c>
      <c r="I65" s="4">
        <v>0</v>
      </c>
      <c r="J65" s="4">
        <v>0</v>
      </c>
      <c r="K65" s="4">
        <v>0</v>
      </c>
      <c r="L65" s="4">
        <f t="shared" si="0"/>
        <v>0</v>
      </c>
      <c r="M65" s="4"/>
      <c r="N65" s="4" t="s">
        <v>3125</v>
      </c>
      <c r="O65" s="19">
        <v>46165</v>
      </c>
      <c r="P65" s="29" t="s">
        <v>3705</v>
      </c>
      <c r="Q65" s="19">
        <v>46188</v>
      </c>
      <c r="R65" t="s">
        <v>2007</v>
      </c>
      <c r="T65" t="e">
        <f>VLOOKUP(C65,'Legal &amp; Wrt.off'!C:C,1,0)</f>
        <v>#N/A</v>
      </c>
    </row>
    <row r="66" spans="1:20" hidden="1" x14ac:dyDescent="0.35">
      <c r="A66" t="s">
        <v>2017</v>
      </c>
      <c r="B66" t="s">
        <v>55</v>
      </c>
      <c r="C66" t="s">
        <v>489</v>
      </c>
      <c r="D66" t="s">
        <v>490</v>
      </c>
      <c r="E66" s="16">
        <v>2.3473397</v>
      </c>
      <c r="F66" s="4">
        <v>2.1958902</v>
      </c>
      <c r="G66" s="17">
        <v>0.15144950000000001</v>
      </c>
      <c r="H66" s="4">
        <v>0.15144950000000001</v>
      </c>
      <c r="I66" s="4">
        <v>0</v>
      </c>
      <c r="J66" s="4">
        <v>0</v>
      </c>
      <c r="K66" s="4">
        <v>0</v>
      </c>
      <c r="L66" s="4">
        <f t="shared" si="0"/>
        <v>0</v>
      </c>
      <c r="M66" s="4"/>
      <c r="N66" s="4" t="s">
        <v>3122</v>
      </c>
      <c r="P66" s="29" t="s">
        <v>3705</v>
      </c>
      <c r="Q66" s="19">
        <v>46183</v>
      </c>
      <c r="R66" t="s">
        <v>2007</v>
      </c>
      <c r="T66" t="e">
        <f>VLOOKUP(C66,'Legal &amp; Wrt.off'!C:C,1,0)</f>
        <v>#N/A</v>
      </c>
    </row>
    <row r="67" spans="1:20" hidden="1" x14ac:dyDescent="0.35">
      <c r="A67" t="s">
        <v>2019</v>
      </c>
      <c r="B67" t="s">
        <v>27</v>
      </c>
      <c r="C67" t="s">
        <v>491</v>
      </c>
      <c r="D67" t="s">
        <v>492</v>
      </c>
      <c r="E67" s="16">
        <v>21.727242999999998</v>
      </c>
      <c r="F67" s="4">
        <v>21.1199914</v>
      </c>
      <c r="G67" s="17">
        <v>0.6072516</v>
      </c>
      <c r="H67" s="4">
        <v>0.6072516</v>
      </c>
      <c r="I67" s="4">
        <v>0</v>
      </c>
      <c r="J67" s="4">
        <v>0</v>
      </c>
      <c r="K67" s="4">
        <v>0</v>
      </c>
      <c r="L67" s="4">
        <f t="shared" si="0"/>
        <v>0</v>
      </c>
      <c r="M67" s="4"/>
      <c r="N67" s="4" t="s">
        <v>3188</v>
      </c>
      <c r="P67" s="29" t="s">
        <v>3746</v>
      </c>
      <c r="Q67" s="19">
        <v>46181</v>
      </c>
      <c r="R67" t="s">
        <v>3116</v>
      </c>
      <c r="T67" t="e">
        <f>VLOOKUP(C67,'Legal &amp; Wrt.off'!C:C,1,0)</f>
        <v>#N/A</v>
      </c>
    </row>
    <row r="68" spans="1:20" hidden="1" x14ac:dyDescent="0.35">
      <c r="A68" t="s">
        <v>2019</v>
      </c>
      <c r="B68" t="s">
        <v>27</v>
      </c>
      <c r="C68" t="s">
        <v>493</v>
      </c>
      <c r="D68" t="s">
        <v>494</v>
      </c>
      <c r="E68" s="16">
        <v>3.2954546000000002</v>
      </c>
      <c r="F68" s="4">
        <v>2.8288248</v>
      </c>
      <c r="G68" s="17">
        <v>0.46662980000000004</v>
      </c>
      <c r="H68" s="4">
        <v>0.46662980000000004</v>
      </c>
      <c r="I68" s="4">
        <v>0</v>
      </c>
      <c r="J68" s="4">
        <v>0</v>
      </c>
      <c r="K68" s="4">
        <v>0</v>
      </c>
      <c r="L68" s="4">
        <f t="shared" si="0"/>
        <v>0</v>
      </c>
      <c r="M68" s="4"/>
      <c r="N68" s="4" t="s">
        <v>3188</v>
      </c>
      <c r="P68" s="29" t="s">
        <v>3746</v>
      </c>
      <c r="Q68" s="19">
        <v>46181</v>
      </c>
      <c r="R68" t="s">
        <v>3116</v>
      </c>
      <c r="T68" t="e">
        <f>VLOOKUP(C68,'Legal &amp; Wrt.off'!C:C,1,0)</f>
        <v>#N/A</v>
      </c>
    </row>
    <row r="69" spans="1:20" hidden="1" x14ac:dyDescent="0.35">
      <c r="A69" t="s">
        <v>2017</v>
      </c>
      <c r="B69" t="s">
        <v>111</v>
      </c>
      <c r="C69" t="s">
        <v>495</v>
      </c>
      <c r="D69" t="s">
        <v>496</v>
      </c>
      <c r="E69" s="16">
        <v>4.0017379000000002</v>
      </c>
      <c r="F69" s="4">
        <v>3.5475158000000002</v>
      </c>
      <c r="G69" s="17">
        <v>0.45422210000000002</v>
      </c>
      <c r="H69" s="4">
        <v>0</v>
      </c>
      <c r="I69" s="4">
        <v>0.45422210000000002</v>
      </c>
      <c r="J69" s="4">
        <v>0</v>
      </c>
      <c r="K69" s="4">
        <v>0</v>
      </c>
      <c r="L69" s="4">
        <f t="shared" si="0"/>
        <v>0.45422210000000002</v>
      </c>
      <c r="M69" s="4"/>
      <c r="N69" s="4" t="s">
        <v>3136</v>
      </c>
      <c r="P69" s="29" t="s">
        <v>3710</v>
      </c>
      <c r="R69" t="s">
        <v>2007</v>
      </c>
      <c r="T69" t="e">
        <f>VLOOKUP(C69,'Legal &amp; Wrt.off'!C:C,1,0)</f>
        <v>#N/A</v>
      </c>
    </row>
    <row r="70" spans="1:20" hidden="1" x14ac:dyDescent="0.35">
      <c r="A70" t="s">
        <v>2019</v>
      </c>
      <c r="B70" t="s">
        <v>27</v>
      </c>
      <c r="C70" t="s">
        <v>503</v>
      </c>
      <c r="D70" t="s">
        <v>504</v>
      </c>
      <c r="E70" s="16">
        <v>5.3496956000000004</v>
      </c>
      <c r="F70" s="4">
        <v>0.37645519999999999</v>
      </c>
      <c r="G70" s="17">
        <v>4.9732403999999999</v>
      </c>
      <c r="H70" s="4">
        <v>1.0895404</v>
      </c>
      <c r="I70" s="4">
        <v>3.8837000000000002</v>
      </c>
      <c r="J70" s="4">
        <v>0</v>
      </c>
      <c r="K70" s="4">
        <v>0</v>
      </c>
      <c r="L70" s="4">
        <f t="shared" ref="L70:L133" si="1">SUM(I70:K70)</f>
        <v>3.8837000000000002</v>
      </c>
      <c r="M70" s="4"/>
      <c r="N70" s="4" t="s">
        <v>3192</v>
      </c>
      <c r="O70" s="19">
        <v>46172</v>
      </c>
      <c r="P70" s="29" t="s">
        <v>3747</v>
      </c>
      <c r="Q70" s="19">
        <v>46185</v>
      </c>
      <c r="R70" t="s">
        <v>2007</v>
      </c>
      <c r="T70" t="e">
        <f>VLOOKUP(C70,'Legal &amp; Wrt.off'!C:C,1,0)</f>
        <v>#N/A</v>
      </c>
    </row>
    <row r="71" spans="1:20" hidden="1" x14ac:dyDescent="0.35">
      <c r="A71" t="s">
        <v>2019</v>
      </c>
      <c r="B71" t="s">
        <v>30</v>
      </c>
      <c r="C71" t="s">
        <v>505</v>
      </c>
      <c r="D71" t="s">
        <v>506</v>
      </c>
      <c r="E71" s="16">
        <v>2.1873087</v>
      </c>
      <c r="F71" s="4">
        <v>2.0918904</v>
      </c>
      <c r="G71" s="17">
        <v>9.5418299999999998E-2</v>
      </c>
      <c r="H71" s="4">
        <v>9.5418299999999998E-2</v>
      </c>
      <c r="I71" s="4">
        <v>0</v>
      </c>
      <c r="J71" s="4">
        <v>0</v>
      </c>
      <c r="K71" s="4">
        <v>0</v>
      </c>
      <c r="L71" s="4">
        <f t="shared" si="1"/>
        <v>0</v>
      </c>
      <c r="M71" s="4"/>
      <c r="N71" s="4" t="s">
        <v>3188</v>
      </c>
      <c r="P71" s="29" t="s">
        <v>3188</v>
      </c>
      <c r="R71" t="s">
        <v>3116</v>
      </c>
      <c r="T71" t="e">
        <f>VLOOKUP(C71,'Legal &amp; Wrt.off'!C:C,1,0)</f>
        <v>#N/A</v>
      </c>
    </row>
    <row r="72" spans="1:20" hidden="1" x14ac:dyDescent="0.35">
      <c r="A72" t="s">
        <v>2016</v>
      </c>
      <c r="B72" t="s">
        <v>100</v>
      </c>
      <c r="C72" t="s">
        <v>507</v>
      </c>
      <c r="D72" t="s">
        <v>508</v>
      </c>
      <c r="E72" s="16">
        <v>1.7619800000000099E-2</v>
      </c>
      <c r="F72" s="4">
        <v>0</v>
      </c>
      <c r="G72" s="17">
        <v>1.7619800000000099E-2</v>
      </c>
      <c r="H72" s="4">
        <v>0</v>
      </c>
      <c r="I72" s="4">
        <v>1.7619800000000099E-2</v>
      </c>
      <c r="J72" s="4">
        <v>0</v>
      </c>
      <c r="K72" s="4">
        <v>0</v>
      </c>
      <c r="L72" s="4">
        <f t="shared" si="1"/>
        <v>1.7619800000000099E-2</v>
      </c>
      <c r="M72" s="4"/>
      <c r="N72" s="4" t="s">
        <v>3177</v>
      </c>
      <c r="P72" s="29" t="s">
        <v>3177</v>
      </c>
      <c r="R72" t="s">
        <v>2007</v>
      </c>
      <c r="T72" t="e">
        <f>VLOOKUP(C72,'Legal &amp; Wrt.off'!C:C,1,0)</f>
        <v>#N/A</v>
      </c>
    </row>
    <row r="73" spans="1:20" hidden="1" x14ac:dyDescent="0.35">
      <c r="A73" t="s">
        <v>2019</v>
      </c>
      <c r="B73" t="s">
        <v>27</v>
      </c>
      <c r="C73" t="s">
        <v>509</v>
      </c>
      <c r="D73" t="s">
        <v>510</v>
      </c>
      <c r="E73" s="16">
        <v>3.4103390000000005</v>
      </c>
      <c r="F73" s="4">
        <v>2.6659481999999999</v>
      </c>
      <c r="G73" s="17">
        <v>0.74439080000000002</v>
      </c>
      <c r="H73" s="4">
        <v>0.6481732</v>
      </c>
      <c r="I73" s="4">
        <v>9.6217599999999889E-2</v>
      </c>
      <c r="J73" s="4">
        <v>0</v>
      </c>
      <c r="K73" s="4">
        <v>0</v>
      </c>
      <c r="L73" s="4">
        <f t="shared" si="1"/>
        <v>9.6217599999999889E-2</v>
      </c>
      <c r="M73" s="4"/>
      <c r="N73" s="4" t="s">
        <v>3188</v>
      </c>
      <c r="P73" s="29" t="s">
        <v>3746</v>
      </c>
      <c r="Q73" s="19">
        <v>46181</v>
      </c>
      <c r="R73" t="s">
        <v>3116</v>
      </c>
      <c r="T73" t="e">
        <f>VLOOKUP(C73,'Legal &amp; Wrt.off'!C:C,1,0)</f>
        <v>#N/A</v>
      </c>
    </row>
    <row r="74" spans="1:20" hidden="1" x14ac:dyDescent="0.35">
      <c r="A74" t="s">
        <v>2019</v>
      </c>
      <c r="B74" t="s">
        <v>30</v>
      </c>
      <c r="C74" t="s">
        <v>521</v>
      </c>
      <c r="D74" t="s">
        <v>522</v>
      </c>
      <c r="E74" s="16">
        <v>4.8426581999999998</v>
      </c>
      <c r="F74" s="4">
        <v>4.5606399</v>
      </c>
      <c r="G74" s="17">
        <v>0.2820183</v>
      </c>
      <c r="H74" s="4">
        <v>0.2820183</v>
      </c>
      <c r="I74" s="4">
        <v>0</v>
      </c>
      <c r="J74" s="4">
        <v>0</v>
      </c>
      <c r="K74" s="4">
        <v>0</v>
      </c>
      <c r="L74" s="4">
        <f t="shared" si="1"/>
        <v>0</v>
      </c>
      <c r="M74" s="4"/>
      <c r="N74" s="4" t="s">
        <v>3193</v>
      </c>
      <c r="O74" s="19">
        <v>46165</v>
      </c>
      <c r="P74" s="29" t="s">
        <v>3188</v>
      </c>
      <c r="R74" t="s">
        <v>2007</v>
      </c>
      <c r="T74" t="e">
        <f>VLOOKUP(C74,'Legal &amp; Wrt.off'!C:C,1,0)</f>
        <v>#N/A</v>
      </c>
    </row>
    <row r="75" spans="1:20" hidden="1" x14ac:dyDescent="0.35">
      <c r="A75" t="s">
        <v>2019</v>
      </c>
      <c r="B75" t="s">
        <v>27</v>
      </c>
      <c r="C75" t="s">
        <v>523</v>
      </c>
      <c r="D75" t="s">
        <v>524</v>
      </c>
      <c r="E75" s="16">
        <v>13.704896399999999</v>
      </c>
      <c r="F75" s="4">
        <v>13.100976899999999</v>
      </c>
      <c r="G75" s="17">
        <v>0.60391949999999994</v>
      </c>
      <c r="H75" s="4">
        <v>0.60391949999999994</v>
      </c>
      <c r="I75" s="4">
        <v>0</v>
      </c>
      <c r="J75" s="4">
        <v>0</v>
      </c>
      <c r="K75" s="4">
        <v>0</v>
      </c>
      <c r="L75" s="4">
        <f t="shared" si="1"/>
        <v>0</v>
      </c>
      <c r="M75" s="4"/>
      <c r="N75" s="4" t="s">
        <v>3188</v>
      </c>
      <c r="R75" t="s">
        <v>3116</v>
      </c>
      <c r="T75" t="e">
        <f>VLOOKUP(C75,'Legal &amp; Wrt.off'!C:C,1,0)</f>
        <v>#N/A</v>
      </c>
    </row>
    <row r="76" spans="1:20" x14ac:dyDescent="0.35">
      <c r="A76" t="s">
        <v>2018</v>
      </c>
      <c r="B76" t="s">
        <v>169</v>
      </c>
      <c r="C76" t="s">
        <v>557</v>
      </c>
      <c r="D76" t="s">
        <v>558</v>
      </c>
      <c r="E76" s="16">
        <v>1.0684085000000001</v>
      </c>
      <c r="F76" s="4">
        <v>0</v>
      </c>
      <c r="G76" s="17">
        <v>1.0684085000000001</v>
      </c>
      <c r="H76" s="4">
        <v>0.19708139999999999</v>
      </c>
      <c r="I76" s="4">
        <v>0.25143520000000003</v>
      </c>
      <c r="J76" s="4">
        <v>0.33787929999999999</v>
      </c>
      <c r="K76" s="4">
        <v>0.2820126</v>
      </c>
      <c r="L76" s="4">
        <f t="shared" si="1"/>
        <v>0.87132710000000002</v>
      </c>
      <c r="M76" s="4"/>
      <c r="N76" s="4" t="s">
        <v>3421</v>
      </c>
      <c r="P76" s="29" t="s">
        <v>3794</v>
      </c>
      <c r="R76" t="s">
        <v>2009</v>
      </c>
      <c r="T76" t="e">
        <f>VLOOKUP(C76,'Legal &amp; Wrt.off'!C:C,1,0)</f>
        <v>#N/A</v>
      </c>
    </row>
    <row r="77" spans="1:20" hidden="1" x14ac:dyDescent="0.35">
      <c r="A77" t="s">
        <v>2019</v>
      </c>
      <c r="B77" t="s">
        <v>30</v>
      </c>
      <c r="C77" t="s">
        <v>577</v>
      </c>
      <c r="D77" t="s">
        <v>578</v>
      </c>
      <c r="E77" s="16">
        <v>0.46600550000000002</v>
      </c>
      <c r="F77" s="4">
        <v>0</v>
      </c>
      <c r="G77" s="17">
        <v>0.46600550000000002</v>
      </c>
      <c r="H77" s="4">
        <v>0.46600550000000002</v>
      </c>
      <c r="I77" s="4">
        <v>0</v>
      </c>
      <c r="J77" s="4">
        <v>0</v>
      </c>
      <c r="K77" s="4">
        <v>0</v>
      </c>
      <c r="L77" s="4">
        <f t="shared" si="1"/>
        <v>0</v>
      </c>
      <c r="M77" s="4"/>
      <c r="N77" s="4" t="s">
        <v>3188</v>
      </c>
      <c r="P77" s="29" t="s">
        <v>3188</v>
      </c>
      <c r="R77" t="s">
        <v>3116</v>
      </c>
      <c r="T77" t="e">
        <f>VLOOKUP(C77,'Legal &amp; Wrt.off'!C:C,1,0)</f>
        <v>#N/A</v>
      </c>
    </row>
    <row r="78" spans="1:20" hidden="1" x14ac:dyDescent="0.35">
      <c r="A78" t="s">
        <v>2019</v>
      </c>
      <c r="B78" t="s">
        <v>30</v>
      </c>
      <c r="C78" t="s">
        <v>579</v>
      </c>
      <c r="D78" t="s">
        <v>580</v>
      </c>
      <c r="E78" s="16">
        <v>15.8826196</v>
      </c>
      <c r="F78" s="4">
        <v>15.1231182</v>
      </c>
      <c r="G78" s="17">
        <v>0.75950139999999999</v>
      </c>
      <c r="H78" s="4">
        <v>0.75950139999999999</v>
      </c>
      <c r="I78" s="4">
        <v>0</v>
      </c>
      <c r="J78" s="4">
        <v>0</v>
      </c>
      <c r="K78" s="4">
        <v>0</v>
      </c>
      <c r="L78" s="4">
        <f t="shared" si="1"/>
        <v>0</v>
      </c>
      <c r="M78" s="4"/>
      <c r="N78" s="4" t="s">
        <v>3193</v>
      </c>
      <c r="O78" s="19">
        <v>46165</v>
      </c>
      <c r="P78" s="29" t="s">
        <v>3188</v>
      </c>
      <c r="R78" t="s">
        <v>2007</v>
      </c>
      <c r="T78" t="e">
        <f>VLOOKUP(C78,'Legal &amp; Wrt.off'!C:C,1,0)</f>
        <v>#N/A</v>
      </c>
    </row>
    <row r="79" spans="1:20" hidden="1" x14ac:dyDescent="0.35">
      <c r="A79" t="s">
        <v>2017</v>
      </c>
      <c r="B79" t="s">
        <v>88</v>
      </c>
      <c r="C79" t="s">
        <v>587</v>
      </c>
      <c r="D79" t="s">
        <v>588</v>
      </c>
      <c r="E79" s="16">
        <v>2.096082</v>
      </c>
      <c r="F79" s="4">
        <v>2.0736050000000001</v>
      </c>
      <c r="G79" s="17">
        <v>2.2476999999999997E-2</v>
      </c>
      <c r="H79" s="4">
        <v>2.2476999999999997E-2</v>
      </c>
      <c r="I79" s="4">
        <v>0</v>
      </c>
      <c r="J79" s="4">
        <v>0</v>
      </c>
      <c r="K79" s="4">
        <v>0</v>
      </c>
      <c r="L79" s="4">
        <f t="shared" si="1"/>
        <v>0</v>
      </c>
      <c r="M79" s="4"/>
      <c r="N79" s="4" t="s">
        <v>3127</v>
      </c>
      <c r="P79" s="29" t="s">
        <v>3707</v>
      </c>
      <c r="R79" t="s">
        <v>2007</v>
      </c>
      <c r="T79" t="e">
        <f>VLOOKUP(C79,'Legal &amp; Wrt.off'!C:C,1,0)</f>
        <v>#N/A</v>
      </c>
    </row>
    <row r="80" spans="1:20" hidden="1" x14ac:dyDescent="0.35">
      <c r="A80" t="s">
        <v>2017</v>
      </c>
      <c r="B80" t="s">
        <v>210</v>
      </c>
      <c r="C80" t="s">
        <v>605</v>
      </c>
      <c r="D80" t="s">
        <v>606</v>
      </c>
      <c r="E80" s="16">
        <v>0.64546499999999996</v>
      </c>
      <c r="F80" s="4">
        <v>0</v>
      </c>
      <c r="G80" s="17">
        <v>0.64546499999999996</v>
      </c>
      <c r="H80" s="4">
        <v>0.45881339999999998</v>
      </c>
      <c r="I80" s="4">
        <v>0.1866516</v>
      </c>
      <c r="J80" s="4">
        <v>0</v>
      </c>
      <c r="K80" s="4">
        <v>0</v>
      </c>
      <c r="L80" s="4">
        <f t="shared" si="1"/>
        <v>0.1866516</v>
      </c>
      <c r="M80" s="4"/>
      <c r="N80" s="4" t="s">
        <v>3121</v>
      </c>
      <c r="O80" s="19">
        <v>46168</v>
      </c>
      <c r="P80" s="29" t="s">
        <v>3712</v>
      </c>
      <c r="Q80" s="19">
        <v>46202</v>
      </c>
      <c r="R80" t="s">
        <v>2007</v>
      </c>
      <c r="T80" t="e">
        <f>VLOOKUP(C80,'Legal &amp; Wrt.off'!C:C,1,0)</f>
        <v>#N/A</v>
      </c>
    </row>
    <row r="81" spans="1:20" hidden="1" x14ac:dyDescent="0.35">
      <c r="A81" t="s">
        <v>2017</v>
      </c>
      <c r="B81" t="s">
        <v>36</v>
      </c>
      <c r="C81" t="s">
        <v>635</v>
      </c>
      <c r="D81" t="s">
        <v>636</v>
      </c>
      <c r="E81" s="16">
        <v>3.5818417999999999</v>
      </c>
      <c r="F81" s="4">
        <v>2.7370344000000002</v>
      </c>
      <c r="G81" s="17">
        <v>0.8448074000000001</v>
      </c>
      <c r="H81" s="4">
        <v>0.8448074000000001</v>
      </c>
      <c r="I81" s="4">
        <v>0</v>
      </c>
      <c r="J81" s="4">
        <v>0</v>
      </c>
      <c r="K81" s="4">
        <v>0</v>
      </c>
      <c r="L81" s="4">
        <f t="shared" si="1"/>
        <v>0</v>
      </c>
      <c r="M81" s="4"/>
      <c r="N81" s="4" t="s">
        <v>3120</v>
      </c>
      <c r="R81" t="s">
        <v>3115</v>
      </c>
      <c r="T81" t="e">
        <f>VLOOKUP(C81,'Legal &amp; Wrt.off'!C:C,1,0)</f>
        <v>#N/A</v>
      </c>
    </row>
    <row r="82" spans="1:20" hidden="1" x14ac:dyDescent="0.35">
      <c r="A82" t="s">
        <v>2017</v>
      </c>
      <c r="B82" t="s">
        <v>33</v>
      </c>
      <c r="C82" t="s">
        <v>641</v>
      </c>
      <c r="D82" t="s">
        <v>642</v>
      </c>
      <c r="E82" s="16">
        <v>5.0493500000000004E-2</v>
      </c>
      <c r="F82" s="4">
        <v>0</v>
      </c>
      <c r="G82" s="17">
        <v>5.0493500000000004E-2</v>
      </c>
      <c r="H82" s="4">
        <v>0</v>
      </c>
      <c r="I82" s="4">
        <v>5.0493500000000004E-2</v>
      </c>
      <c r="J82" s="4">
        <v>0</v>
      </c>
      <c r="K82" s="4">
        <v>0</v>
      </c>
      <c r="L82" s="4">
        <f t="shared" si="1"/>
        <v>5.0493500000000004E-2</v>
      </c>
      <c r="M82" s="4"/>
      <c r="N82" s="4" t="s">
        <v>3119</v>
      </c>
      <c r="P82" s="29" t="s">
        <v>3714</v>
      </c>
      <c r="R82" t="s">
        <v>2007</v>
      </c>
      <c r="T82" t="e">
        <f>VLOOKUP(C82,'Legal &amp; Wrt.off'!C:C,1,0)</f>
        <v>#N/A</v>
      </c>
    </row>
    <row r="83" spans="1:20" hidden="1" x14ac:dyDescent="0.35">
      <c r="A83" t="s">
        <v>2016</v>
      </c>
      <c r="B83" t="s">
        <v>100</v>
      </c>
      <c r="C83" t="s">
        <v>643</v>
      </c>
      <c r="D83" t="s">
        <v>644</v>
      </c>
      <c r="E83" s="16">
        <v>3.5834033000000001</v>
      </c>
      <c r="F83" s="4">
        <v>3.2836949999999998</v>
      </c>
      <c r="G83" s="17">
        <v>0.29970830000000004</v>
      </c>
      <c r="H83" s="4">
        <v>0.29180689999999998</v>
      </c>
      <c r="I83" s="4">
        <v>7.901399999999989E-3</v>
      </c>
      <c r="J83" s="4">
        <v>0</v>
      </c>
      <c r="K83" s="4">
        <v>0</v>
      </c>
      <c r="L83" s="4">
        <f t="shared" si="1"/>
        <v>7.901399999999989E-3</v>
      </c>
      <c r="M83" s="4"/>
      <c r="N83" s="4" t="s">
        <v>3177</v>
      </c>
      <c r="P83" s="29" t="s">
        <v>3177</v>
      </c>
      <c r="R83" t="s">
        <v>2007</v>
      </c>
      <c r="T83" t="e">
        <f>VLOOKUP(C83,'Legal &amp; Wrt.off'!C:C,1,0)</f>
        <v>#N/A</v>
      </c>
    </row>
    <row r="84" spans="1:20" hidden="1" x14ac:dyDescent="0.35">
      <c r="A84" t="s">
        <v>2019</v>
      </c>
      <c r="B84" t="s">
        <v>24</v>
      </c>
      <c r="C84" t="s">
        <v>645</v>
      </c>
      <c r="D84" t="s">
        <v>646</v>
      </c>
      <c r="E84" s="16">
        <v>0.42790239999999996</v>
      </c>
      <c r="F84" s="4">
        <v>0.38669540000000002</v>
      </c>
      <c r="G84" s="17">
        <v>4.1207000000000001E-2</v>
      </c>
      <c r="H84" s="4">
        <v>4.1207000000000001E-2</v>
      </c>
      <c r="I84" s="4">
        <v>0</v>
      </c>
      <c r="J84" s="4">
        <v>0</v>
      </c>
      <c r="K84" s="4">
        <v>0</v>
      </c>
      <c r="L84" s="4">
        <f t="shared" si="1"/>
        <v>0</v>
      </c>
      <c r="M84" s="4"/>
      <c r="N84" s="4" t="s">
        <v>3190</v>
      </c>
      <c r="O84" s="19">
        <v>46168</v>
      </c>
      <c r="P84" s="29" t="s">
        <v>3743</v>
      </c>
      <c r="Q84" s="19">
        <v>46181</v>
      </c>
      <c r="R84" t="s">
        <v>2007</v>
      </c>
      <c r="T84" t="e">
        <f>VLOOKUP(C84,'Legal &amp; Wrt.off'!C:C,1,0)</f>
        <v>#N/A</v>
      </c>
    </row>
    <row r="85" spans="1:20" hidden="1" x14ac:dyDescent="0.35">
      <c r="A85" t="s">
        <v>2017</v>
      </c>
      <c r="B85" t="s">
        <v>33</v>
      </c>
      <c r="C85" t="s">
        <v>683</v>
      </c>
      <c r="D85" t="s">
        <v>684</v>
      </c>
      <c r="E85" s="16">
        <v>32.179741700000001</v>
      </c>
      <c r="F85" s="4">
        <v>27.425936400000001</v>
      </c>
      <c r="G85" s="17">
        <v>4.7538053000000007</v>
      </c>
      <c r="H85" s="4">
        <v>4.7538053000000007</v>
      </c>
      <c r="I85" s="4">
        <v>0</v>
      </c>
      <c r="J85" s="4">
        <v>0</v>
      </c>
      <c r="K85" s="4">
        <v>0</v>
      </c>
      <c r="L85" s="4">
        <f t="shared" si="1"/>
        <v>0</v>
      </c>
      <c r="M85" s="4"/>
      <c r="N85" s="4" t="s">
        <v>3125</v>
      </c>
      <c r="O85" s="19">
        <v>46165</v>
      </c>
      <c r="P85" s="29" t="s">
        <v>3705</v>
      </c>
      <c r="Q85" s="19">
        <v>46178</v>
      </c>
      <c r="R85" t="s">
        <v>2007</v>
      </c>
      <c r="T85" t="e">
        <f>VLOOKUP(C85,'Legal &amp; Wrt.off'!C:C,1,0)</f>
        <v>#N/A</v>
      </c>
    </row>
    <row r="86" spans="1:20" hidden="1" x14ac:dyDescent="0.35">
      <c r="A86" t="s">
        <v>2019</v>
      </c>
      <c r="B86" t="s">
        <v>27</v>
      </c>
      <c r="C86" t="s">
        <v>687</v>
      </c>
      <c r="D86" t="s">
        <v>688</v>
      </c>
      <c r="E86" s="16">
        <v>2.6242044</v>
      </c>
      <c r="F86" s="4">
        <v>2.1159808999999998</v>
      </c>
      <c r="G86" s="17">
        <v>0.50822349999999994</v>
      </c>
      <c r="H86" s="4">
        <v>0.50822349999999994</v>
      </c>
      <c r="I86" s="4">
        <v>0</v>
      </c>
      <c r="J86" s="4">
        <v>0</v>
      </c>
      <c r="K86" s="4">
        <v>0</v>
      </c>
      <c r="L86" s="4">
        <f t="shared" si="1"/>
        <v>0</v>
      </c>
      <c r="M86" s="4"/>
      <c r="N86" s="4" t="s">
        <v>3188</v>
      </c>
      <c r="P86" s="29" t="s">
        <v>3746</v>
      </c>
      <c r="Q86" s="19">
        <v>46181</v>
      </c>
      <c r="R86" t="s">
        <v>3116</v>
      </c>
      <c r="T86" t="e">
        <f>VLOOKUP(C86,'Legal &amp; Wrt.off'!C:C,1,0)</f>
        <v>#N/A</v>
      </c>
    </row>
    <row r="87" spans="1:20" hidden="1" x14ac:dyDescent="0.35">
      <c r="A87" t="s">
        <v>2017</v>
      </c>
      <c r="B87" t="s">
        <v>19</v>
      </c>
      <c r="C87" t="s">
        <v>699</v>
      </c>
      <c r="D87" t="s">
        <v>700</v>
      </c>
      <c r="E87" s="16">
        <v>2.9217245000000003</v>
      </c>
      <c r="F87" s="4">
        <v>2.5588978</v>
      </c>
      <c r="G87" s="17">
        <v>0.3628267</v>
      </c>
      <c r="H87" s="4">
        <v>0.3628267</v>
      </c>
      <c r="I87" s="4">
        <v>0</v>
      </c>
      <c r="J87" s="4">
        <v>0</v>
      </c>
      <c r="K87" s="4">
        <v>0</v>
      </c>
      <c r="L87" s="4">
        <f t="shared" si="1"/>
        <v>0</v>
      </c>
      <c r="M87" s="4"/>
      <c r="N87" s="4" t="s">
        <v>3125</v>
      </c>
      <c r="O87" s="19">
        <v>46165</v>
      </c>
      <c r="R87" t="s">
        <v>2007</v>
      </c>
      <c r="T87" t="e">
        <f>VLOOKUP(C87,'Legal &amp; Wrt.off'!C:C,1,0)</f>
        <v>#N/A</v>
      </c>
    </row>
    <row r="88" spans="1:20" hidden="1" x14ac:dyDescent="0.35">
      <c r="A88" t="s">
        <v>2016</v>
      </c>
      <c r="B88" t="s">
        <v>164</v>
      </c>
      <c r="C88" t="s">
        <v>707</v>
      </c>
      <c r="D88" t="s">
        <v>708</v>
      </c>
      <c r="E88" s="16">
        <v>1.4485195000000002</v>
      </c>
      <c r="F88" s="4">
        <v>1.4084361999999999</v>
      </c>
      <c r="G88" s="17">
        <v>4.0083300000000002E-2</v>
      </c>
      <c r="H88" s="4">
        <v>0</v>
      </c>
      <c r="I88" s="4">
        <v>4.0083300000000002E-2</v>
      </c>
      <c r="J88" s="4">
        <v>0</v>
      </c>
      <c r="K88" s="4">
        <v>0</v>
      </c>
      <c r="L88" s="4">
        <f t="shared" si="1"/>
        <v>4.0083300000000002E-2</v>
      </c>
      <c r="M88" s="4"/>
      <c r="N88" s="4" t="s">
        <v>3177</v>
      </c>
      <c r="P88" s="29" t="s">
        <v>3177</v>
      </c>
      <c r="R88" t="s">
        <v>2007</v>
      </c>
      <c r="T88" t="e">
        <f>VLOOKUP(C88,'Legal &amp; Wrt.off'!C:C,1,0)</f>
        <v>#N/A</v>
      </c>
    </row>
    <row r="89" spans="1:20" hidden="1" x14ac:dyDescent="0.35">
      <c r="A89" t="s">
        <v>2017</v>
      </c>
      <c r="B89" t="s">
        <v>210</v>
      </c>
      <c r="C89" t="s">
        <v>715</v>
      </c>
      <c r="D89" t="s">
        <v>716</v>
      </c>
      <c r="E89" s="16">
        <v>17.8042534</v>
      </c>
      <c r="F89" s="4">
        <v>17.74784</v>
      </c>
      <c r="G89" s="17">
        <v>5.6413400000000002E-2</v>
      </c>
      <c r="H89" s="4">
        <v>5.6413400000000002E-2</v>
      </c>
      <c r="I89" s="4">
        <v>0</v>
      </c>
      <c r="J89" s="4">
        <v>0</v>
      </c>
      <c r="K89" s="4">
        <v>0</v>
      </c>
      <c r="L89" s="4">
        <f t="shared" si="1"/>
        <v>0</v>
      </c>
      <c r="M89" s="4"/>
      <c r="N89" s="4" t="s">
        <v>3137</v>
      </c>
      <c r="O89" s="19">
        <v>46165</v>
      </c>
      <c r="P89" s="29" t="s">
        <v>3715</v>
      </c>
      <c r="R89" t="s">
        <v>2007</v>
      </c>
      <c r="T89" t="e">
        <f>VLOOKUP(C89,'Legal &amp; Wrt.off'!C:C,1,0)</f>
        <v>#N/A</v>
      </c>
    </row>
    <row r="90" spans="1:20" hidden="1" x14ac:dyDescent="0.35">
      <c r="A90" t="s">
        <v>2017</v>
      </c>
      <c r="B90" t="s">
        <v>19</v>
      </c>
      <c r="C90" t="s">
        <v>723</v>
      </c>
      <c r="D90" t="s">
        <v>724</v>
      </c>
      <c r="E90" s="16">
        <v>0.32602680000000001</v>
      </c>
      <c r="F90" s="4">
        <v>0.30440459999999997</v>
      </c>
      <c r="G90" s="17">
        <v>2.1622199999999998E-2</v>
      </c>
      <c r="H90" s="4">
        <v>0</v>
      </c>
      <c r="I90" s="4">
        <v>0</v>
      </c>
      <c r="J90" s="4">
        <v>2.1622200000000001E-2</v>
      </c>
      <c r="K90" s="4">
        <v>0</v>
      </c>
      <c r="L90" s="4">
        <f t="shared" si="1"/>
        <v>2.1622200000000001E-2</v>
      </c>
      <c r="M90" s="4"/>
      <c r="N90" s="4" t="s">
        <v>3130</v>
      </c>
      <c r="O90" s="19">
        <v>46170</v>
      </c>
      <c r="P90" s="29" t="s">
        <v>3705</v>
      </c>
      <c r="Q90" s="19">
        <v>46188</v>
      </c>
      <c r="R90" t="s">
        <v>2007</v>
      </c>
      <c r="T90" t="e">
        <f>VLOOKUP(C90,'Legal &amp; Wrt.off'!C:C,1,0)</f>
        <v>#N/A</v>
      </c>
    </row>
    <row r="91" spans="1:20" hidden="1" x14ac:dyDescent="0.35">
      <c r="A91" t="s">
        <v>2017</v>
      </c>
      <c r="B91" t="s">
        <v>55</v>
      </c>
      <c r="C91" t="s">
        <v>733</v>
      </c>
      <c r="D91" t="s">
        <v>734</v>
      </c>
      <c r="E91" s="16">
        <v>5.9766370999999996</v>
      </c>
      <c r="F91" s="4">
        <v>0</v>
      </c>
      <c r="G91" s="17">
        <v>5.9766370999999996</v>
      </c>
      <c r="H91" s="4">
        <v>5.9766370999999996</v>
      </c>
      <c r="I91" s="4">
        <v>0</v>
      </c>
      <c r="J91" s="4">
        <v>0</v>
      </c>
      <c r="K91" s="4">
        <v>0</v>
      </c>
      <c r="L91" s="4">
        <f t="shared" si="1"/>
        <v>0</v>
      </c>
      <c r="M91" s="4"/>
      <c r="N91" s="4" t="s">
        <v>3129</v>
      </c>
      <c r="O91" s="19">
        <v>46171</v>
      </c>
      <c r="P91" s="29" t="s">
        <v>3716</v>
      </c>
      <c r="Q91" s="19">
        <v>46203</v>
      </c>
      <c r="R91" t="s">
        <v>2007</v>
      </c>
      <c r="T91" t="e">
        <f>VLOOKUP(C91,'Legal &amp; Wrt.off'!C:C,1,0)</f>
        <v>#N/A</v>
      </c>
    </row>
    <row r="92" spans="1:20" hidden="1" x14ac:dyDescent="0.35">
      <c r="A92" t="s">
        <v>2017</v>
      </c>
      <c r="B92" t="s">
        <v>36</v>
      </c>
      <c r="C92" t="s">
        <v>737</v>
      </c>
      <c r="D92" t="s">
        <v>738</v>
      </c>
      <c r="E92" s="16">
        <v>1.8590781000000001</v>
      </c>
      <c r="F92" s="4">
        <v>0.47194320000000001</v>
      </c>
      <c r="G92" s="17">
        <v>1.3871348999999999</v>
      </c>
      <c r="H92" s="4">
        <v>1.3871348999999999</v>
      </c>
      <c r="I92" s="4">
        <v>0</v>
      </c>
      <c r="J92" s="4">
        <v>0</v>
      </c>
      <c r="K92" s="4">
        <v>0</v>
      </c>
      <c r="L92" s="4">
        <f t="shared" si="1"/>
        <v>0</v>
      </c>
      <c r="M92" s="4"/>
      <c r="N92" s="4" t="s">
        <v>3138</v>
      </c>
      <c r="O92" s="19">
        <v>46169</v>
      </c>
      <c r="P92" s="29" t="s">
        <v>3717</v>
      </c>
      <c r="R92" t="s">
        <v>2007</v>
      </c>
      <c r="T92" t="e">
        <f>VLOOKUP(C92,'Legal &amp; Wrt.off'!C:C,1,0)</f>
        <v>#N/A</v>
      </c>
    </row>
    <row r="93" spans="1:20" hidden="1" x14ac:dyDescent="0.35">
      <c r="A93" t="s">
        <v>2017</v>
      </c>
      <c r="B93" t="s">
        <v>19</v>
      </c>
      <c r="C93" t="s">
        <v>739</v>
      </c>
      <c r="D93" t="s">
        <v>740</v>
      </c>
      <c r="E93" s="16">
        <v>3.3950500000000002E-2</v>
      </c>
      <c r="F93" s="4">
        <v>0</v>
      </c>
      <c r="G93" s="17">
        <v>3.3950500000000002E-2</v>
      </c>
      <c r="H93" s="4">
        <v>0</v>
      </c>
      <c r="I93" s="4">
        <v>0</v>
      </c>
      <c r="J93" s="4">
        <v>3.3950500000000002E-2</v>
      </c>
      <c r="K93" s="4">
        <v>0</v>
      </c>
      <c r="L93" s="4">
        <f t="shared" si="1"/>
        <v>3.3950500000000002E-2</v>
      </c>
      <c r="M93" s="4"/>
      <c r="N93" s="4" t="s">
        <v>3139</v>
      </c>
      <c r="P93" s="29" t="s">
        <v>3139</v>
      </c>
      <c r="R93" t="s">
        <v>2010</v>
      </c>
      <c r="T93" t="e">
        <f>VLOOKUP(C93,'Legal &amp; Wrt.off'!C:C,1,0)</f>
        <v>#N/A</v>
      </c>
    </row>
    <row r="94" spans="1:20" hidden="1" x14ac:dyDescent="0.35">
      <c r="A94" t="s">
        <v>2016</v>
      </c>
      <c r="B94" t="s">
        <v>41</v>
      </c>
      <c r="C94" t="s">
        <v>745</v>
      </c>
      <c r="D94" t="s">
        <v>746</v>
      </c>
      <c r="E94" s="16">
        <v>3.4892382</v>
      </c>
      <c r="F94" s="4">
        <v>2.4515211999999997</v>
      </c>
      <c r="G94" s="17">
        <v>1.037717</v>
      </c>
      <c r="H94" s="4">
        <v>5.9000000000000003E-4</v>
      </c>
      <c r="I94" s="4">
        <v>1.0371269999999999</v>
      </c>
      <c r="J94" s="4">
        <v>0</v>
      </c>
      <c r="K94" s="4">
        <v>0</v>
      </c>
      <c r="L94" s="4">
        <f t="shared" si="1"/>
        <v>1.0371269999999999</v>
      </c>
      <c r="M94" s="4"/>
      <c r="N94" s="4" t="s">
        <v>3178</v>
      </c>
      <c r="P94" s="29" t="s">
        <v>3691</v>
      </c>
      <c r="Q94" s="19">
        <v>46179</v>
      </c>
      <c r="R94" t="s">
        <v>2007</v>
      </c>
      <c r="T94" t="e">
        <f>VLOOKUP(C94,'Legal &amp; Wrt.off'!C:C,1,0)</f>
        <v>#N/A</v>
      </c>
    </row>
    <row r="95" spans="1:20" hidden="1" x14ac:dyDescent="0.35">
      <c r="A95" t="s">
        <v>2017</v>
      </c>
      <c r="B95" t="s">
        <v>36</v>
      </c>
      <c r="C95" t="s">
        <v>749</v>
      </c>
      <c r="D95" t="s">
        <v>750</v>
      </c>
      <c r="E95" s="16">
        <v>1.7892700000000001E-2</v>
      </c>
      <c r="F95" s="4">
        <v>0</v>
      </c>
      <c r="G95" s="17">
        <v>1.7892700000000001E-2</v>
      </c>
      <c r="H95" s="4">
        <v>0</v>
      </c>
      <c r="I95" s="4">
        <v>0</v>
      </c>
      <c r="J95" s="4">
        <v>1.7892700000000001E-2</v>
      </c>
      <c r="K95" s="4">
        <v>0</v>
      </c>
      <c r="L95" s="4">
        <f t="shared" si="1"/>
        <v>1.7892700000000001E-2</v>
      </c>
      <c r="M95" s="4"/>
      <c r="N95" s="4" t="s">
        <v>3139</v>
      </c>
      <c r="P95" s="29" t="s">
        <v>3139</v>
      </c>
      <c r="R95" t="s">
        <v>2010</v>
      </c>
      <c r="T95" t="e">
        <f>VLOOKUP(C95,'Legal &amp; Wrt.off'!C:C,1,0)</f>
        <v>#N/A</v>
      </c>
    </row>
    <row r="96" spans="1:20" hidden="1" x14ac:dyDescent="0.35">
      <c r="A96" t="s">
        <v>2019</v>
      </c>
      <c r="B96" t="s">
        <v>30</v>
      </c>
      <c r="C96" t="s">
        <v>753</v>
      </c>
      <c r="D96" t="s">
        <v>754</v>
      </c>
      <c r="E96" s="16">
        <v>5.1018903999999994</v>
      </c>
      <c r="F96" s="4">
        <v>2.8572484999999999</v>
      </c>
      <c r="G96" s="17">
        <v>2.2446419</v>
      </c>
      <c r="H96" s="4">
        <v>0.33812239999999999</v>
      </c>
      <c r="I96" s="4">
        <v>1.9065195000000001</v>
      </c>
      <c r="J96" s="4">
        <v>0</v>
      </c>
      <c r="K96" s="4">
        <v>0</v>
      </c>
      <c r="L96" s="4">
        <f t="shared" si="1"/>
        <v>1.9065195000000001</v>
      </c>
      <c r="M96" s="4"/>
      <c r="N96" s="4" t="s">
        <v>3188</v>
      </c>
      <c r="P96" s="29" t="s">
        <v>3188</v>
      </c>
      <c r="R96" t="s">
        <v>3116</v>
      </c>
      <c r="T96" t="e">
        <f>VLOOKUP(C96,'Legal &amp; Wrt.off'!C:C,1,0)</f>
        <v>#N/A</v>
      </c>
    </row>
    <row r="97" spans="1:20" hidden="1" x14ac:dyDescent="0.35">
      <c r="A97" t="s">
        <v>2019</v>
      </c>
      <c r="B97" t="s">
        <v>30</v>
      </c>
      <c r="C97" t="s">
        <v>757</v>
      </c>
      <c r="D97" t="s">
        <v>758</v>
      </c>
      <c r="E97" s="16">
        <v>10.753038600000002</v>
      </c>
      <c r="F97" s="4">
        <v>8.6218377000000004</v>
      </c>
      <c r="G97" s="17">
        <v>2.1312009000000001</v>
      </c>
      <c r="H97" s="4">
        <v>0.95787549999999999</v>
      </c>
      <c r="I97" s="4">
        <v>1.1733254</v>
      </c>
      <c r="J97" s="4">
        <v>0</v>
      </c>
      <c r="K97" s="4">
        <v>0</v>
      </c>
      <c r="L97" s="4">
        <f t="shared" si="1"/>
        <v>1.1733254</v>
      </c>
      <c r="M97" s="4"/>
      <c r="N97" s="4" t="s">
        <v>3188</v>
      </c>
      <c r="P97" s="29" t="s">
        <v>3188</v>
      </c>
      <c r="R97" t="s">
        <v>3116</v>
      </c>
      <c r="T97" t="e">
        <f>VLOOKUP(C97,'Legal &amp; Wrt.off'!C:C,1,0)</f>
        <v>#N/A</v>
      </c>
    </row>
    <row r="98" spans="1:20" hidden="1" x14ac:dyDescent="0.35">
      <c r="A98" t="s">
        <v>2017</v>
      </c>
      <c r="B98" t="s">
        <v>55</v>
      </c>
      <c r="C98" t="s">
        <v>761</v>
      </c>
      <c r="D98" t="s">
        <v>762</v>
      </c>
      <c r="E98" s="16">
        <v>5.5838400000000003E-2</v>
      </c>
      <c r="F98" s="4">
        <v>0</v>
      </c>
      <c r="G98" s="17">
        <v>5.5838400000000003E-2</v>
      </c>
      <c r="H98" s="4">
        <v>5.5838400000000003E-2</v>
      </c>
      <c r="I98" s="4">
        <v>0</v>
      </c>
      <c r="J98" s="4">
        <v>0</v>
      </c>
      <c r="K98" s="4">
        <v>0</v>
      </c>
      <c r="L98" s="4">
        <f t="shared" si="1"/>
        <v>0</v>
      </c>
      <c r="M98" s="4"/>
      <c r="N98" s="4" t="s">
        <v>3122</v>
      </c>
      <c r="P98" s="29" t="s">
        <v>3122</v>
      </c>
      <c r="R98" t="s">
        <v>2007</v>
      </c>
      <c r="T98" t="e">
        <f>VLOOKUP(C98,'Legal &amp; Wrt.off'!C:C,1,0)</f>
        <v>#N/A</v>
      </c>
    </row>
    <row r="99" spans="1:20" hidden="1" x14ac:dyDescent="0.35">
      <c r="A99" t="s">
        <v>2019</v>
      </c>
      <c r="B99" t="s">
        <v>27</v>
      </c>
      <c r="C99" t="s">
        <v>763</v>
      </c>
      <c r="D99" t="s">
        <v>764</v>
      </c>
      <c r="E99" s="16">
        <v>2.4619714999999998</v>
      </c>
      <c r="F99" s="4">
        <v>0.64297740000000003</v>
      </c>
      <c r="G99" s="17">
        <v>1.8189941000000001</v>
      </c>
      <c r="H99" s="4">
        <v>1.0488241999999999</v>
      </c>
      <c r="I99" s="4">
        <v>0.77016990000000007</v>
      </c>
      <c r="J99" s="4">
        <v>0</v>
      </c>
      <c r="K99" s="4">
        <v>0</v>
      </c>
      <c r="L99" s="4">
        <f t="shared" si="1"/>
        <v>0.77016990000000007</v>
      </c>
      <c r="M99" s="4"/>
      <c r="N99" s="4" t="s">
        <v>3198</v>
      </c>
      <c r="O99" s="19">
        <v>46170</v>
      </c>
      <c r="P99" s="29" t="s">
        <v>3748</v>
      </c>
      <c r="Q99" s="19">
        <v>46188</v>
      </c>
      <c r="R99" t="s">
        <v>2007</v>
      </c>
      <c r="T99" t="e">
        <f>VLOOKUP(C99,'Legal &amp; Wrt.off'!C:C,1,0)</f>
        <v>#N/A</v>
      </c>
    </row>
    <row r="100" spans="1:20" hidden="1" x14ac:dyDescent="0.35">
      <c r="A100" t="s">
        <v>2017</v>
      </c>
      <c r="B100" t="s">
        <v>19</v>
      </c>
      <c r="C100" t="s">
        <v>781</v>
      </c>
      <c r="D100" t="s">
        <v>782</v>
      </c>
      <c r="E100" s="16">
        <v>1.7658699999999999E-2</v>
      </c>
      <c r="F100" s="4">
        <v>0</v>
      </c>
      <c r="G100" s="17">
        <v>1.7658699999999999E-2</v>
      </c>
      <c r="H100" s="4">
        <v>0</v>
      </c>
      <c r="I100" s="4">
        <v>0</v>
      </c>
      <c r="J100" s="4">
        <v>1.7658699999999999E-2</v>
      </c>
      <c r="K100" s="4">
        <v>0</v>
      </c>
      <c r="L100" s="4">
        <f t="shared" si="1"/>
        <v>1.7658699999999999E-2</v>
      </c>
      <c r="M100" s="4"/>
      <c r="N100" s="4" t="s">
        <v>3130</v>
      </c>
      <c r="O100" s="19">
        <v>46170</v>
      </c>
      <c r="P100" s="29" t="s">
        <v>3705</v>
      </c>
      <c r="Q100" s="19">
        <v>46188</v>
      </c>
      <c r="R100" t="s">
        <v>2007</v>
      </c>
      <c r="T100" t="e">
        <f>VLOOKUP(C100,'Legal &amp; Wrt.off'!C:C,1,0)</f>
        <v>#N/A</v>
      </c>
    </row>
    <row r="101" spans="1:20" hidden="1" x14ac:dyDescent="0.35">
      <c r="A101" t="s">
        <v>2019</v>
      </c>
      <c r="B101" t="s">
        <v>27</v>
      </c>
      <c r="C101" t="s">
        <v>791</v>
      </c>
      <c r="D101" t="s">
        <v>792</v>
      </c>
      <c r="E101" s="16">
        <v>4.6677071999999997</v>
      </c>
      <c r="F101" s="4">
        <v>4.5157928000000007</v>
      </c>
      <c r="G101" s="17">
        <v>0.1519144</v>
      </c>
      <c r="H101" s="4">
        <v>0.14632000000000001</v>
      </c>
      <c r="I101" s="4">
        <v>5.5944000000000202E-3</v>
      </c>
      <c r="J101" s="4">
        <v>0</v>
      </c>
      <c r="K101" s="4">
        <v>0</v>
      </c>
      <c r="L101" s="4">
        <f t="shared" si="1"/>
        <v>5.5944000000000202E-3</v>
      </c>
      <c r="M101" s="4"/>
      <c r="N101" s="4" t="s">
        <v>3188</v>
      </c>
      <c r="P101" s="29" t="s">
        <v>3746</v>
      </c>
      <c r="Q101" s="19">
        <v>46181</v>
      </c>
      <c r="R101" t="s">
        <v>3116</v>
      </c>
      <c r="T101" t="e">
        <f>VLOOKUP(C101,'Legal &amp; Wrt.off'!C:C,1,0)</f>
        <v>#N/A</v>
      </c>
    </row>
    <row r="102" spans="1:20" hidden="1" x14ac:dyDescent="0.35">
      <c r="A102" t="s">
        <v>2016</v>
      </c>
      <c r="B102" t="s">
        <v>93</v>
      </c>
      <c r="C102" t="s">
        <v>803</v>
      </c>
      <c r="D102" t="s">
        <v>804</v>
      </c>
      <c r="E102" s="16">
        <v>1.1890041</v>
      </c>
      <c r="F102" s="4">
        <v>1.1766766</v>
      </c>
      <c r="G102" s="17">
        <v>1.23275E-2</v>
      </c>
      <c r="H102" s="4">
        <v>0</v>
      </c>
      <c r="I102" s="4">
        <v>1.23275E-2</v>
      </c>
      <c r="J102" s="4">
        <v>0</v>
      </c>
      <c r="K102" s="4">
        <v>0</v>
      </c>
      <c r="L102" s="4">
        <f t="shared" si="1"/>
        <v>1.23275E-2</v>
      </c>
      <c r="M102" s="4"/>
      <c r="N102" s="4" t="s">
        <v>3177</v>
      </c>
      <c r="P102" s="29" t="s">
        <v>3177</v>
      </c>
      <c r="R102" t="s">
        <v>2007</v>
      </c>
      <c r="T102" t="e">
        <f>VLOOKUP(C102,'Legal &amp; Wrt.off'!C:C,1,0)</f>
        <v>#N/A</v>
      </c>
    </row>
    <row r="103" spans="1:20" hidden="1" x14ac:dyDescent="0.35">
      <c r="A103" t="s">
        <v>2016</v>
      </c>
      <c r="B103" t="s">
        <v>41</v>
      </c>
      <c r="C103" t="s">
        <v>817</v>
      </c>
      <c r="D103" t="s">
        <v>818</v>
      </c>
      <c r="E103" s="16">
        <v>14.370736000000001</v>
      </c>
      <c r="F103" s="4">
        <v>2.9471588</v>
      </c>
      <c r="G103" s="17">
        <v>11.4235772</v>
      </c>
      <c r="H103" s="4">
        <v>5.9000000000000003E-4</v>
      </c>
      <c r="I103" s="4">
        <v>11.4229872</v>
      </c>
      <c r="J103" s="4">
        <v>0</v>
      </c>
      <c r="K103" s="4">
        <v>0</v>
      </c>
      <c r="L103" s="4">
        <f t="shared" si="1"/>
        <v>11.4229872</v>
      </c>
      <c r="M103" s="4"/>
      <c r="N103" s="4" t="s">
        <v>3178</v>
      </c>
      <c r="P103" s="29" t="s">
        <v>3692</v>
      </c>
      <c r="Q103" s="19">
        <v>46179</v>
      </c>
      <c r="R103" t="s">
        <v>2007</v>
      </c>
      <c r="T103" t="e">
        <f>VLOOKUP(C103,'Legal &amp; Wrt.off'!C:C,1,0)</f>
        <v>#N/A</v>
      </c>
    </row>
    <row r="104" spans="1:20" hidden="1" x14ac:dyDescent="0.35">
      <c r="A104" t="s">
        <v>2016</v>
      </c>
      <c r="B104" t="s">
        <v>41</v>
      </c>
      <c r="C104" t="s">
        <v>819</v>
      </c>
      <c r="D104" t="s">
        <v>820</v>
      </c>
      <c r="E104" s="16">
        <v>3.6511153999999997</v>
      </c>
      <c r="F104" s="4">
        <v>0.43652920000000001</v>
      </c>
      <c r="G104" s="17">
        <v>3.2145861999999998</v>
      </c>
      <c r="H104" s="4">
        <v>5.9000000000000003E-4</v>
      </c>
      <c r="I104" s="4">
        <v>3.2139962</v>
      </c>
      <c r="J104" s="4">
        <v>0</v>
      </c>
      <c r="K104" s="4">
        <v>0</v>
      </c>
      <c r="L104" s="4">
        <f t="shared" si="1"/>
        <v>3.2139962</v>
      </c>
      <c r="M104" s="4"/>
      <c r="N104" s="4" t="s">
        <v>3178</v>
      </c>
      <c r="O104" s="19">
        <v>46165</v>
      </c>
      <c r="P104" s="29" t="s">
        <v>3693</v>
      </c>
      <c r="Q104" s="19">
        <v>46181</v>
      </c>
      <c r="R104" t="s">
        <v>2007</v>
      </c>
      <c r="T104" t="e">
        <f>VLOOKUP(C104,'Legal &amp; Wrt.off'!C:C,1,0)</f>
        <v>#N/A</v>
      </c>
    </row>
    <row r="105" spans="1:20" hidden="1" x14ac:dyDescent="0.35">
      <c r="A105" t="s">
        <v>2019</v>
      </c>
      <c r="B105" t="s">
        <v>24</v>
      </c>
      <c r="C105" t="s">
        <v>855</v>
      </c>
      <c r="D105" t="s">
        <v>856</v>
      </c>
      <c r="E105" s="16">
        <v>5.0170000000000405E-3</v>
      </c>
      <c r="F105" s="4">
        <v>0</v>
      </c>
      <c r="G105" s="17">
        <v>5.0170000000000405E-3</v>
      </c>
      <c r="H105" s="4">
        <v>0</v>
      </c>
      <c r="I105" s="4">
        <v>0</v>
      </c>
      <c r="J105" s="4">
        <v>5.0170000000000405E-3</v>
      </c>
      <c r="K105" s="4">
        <v>0</v>
      </c>
      <c r="L105" s="4">
        <f t="shared" si="1"/>
        <v>5.0170000000000405E-3</v>
      </c>
      <c r="M105" s="4"/>
      <c r="N105" s="4" t="s">
        <v>3188</v>
      </c>
      <c r="P105" s="29" t="s">
        <v>3749</v>
      </c>
      <c r="Q105" s="19">
        <v>46181</v>
      </c>
      <c r="R105" t="s">
        <v>3116</v>
      </c>
      <c r="T105" t="e">
        <f>VLOOKUP(C105,'Legal &amp; Wrt.off'!C:C,1,0)</f>
        <v>#N/A</v>
      </c>
    </row>
    <row r="106" spans="1:20" hidden="1" x14ac:dyDescent="0.35">
      <c r="A106" t="s">
        <v>2017</v>
      </c>
      <c r="B106" t="s">
        <v>55</v>
      </c>
      <c r="C106" t="s">
        <v>861</v>
      </c>
      <c r="D106" t="s">
        <v>862</v>
      </c>
      <c r="E106" s="16">
        <v>1.4031498999999998</v>
      </c>
      <c r="F106" s="4">
        <v>1.1536506</v>
      </c>
      <c r="G106" s="17">
        <v>0.24949930000000001</v>
      </c>
      <c r="H106" s="4">
        <v>0.24949930000000001</v>
      </c>
      <c r="I106" s="4">
        <v>0</v>
      </c>
      <c r="J106" s="4">
        <v>0</v>
      </c>
      <c r="K106" s="4">
        <v>0</v>
      </c>
      <c r="L106" s="4">
        <f t="shared" si="1"/>
        <v>0</v>
      </c>
      <c r="M106" s="4"/>
      <c r="N106" s="4" t="s">
        <v>3121</v>
      </c>
      <c r="O106" s="19">
        <v>46168</v>
      </c>
      <c r="R106" t="s">
        <v>2007</v>
      </c>
      <c r="T106" t="e">
        <f>VLOOKUP(C106,'Legal &amp; Wrt.off'!C:C,1,0)</f>
        <v>#N/A</v>
      </c>
    </row>
    <row r="107" spans="1:20" hidden="1" x14ac:dyDescent="0.35">
      <c r="A107" t="s">
        <v>2017</v>
      </c>
      <c r="B107" t="s">
        <v>55</v>
      </c>
      <c r="C107" t="s">
        <v>865</v>
      </c>
      <c r="D107" t="s">
        <v>866</v>
      </c>
      <c r="E107" s="16">
        <v>2.3539400000000002E-2</v>
      </c>
      <c r="F107" s="4">
        <v>0</v>
      </c>
      <c r="G107" s="17">
        <v>2.3539400000000002E-2</v>
      </c>
      <c r="H107" s="4">
        <v>0</v>
      </c>
      <c r="I107" s="4">
        <v>0</v>
      </c>
      <c r="J107" s="4">
        <v>2.3539400000000002E-2</v>
      </c>
      <c r="K107" s="4">
        <v>0</v>
      </c>
      <c r="L107" s="4">
        <f t="shared" si="1"/>
        <v>2.3539400000000002E-2</v>
      </c>
      <c r="M107" s="4"/>
      <c r="N107" s="4" t="s">
        <v>3122</v>
      </c>
      <c r="P107" s="29" t="s">
        <v>3713</v>
      </c>
      <c r="R107" t="s">
        <v>2007</v>
      </c>
      <c r="T107" t="e">
        <f>VLOOKUP(C107,'Legal &amp; Wrt.off'!C:C,1,0)</f>
        <v>#N/A</v>
      </c>
    </row>
    <row r="108" spans="1:20" hidden="1" x14ac:dyDescent="0.35">
      <c r="A108" t="s">
        <v>2017</v>
      </c>
      <c r="B108" t="s">
        <v>55</v>
      </c>
      <c r="C108" t="s">
        <v>869</v>
      </c>
      <c r="D108" t="s">
        <v>870</v>
      </c>
      <c r="E108" s="16">
        <v>2.1389154000000001</v>
      </c>
      <c r="F108" s="4">
        <v>2.0980654000000003</v>
      </c>
      <c r="G108" s="17">
        <v>4.0849999999999997E-2</v>
      </c>
      <c r="H108" s="4">
        <v>4.0849999999999997E-2</v>
      </c>
      <c r="I108" s="4">
        <v>0</v>
      </c>
      <c r="J108" s="4">
        <v>0</v>
      </c>
      <c r="K108" s="4">
        <v>0</v>
      </c>
      <c r="L108" s="4">
        <f t="shared" si="1"/>
        <v>0</v>
      </c>
      <c r="M108" s="4"/>
      <c r="N108" s="4" t="s">
        <v>3122</v>
      </c>
      <c r="P108" s="29" t="s">
        <v>3122</v>
      </c>
      <c r="Q108" s="19">
        <v>46184</v>
      </c>
      <c r="R108" t="s">
        <v>2007</v>
      </c>
      <c r="T108" t="e">
        <f>VLOOKUP(C108,'Legal &amp; Wrt.off'!C:C,1,0)</f>
        <v>#N/A</v>
      </c>
    </row>
    <row r="109" spans="1:20" hidden="1" x14ac:dyDescent="0.35">
      <c r="A109" t="s">
        <v>2016</v>
      </c>
      <c r="B109" t="s">
        <v>100</v>
      </c>
      <c r="C109" t="s">
        <v>875</v>
      </c>
      <c r="D109" t="s">
        <v>876</v>
      </c>
      <c r="E109" s="16">
        <v>2.2226027999999998</v>
      </c>
      <c r="F109" s="4">
        <v>1.5878245000000002</v>
      </c>
      <c r="G109" s="17">
        <v>0.63477830000000002</v>
      </c>
      <c r="H109" s="4">
        <v>5.9000000000000003E-4</v>
      </c>
      <c r="I109" s="4">
        <v>0.63418830000000004</v>
      </c>
      <c r="J109" s="4">
        <v>0</v>
      </c>
      <c r="K109" s="4">
        <v>0</v>
      </c>
      <c r="L109" s="4">
        <f t="shared" si="1"/>
        <v>0.63418830000000004</v>
      </c>
      <c r="M109" s="4"/>
      <c r="N109" s="4" t="s">
        <v>3176</v>
      </c>
      <c r="O109" s="19">
        <v>46167</v>
      </c>
      <c r="P109" s="29" t="s">
        <v>3694</v>
      </c>
      <c r="Q109" s="19">
        <v>46183</v>
      </c>
      <c r="R109" t="s">
        <v>2007</v>
      </c>
      <c r="T109" t="e">
        <f>VLOOKUP(C109,'Legal &amp; Wrt.off'!C:C,1,0)</f>
        <v>#N/A</v>
      </c>
    </row>
    <row r="110" spans="1:20" hidden="1" x14ac:dyDescent="0.35">
      <c r="A110" t="s">
        <v>2016</v>
      </c>
      <c r="B110" t="s">
        <v>93</v>
      </c>
      <c r="C110" t="s">
        <v>879</v>
      </c>
      <c r="D110" t="s">
        <v>880</v>
      </c>
      <c r="E110" s="16">
        <v>1.0184E-2</v>
      </c>
      <c r="F110" s="4">
        <v>0</v>
      </c>
      <c r="G110" s="17">
        <v>1.0184E-2</v>
      </c>
      <c r="H110" s="4">
        <v>0</v>
      </c>
      <c r="I110" s="4">
        <v>0</v>
      </c>
      <c r="J110" s="4">
        <v>1.0184E-2</v>
      </c>
      <c r="K110" s="4">
        <v>0</v>
      </c>
      <c r="L110" s="4">
        <f t="shared" si="1"/>
        <v>1.0184E-2</v>
      </c>
      <c r="M110" s="4"/>
      <c r="N110" s="4" t="s">
        <v>3177</v>
      </c>
      <c r="P110" s="29" t="s">
        <v>3177</v>
      </c>
      <c r="R110" t="s">
        <v>2007</v>
      </c>
      <c r="T110" t="e">
        <f>VLOOKUP(C110,'Legal &amp; Wrt.off'!C:C,1,0)</f>
        <v>#N/A</v>
      </c>
    </row>
    <row r="111" spans="1:20" hidden="1" x14ac:dyDescent="0.35">
      <c r="A111" t="s">
        <v>2016</v>
      </c>
      <c r="B111" t="s">
        <v>100</v>
      </c>
      <c r="C111" t="s">
        <v>881</v>
      </c>
      <c r="D111" t="s">
        <v>882</v>
      </c>
      <c r="E111" s="16">
        <v>0.56367109999999998</v>
      </c>
      <c r="F111" s="4">
        <v>0.55234499999999997</v>
      </c>
      <c r="G111" s="17">
        <v>1.13260999999999E-2</v>
      </c>
      <c r="H111" s="4">
        <v>1.13260999999999E-2</v>
      </c>
      <c r="I111" s="4">
        <v>0</v>
      </c>
      <c r="J111" s="4">
        <v>0</v>
      </c>
      <c r="K111" s="4">
        <v>0</v>
      </c>
      <c r="L111" s="4">
        <f t="shared" si="1"/>
        <v>0</v>
      </c>
      <c r="M111" s="4"/>
      <c r="N111" s="4" t="s">
        <v>3177</v>
      </c>
      <c r="P111" s="29" t="s">
        <v>3695</v>
      </c>
      <c r="R111" t="s">
        <v>2007</v>
      </c>
      <c r="T111" t="e">
        <f>VLOOKUP(C111,'Legal &amp; Wrt.off'!C:C,1,0)</f>
        <v>#N/A</v>
      </c>
    </row>
    <row r="112" spans="1:20" hidden="1" x14ac:dyDescent="0.35">
      <c r="A112" t="s">
        <v>2017</v>
      </c>
      <c r="B112" t="s">
        <v>19</v>
      </c>
      <c r="C112" t="s">
        <v>885</v>
      </c>
      <c r="D112" t="s">
        <v>886</v>
      </c>
      <c r="E112" s="16">
        <v>1.7771294</v>
      </c>
      <c r="F112" s="4">
        <v>1.7460542000000001</v>
      </c>
      <c r="G112" s="17">
        <v>3.1075200000000001E-2</v>
      </c>
      <c r="H112" s="4">
        <v>0</v>
      </c>
      <c r="I112" s="4">
        <v>3.1075200000000001E-2</v>
      </c>
      <c r="J112" s="4">
        <v>0</v>
      </c>
      <c r="K112" s="4">
        <v>0</v>
      </c>
      <c r="L112" s="4">
        <f t="shared" si="1"/>
        <v>3.1075200000000001E-2</v>
      </c>
      <c r="M112" s="4"/>
      <c r="N112" s="4" t="s">
        <v>3141</v>
      </c>
      <c r="O112" s="19">
        <v>46168</v>
      </c>
      <c r="P112" s="29" t="s">
        <v>3705</v>
      </c>
      <c r="Q112" s="19">
        <v>46188</v>
      </c>
      <c r="R112" t="s">
        <v>2007</v>
      </c>
      <c r="T112" t="e">
        <f>VLOOKUP(C112,'Legal &amp; Wrt.off'!C:C,1,0)</f>
        <v>#N/A</v>
      </c>
    </row>
    <row r="113" spans="1:20" hidden="1" x14ac:dyDescent="0.35">
      <c r="A113" t="s">
        <v>2017</v>
      </c>
      <c r="B113" t="s">
        <v>36</v>
      </c>
      <c r="C113" t="s">
        <v>891</v>
      </c>
      <c r="D113" t="s">
        <v>892</v>
      </c>
      <c r="E113" s="16">
        <v>1.5906655999999999</v>
      </c>
      <c r="F113" s="4">
        <v>1.5834618</v>
      </c>
      <c r="G113" s="17">
        <v>7.2037999999999703E-3</v>
      </c>
      <c r="H113" s="4">
        <v>0</v>
      </c>
      <c r="I113" s="4">
        <v>7.2037999999999703E-3</v>
      </c>
      <c r="J113" s="4">
        <v>0</v>
      </c>
      <c r="K113" s="4">
        <v>0</v>
      </c>
      <c r="L113" s="4">
        <f t="shared" si="1"/>
        <v>7.2037999999999703E-3</v>
      </c>
      <c r="M113" s="4"/>
      <c r="N113" s="4" t="s">
        <v>3123</v>
      </c>
      <c r="O113" s="19">
        <v>46172</v>
      </c>
      <c r="P113" s="29" t="s">
        <v>3705</v>
      </c>
      <c r="Q113" s="19">
        <v>46199</v>
      </c>
      <c r="R113" t="s">
        <v>2007</v>
      </c>
      <c r="T113" t="e">
        <f>VLOOKUP(C113,'Legal &amp; Wrt.off'!C:C,1,0)</f>
        <v>#N/A</v>
      </c>
    </row>
    <row r="114" spans="1:20" hidden="1" x14ac:dyDescent="0.35">
      <c r="A114" t="s">
        <v>2017</v>
      </c>
      <c r="B114" t="s">
        <v>111</v>
      </c>
      <c r="C114" t="s">
        <v>903</v>
      </c>
      <c r="D114" t="s">
        <v>904</v>
      </c>
      <c r="E114" s="16">
        <v>5.5776602000000004</v>
      </c>
      <c r="F114" s="4">
        <v>4.7914132</v>
      </c>
      <c r="G114" s="17">
        <v>0.78624699999999992</v>
      </c>
      <c r="H114" s="4">
        <v>0</v>
      </c>
      <c r="I114" s="4">
        <v>0.78624699999999992</v>
      </c>
      <c r="J114" s="4">
        <v>0</v>
      </c>
      <c r="K114" s="4">
        <v>0</v>
      </c>
      <c r="L114" s="4">
        <f t="shared" si="1"/>
        <v>0.78624699999999992</v>
      </c>
      <c r="M114" s="4"/>
      <c r="N114" s="4" t="s">
        <v>3140</v>
      </c>
      <c r="P114" s="29" t="s">
        <v>3140</v>
      </c>
      <c r="R114" t="s">
        <v>3115</v>
      </c>
      <c r="T114" t="e">
        <f>VLOOKUP(C114,'Legal &amp; Wrt.off'!C:C,1,0)</f>
        <v>#N/A</v>
      </c>
    </row>
    <row r="115" spans="1:20" hidden="1" x14ac:dyDescent="0.35">
      <c r="A115" t="s">
        <v>2017</v>
      </c>
      <c r="B115" t="s">
        <v>210</v>
      </c>
      <c r="C115" t="s">
        <v>923</v>
      </c>
      <c r="D115" t="s">
        <v>924</v>
      </c>
      <c r="E115" s="16">
        <v>4.0933502000000006</v>
      </c>
      <c r="F115" s="4">
        <v>2.5892621999999998</v>
      </c>
      <c r="G115" s="17">
        <v>1.5040879999999999</v>
      </c>
      <c r="H115" s="4">
        <v>1.5040879999999999</v>
      </c>
      <c r="I115" s="4">
        <v>0</v>
      </c>
      <c r="J115" s="4">
        <v>0</v>
      </c>
      <c r="K115" s="4">
        <v>0</v>
      </c>
      <c r="L115" s="4">
        <f t="shared" si="1"/>
        <v>0</v>
      </c>
      <c r="M115" s="4"/>
      <c r="N115" s="4" t="s">
        <v>3124</v>
      </c>
      <c r="O115" s="19">
        <v>46164</v>
      </c>
      <c r="P115" s="29" t="s">
        <v>3712</v>
      </c>
      <c r="Q115" s="19">
        <v>46202</v>
      </c>
      <c r="R115" t="s">
        <v>2007</v>
      </c>
      <c r="T115" t="e">
        <f>VLOOKUP(C115,'Legal &amp; Wrt.off'!C:C,1,0)</f>
        <v>#N/A</v>
      </c>
    </row>
    <row r="116" spans="1:20" hidden="1" x14ac:dyDescent="0.35">
      <c r="A116" t="s">
        <v>2017</v>
      </c>
      <c r="B116" t="s">
        <v>33</v>
      </c>
      <c r="C116" t="s">
        <v>925</v>
      </c>
      <c r="D116" t="s">
        <v>926</v>
      </c>
      <c r="E116" s="16">
        <v>6.2390730000000003</v>
      </c>
      <c r="F116" s="4">
        <v>0</v>
      </c>
      <c r="G116" s="17">
        <v>6.2390730000000003</v>
      </c>
      <c r="H116" s="4">
        <v>0</v>
      </c>
      <c r="I116" s="4">
        <v>0</v>
      </c>
      <c r="J116" s="4">
        <v>6.2390730000000003</v>
      </c>
      <c r="K116" s="4">
        <v>0</v>
      </c>
      <c r="L116" s="4">
        <f t="shared" si="1"/>
        <v>6.2390730000000003</v>
      </c>
      <c r="M116" s="4"/>
      <c r="N116" s="4" t="s">
        <v>3132</v>
      </c>
      <c r="O116" s="19">
        <v>46172</v>
      </c>
      <c r="P116" s="29" t="s">
        <v>3718</v>
      </c>
      <c r="Q116" s="19" t="s">
        <v>3719</v>
      </c>
      <c r="R116" t="s">
        <v>2007</v>
      </c>
      <c r="T116" t="e">
        <f>VLOOKUP(C116,'Legal &amp; Wrt.off'!C:C,1,0)</f>
        <v>#N/A</v>
      </c>
    </row>
    <row r="117" spans="1:20" hidden="1" x14ac:dyDescent="0.35">
      <c r="A117" t="s">
        <v>2017</v>
      </c>
      <c r="B117" t="s">
        <v>210</v>
      </c>
      <c r="C117" t="s">
        <v>927</v>
      </c>
      <c r="D117" t="s">
        <v>928</v>
      </c>
      <c r="E117" s="16">
        <v>4.8117600999999999</v>
      </c>
      <c r="F117" s="4">
        <v>2.3177316000000001</v>
      </c>
      <c r="G117" s="17">
        <v>2.4940285000000002</v>
      </c>
      <c r="H117" s="4">
        <v>0.79248800000000008</v>
      </c>
      <c r="I117" s="4">
        <v>1.7015404999999999</v>
      </c>
      <c r="J117" s="4">
        <v>0</v>
      </c>
      <c r="K117" s="4">
        <v>0</v>
      </c>
      <c r="L117" s="4">
        <f t="shared" si="1"/>
        <v>1.7015404999999999</v>
      </c>
      <c r="M117" s="4"/>
      <c r="N117" s="4" t="s">
        <v>3121</v>
      </c>
      <c r="O117" s="19">
        <v>46168</v>
      </c>
      <c r="P117" s="29" t="s">
        <v>3705</v>
      </c>
      <c r="Q117" s="19">
        <v>46183</v>
      </c>
      <c r="R117" t="s">
        <v>2007</v>
      </c>
      <c r="T117" t="e">
        <f>VLOOKUP(C117,'Legal &amp; Wrt.off'!C:C,1,0)</f>
        <v>#N/A</v>
      </c>
    </row>
    <row r="118" spans="1:20" hidden="1" x14ac:dyDescent="0.35">
      <c r="A118" t="s">
        <v>2017</v>
      </c>
      <c r="B118" t="s">
        <v>19</v>
      </c>
      <c r="C118" t="s">
        <v>935</v>
      </c>
      <c r="D118" t="s">
        <v>936</v>
      </c>
      <c r="E118" s="16">
        <v>4.3798598999999996</v>
      </c>
      <c r="F118" s="4">
        <v>1.6992</v>
      </c>
      <c r="G118" s="17">
        <v>2.6806598999999998</v>
      </c>
      <c r="H118" s="4">
        <v>2.6806598999999998</v>
      </c>
      <c r="I118" s="4">
        <v>0</v>
      </c>
      <c r="J118" s="4">
        <v>0</v>
      </c>
      <c r="K118" s="4">
        <v>0</v>
      </c>
      <c r="L118" s="4">
        <f t="shared" si="1"/>
        <v>0</v>
      </c>
      <c r="M118" s="4"/>
      <c r="N118" s="4" t="s">
        <v>3139</v>
      </c>
      <c r="R118" t="s">
        <v>2010</v>
      </c>
      <c r="T118" t="e">
        <f>VLOOKUP(C118,'Legal &amp; Wrt.off'!C:C,1,0)</f>
        <v>#N/A</v>
      </c>
    </row>
    <row r="119" spans="1:20" hidden="1" x14ac:dyDescent="0.35">
      <c r="A119" t="s">
        <v>2017</v>
      </c>
      <c r="B119" t="s">
        <v>55</v>
      </c>
      <c r="C119" t="s">
        <v>953</v>
      </c>
      <c r="D119" t="s">
        <v>954</v>
      </c>
      <c r="E119" s="16">
        <v>0.40333249999999998</v>
      </c>
      <c r="F119" s="4">
        <v>0.21251919999999999</v>
      </c>
      <c r="G119" s="17">
        <v>0.19081330000000002</v>
      </c>
      <c r="H119" s="4">
        <v>0.19081330000000002</v>
      </c>
      <c r="I119" s="4">
        <v>0</v>
      </c>
      <c r="J119" s="4">
        <v>0</v>
      </c>
      <c r="K119" s="4">
        <v>0</v>
      </c>
      <c r="L119" s="4">
        <f t="shared" si="1"/>
        <v>0</v>
      </c>
      <c r="M119" s="4"/>
      <c r="N119" s="4" t="s">
        <v>3121</v>
      </c>
      <c r="O119" s="19">
        <v>46168</v>
      </c>
      <c r="P119" s="29" t="s">
        <v>3705</v>
      </c>
      <c r="Q119" s="19">
        <v>46188</v>
      </c>
      <c r="R119" t="s">
        <v>2007</v>
      </c>
      <c r="T119" t="e">
        <f>VLOOKUP(C119,'Legal &amp; Wrt.off'!C:C,1,0)</f>
        <v>#N/A</v>
      </c>
    </row>
    <row r="120" spans="1:20" hidden="1" x14ac:dyDescent="0.35">
      <c r="A120" t="s">
        <v>2017</v>
      </c>
      <c r="B120" t="s">
        <v>33</v>
      </c>
      <c r="C120" t="s">
        <v>961</v>
      </c>
      <c r="D120" t="s">
        <v>962</v>
      </c>
      <c r="E120" s="16">
        <v>2.3278232999999999</v>
      </c>
      <c r="F120" s="4">
        <v>2.3134395999999997</v>
      </c>
      <c r="G120" s="17">
        <v>1.4383699999999999E-2</v>
      </c>
      <c r="H120" s="4">
        <v>0</v>
      </c>
      <c r="I120" s="4">
        <v>1.4383699999999999E-2</v>
      </c>
      <c r="J120" s="4">
        <v>0</v>
      </c>
      <c r="K120" s="4">
        <v>0</v>
      </c>
      <c r="L120" s="4">
        <f t="shared" si="1"/>
        <v>1.4383699999999999E-2</v>
      </c>
      <c r="M120" s="4"/>
      <c r="N120" s="4" t="s">
        <v>3125</v>
      </c>
      <c r="O120" s="19">
        <v>46165</v>
      </c>
      <c r="P120" s="29" t="s">
        <v>3714</v>
      </c>
      <c r="R120" t="s">
        <v>2007</v>
      </c>
      <c r="T120" t="e">
        <f>VLOOKUP(C120,'Legal &amp; Wrt.off'!C:C,1,0)</f>
        <v>#N/A</v>
      </c>
    </row>
    <row r="121" spans="1:20" hidden="1" x14ac:dyDescent="0.35">
      <c r="A121" t="s">
        <v>2017</v>
      </c>
      <c r="B121" t="s">
        <v>55</v>
      </c>
      <c r="C121" t="s">
        <v>969</v>
      </c>
      <c r="D121" t="s">
        <v>970</v>
      </c>
      <c r="E121" s="16">
        <v>3.2192366999999997</v>
      </c>
      <c r="F121" s="4">
        <v>3.1473384000000002</v>
      </c>
      <c r="G121" s="17">
        <v>7.1898299999999998E-2</v>
      </c>
      <c r="H121" s="4">
        <v>7.1898299999999998E-2</v>
      </c>
      <c r="I121" s="4">
        <v>0</v>
      </c>
      <c r="J121" s="4">
        <v>0</v>
      </c>
      <c r="K121" s="4">
        <v>0</v>
      </c>
      <c r="L121" s="4">
        <f t="shared" si="1"/>
        <v>0</v>
      </c>
      <c r="M121" s="4"/>
      <c r="N121" s="4" t="s">
        <v>3121</v>
      </c>
      <c r="O121" s="19">
        <v>46168</v>
      </c>
      <c r="P121" s="29" t="s">
        <v>3122</v>
      </c>
      <c r="Q121" s="19">
        <v>46188</v>
      </c>
      <c r="R121" t="s">
        <v>2007</v>
      </c>
      <c r="T121" t="e">
        <f>VLOOKUP(C121,'Legal &amp; Wrt.off'!C:C,1,0)</f>
        <v>#N/A</v>
      </c>
    </row>
    <row r="122" spans="1:20" hidden="1" x14ac:dyDescent="0.35">
      <c r="A122" t="s">
        <v>2016</v>
      </c>
      <c r="B122" t="s">
        <v>100</v>
      </c>
      <c r="C122" t="s">
        <v>979</v>
      </c>
      <c r="D122" t="s">
        <v>980</v>
      </c>
      <c r="E122" s="16">
        <v>8.5771000000000597E-3</v>
      </c>
      <c r="F122" s="4">
        <v>0</v>
      </c>
      <c r="G122" s="17">
        <v>8.5771000000000597E-3</v>
      </c>
      <c r="H122" s="4">
        <v>8.5771000000000597E-3</v>
      </c>
      <c r="I122" s="4">
        <v>0</v>
      </c>
      <c r="J122" s="4">
        <v>0</v>
      </c>
      <c r="K122" s="4">
        <v>0</v>
      </c>
      <c r="L122" s="4">
        <f t="shared" si="1"/>
        <v>0</v>
      </c>
      <c r="M122" s="4"/>
      <c r="N122" s="4" t="s">
        <v>3177</v>
      </c>
      <c r="P122" s="29" t="s">
        <v>3177</v>
      </c>
      <c r="R122" t="s">
        <v>2007</v>
      </c>
      <c r="T122" t="e">
        <f>VLOOKUP(C122,'Legal &amp; Wrt.off'!C:C,1,0)</f>
        <v>#N/A</v>
      </c>
    </row>
    <row r="123" spans="1:20" hidden="1" x14ac:dyDescent="0.35">
      <c r="A123" t="s">
        <v>2016</v>
      </c>
      <c r="B123" t="s">
        <v>100</v>
      </c>
      <c r="C123" t="s">
        <v>995</v>
      </c>
      <c r="D123" t="s">
        <v>996</v>
      </c>
      <c r="E123" s="16">
        <v>3.3201700000000098E-2</v>
      </c>
      <c r="F123" s="4">
        <v>0</v>
      </c>
      <c r="G123" s="17">
        <v>3.3201700000000098E-2</v>
      </c>
      <c r="H123" s="4">
        <v>3.3201700000000098E-2</v>
      </c>
      <c r="I123" s="4">
        <v>0</v>
      </c>
      <c r="J123" s="4">
        <v>0</v>
      </c>
      <c r="K123" s="4">
        <v>0</v>
      </c>
      <c r="L123" s="4">
        <f t="shared" si="1"/>
        <v>0</v>
      </c>
      <c r="M123" s="4"/>
      <c r="N123" s="4" t="s">
        <v>3177</v>
      </c>
      <c r="P123" s="29" t="s">
        <v>3177</v>
      </c>
      <c r="R123" t="s">
        <v>2007</v>
      </c>
      <c r="T123" t="e">
        <f>VLOOKUP(C123,'Legal &amp; Wrt.off'!C:C,1,0)</f>
        <v>#N/A</v>
      </c>
    </row>
    <row r="124" spans="1:20" hidden="1" x14ac:dyDescent="0.35">
      <c r="A124" t="s">
        <v>2017</v>
      </c>
      <c r="B124" t="s">
        <v>19</v>
      </c>
      <c r="C124" t="s">
        <v>997</v>
      </c>
      <c r="D124" t="s">
        <v>998</v>
      </c>
      <c r="E124" s="16">
        <v>1.49803E-2</v>
      </c>
      <c r="F124" s="4">
        <v>0</v>
      </c>
      <c r="G124" s="17">
        <v>1.49803E-2</v>
      </c>
      <c r="H124" s="4">
        <v>1.49803E-2</v>
      </c>
      <c r="I124" s="4">
        <v>0</v>
      </c>
      <c r="J124" s="4">
        <v>0</v>
      </c>
      <c r="K124" s="4">
        <v>0</v>
      </c>
      <c r="L124" s="4">
        <f t="shared" si="1"/>
        <v>0</v>
      </c>
      <c r="M124" s="4"/>
      <c r="N124" s="4" t="s">
        <v>3142</v>
      </c>
      <c r="O124" s="19">
        <v>46170</v>
      </c>
      <c r="P124" s="29" t="s">
        <v>3705</v>
      </c>
      <c r="Q124" s="19">
        <v>46188</v>
      </c>
      <c r="R124" t="s">
        <v>2007</v>
      </c>
      <c r="T124" t="e">
        <f>VLOOKUP(C124,'Legal &amp; Wrt.off'!C:C,1,0)</f>
        <v>#N/A</v>
      </c>
    </row>
    <row r="125" spans="1:20" hidden="1" x14ac:dyDescent="0.35">
      <c r="A125" t="s">
        <v>2017</v>
      </c>
      <c r="B125" t="s">
        <v>19</v>
      </c>
      <c r="C125" t="s">
        <v>1005</v>
      </c>
      <c r="D125" t="s">
        <v>1006</v>
      </c>
      <c r="E125" s="16">
        <v>2.49892E-2</v>
      </c>
      <c r="F125" s="4">
        <v>0</v>
      </c>
      <c r="G125" s="17">
        <v>2.49892E-2</v>
      </c>
      <c r="H125" s="4">
        <v>0</v>
      </c>
      <c r="I125" s="4">
        <v>0</v>
      </c>
      <c r="J125" s="4">
        <v>2.49892E-2</v>
      </c>
      <c r="K125" s="4">
        <v>0</v>
      </c>
      <c r="L125" s="4">
        <f t="shared" si="1"/>
        <v>2.49892E-2</v>
      </c>
      <c r="M125" s="4"/>
      <c r="N125" s="4" t="s">
        <v>3141</v>
      </c>
      <c r="O125" s="19">
        <v>46168</v>
      </c>
      <c r="P125" s="29" t="s">
        <v>3705</v>
      </c>
      <c r="Q125" s="19">
        <v>46188</v>
      </c>
      <c r="R125" t="s">
        <v>2007</v>
      </c>
      <c r="T125" t="e">
        <f>VLOOKUP(C125,'Legal &amp; Wrt.off'!C:C,1,0)</f>
        <v>#N/A</v>
      </c>
    </row>
    <row r="126" spans="1:20" hidden="1" x14ac:dyDescent="0.35">
      <c r="A126" t="s">
        <v>2017</v>
      </c>
      <c r="B126" t="s">
        <v>19</v>
      </c>
      <c r="C126" t="s">
        <v>1021</v>
      </c>
      <c r="D126" t="s">
        <v>1022</v>
      </c>
      <c r="E126" s="16">
        <v>0.29426279999999999</v>
      </c>
      <c r="F126" s="4">
        <v>0.2822674</v>
      </c>
      <c r="G126" s="17">
        <v>1.19954E-2</v>
      </c>
      <c r="H126" s="4">
        <v>0</v>
      </c>
      <c r="I126" s="4">
        <v>0</v>
      </c>
      <c r="J126" s="4">
        <v>1.1995400000000021E-2</v>
      </c>
      <c r="K126" s="4">
        <v>0</v>
      </c>
      <c r="L126" s="4">
        <f t="shared" si="1"/>
        <v>1.1995400000000021E-2</v>
      </c>
      <c r="M126" s="4"/>
      <c r="N126" s="4" t="s">
        <v>3141</v>
      </c>
      <c r="O126" s="19">
        <v>46168</v>
      </c>
      <c r="P126" s="29" t="s">
        <v>3705</v>
      </c>
      <c r="Q126" s="19">
        <v>46188</v>
      </c>
      <c r="R126" t="s">
        <v>2007</v>
      </c>
      <c r="T126" t="e">
        <f>VLOOKUP(C126,'Legal &amp; Wrt.off'!C:C,1,0)</f>
        <v>#N/A</v>
      </c>
    </row>
    <row r="127" spans="1:20" hidden="1" x14ac:dyDescent="0.35">
      <c r="A127" t="s">
        <v>2016</v>
      </c>
      <c r="B127" t="s">
        <v>93</v>
      </c>
      <c r="C127" t="s">
        <v>1023</v>
      </c>
      <c r="D127" t="s">
        <v>1024</v>
      </c>
      <c r="E127" s="16">
        <v>19.726894600000001</v>
      </c>
      <c r="F127" s="4">
        <v>15.664171499999998</v>
      </c>
      <c r="G127" s="17">
        <v>4.0627231000000004</v>
      </c>
      <c r="H127" s="4">
        <v>4.0627231000000004</v>
      </c>
      <c r="I127" s="4">
        <v>0</v>
      </c>
      <c r="J127" s="4">
        <v>0</v>
      </c>
      <c r="K127" s="4">
        <v>0</v>
      </c>
      <c r="L127" s="4">
        <f t="shared" si="1"/>
        <v>0</v>
      </c>
      <c r="M127" s="4"/>
      <c r="N127" s="4" t="s">
        <v>3180</v>
      </c>
      <c r="O127" s="19">
        <v>46165</v>
      </c>
      <c r="R127" t="s">
        <v>3116</v>
      </c>
      <c r="T127" t="e">
        <f>VLOOKUP(C127,'Legal &amp; Wrt.off'!C:C,1,0)</f>
        <v>#N/A</v>
      </c>
    </row>
    <row r="128" spans="1:20" hidden="1" x14ac:dyDescent="0.35">
      <c r="A128" t="s">
        <v>2016</v>
      </c>
      <c r="B128" t="s">
        <v>93</v>
      </c>
      <c r="C128" t="s">
        <v>1025</v>
      </c>
      <c r="D128" t="s">
        <v>1026</v>
      </c>
      <c r="E128" s="16">
        <v>5.6443119999999993</v>
      </c>
      <c r="F128" s="4">
        <v>5.3247735999999994</v>
      </c>
      <c r="G128" s="17">
        <v>0.3195384</v>
      </c>
      <c r="H128" s="4">
        <v>6.8780000000000002E-4</v>
      </c>
      <c r="I128" s="4">
        <v>0.31885060000000004</v>
      </c>
      <c r="J128" s="4">
        <v>0</v>
      </c>
      <c r="K128" s="4">
        <v>0</v>
      </c>
      <c r="L128" s="4">
        <f t="shared" si="1"/>
        <v>0.31885060000000004</v>
      </c>
      <c r="M128" s="4"/>
      <c r="N128" s="4" t="s">
        <v>3181</v>
      </c>
      <c r="O128" s="19">
        <v>46170</v>
      </c>
      <c r="P128" s="29" t="s">
        <v>3696</v>
      </c>
      <c r="R128" t="s">
        <v>2007</v>
      </c>
      <c r="T128" t="e">
        <f>VLOOKUP(C128,'Legal &amp; Wrt.off'!C:C,1,0)</f>
        <v>#N/A</v>
      </c>
    </row>
    <row r="129" spans="1:20" hidden="1" x14ac:dyDescent="0.35">
      <c r="A129" t="s">
        <v>2019</v>
      </c>
      <c r="B129" t="s">
        <v>16</v>
      </c>
      <c r="C129" t="s">
        <v>1027</v>
      </c>
      <c r="D129" t="s">
        <v>1028</v>
      </c>
      <c r="E129" s="16">
        <v>3.3169999999999998E-2</v>
      </c>
      <c r="F129" s="4">
        <v>0</v>
      </c>
      <c r="G129" s="17">
        <v>3.3169999999999998E-2</v>
      </c>
      <c r="H129" s="4">
        <v>0</v>
      </c>
      <c r="I129" s="4">
        <v>0</v>
      </c>
      <c r="J129" s="4">
        <v>3.3169999999999998E-2</v>
      </c>
      <c r="K129" s="4">
        <v>0</v>
      </c>
      <c r="L129" s="4">
        <f t="shared" si="1"/>
        <v>3.3169999999999998E-2</v>
      </c>
      <c r="M129" s="4"/>
      <c r="N129" s="4" t="s">
        <v>3199</v>
      </c>
      <c r="P129" s="29" t="s">
        <v>3199</v>
      </c>
      <c r="R129" t="s">
        <v>2008</v>
      </c>
      <c r="T129" t="e">
        <f>VLOOKUP(C129,'Legal &amp; Wrt.off'!C:C,1,0)</f>
        <v>#N/A</v>
      </c>
    </row>
    <row r="130" spans="1:20" hidden="1" x14ac:dyDescent="0.35">
      <c r="A130" t="s">
        <v>2019</v>
      </c>
      <c r="B130" t="s">
        <v>46</v>
      </c>
      <c r="C130" t="s">
        <v>1047</v>
      </c>
      <c r="D130" t="s">
        <v>1048</v>
      </c>
      <c r="E130" s="16">
        <v>2.6889568000000001</v>
      </c>
      <c r="F130" s="4">
        <v>2.0255668</v>
      </c>
      <c r="G130" s="17">
        <v>0.66339000000000004</v>
      </c>
      <c r="H130" s="4">
        <v>0.66339000000000004</v>
      </c>
      <c r="I130" s="4">
        <v>0</v>
      </c>
      <c r="J130" s="4">
        <v>0</v>
      </c>
      <c r="K130" s="4">
        <v>0</v>
      </c>
      <c r="L130" s="4">
        <f t="shared" si="1"/>
        <v>0</v>
      </c>
      <c r="M130" s="4"/>
      <c r="N130" s="4" t="s">
        <v>3188</v>
      </c>
      <c r="R130" t="s">
        <v>3116</v>
      </c>
      <c r="T130" t="e">
        <f>VLOOKUP(C130,'Legal &amp; Wrt.off'!C:C,1,0)</f>
        <v>#N/A</v>
      </c>
    </row>
    <row r="131" spans="1:20" hidden="1" x14ac:dyDescent="0.35">
      <c r="A131" t="s">
        <v>2017</v>
      </c>
      <c r="B131" t="s">
        <v>33</v>
      </c>
      <c r="C131" t="s">
        <v>1051</v>
      </c>
      <c r="D131" t="s">
        <v>1052</v>
      </c>
      <c r="E131" s="16">
        <v>1.1314799</v>
      </c>
      <c r="F131" s="4">
        <v>1.1200479999999999</v>
      </c>
      <c r="G131" s="17">
        <v>1.14319E-2</v>
      </c>
      <c r="H131" s="4">
        <v>0</v>
      </c>
      <c r="I131" s="4">
        <v>0</v>
      </c>
      <c r="J131" s="4">
        <v>1.14319E-2</v>
      </c>
      <c r="K131" s="4">
        <v>0</v>
      </c>
      <c r="L131" s="4">
        <f t="shared" si="1"/>
        <v>1.14319E-2</v>
      </c>
      <c r="M131" s="4"/>
      <c r="N131" s="4" t="s">
        <v>3119</v>
      </c>
      <c r="P131" s="29" t="s">
        <v>3714</v>
      </c>
      <c r="R131" t="s">
        <v>2007</v>
      </c>
      <c r="T131" t="e">
        <f>VLOOKUP(C131,'Legal &amp; Wrt.off'!C:C,1,0)</f>
        <v>#N/A</v>
      </c>
    </row>
    <row r="132" spans="1:20" hidden="1" x14ac:dyDescent="0.35">
      <c r="A132" t="s">
        <v>2019</v>
      </c>
      <c r="B132" t="s">
        <v>24</v>
      </c>
      <c r="C132" t="s">
        <v>1055</v>
      </c>
      <c r="D132" t="s">
        <v>1056</v>
      </c>
      <c r="E132" s="16">
        <v>3.7818627</v>
      </c>
      <c r="F132" s="4">
        <v>0</v>
      </c>
      <c r="G132" s="17">
        <v>3.7818627</v>
      </c>
      <c r="H132" s="4">
        <v>0</v>
      </c>
      <c r="I132" s="4">
        <v>0</v>
      </c>
      <c r="J132" s="4">
        <v>0.392924</v>
      </c>
      <c r="K132" s="4">
        <v>3.3889386999999997</v>
      </c>
      <c r="L132" s="4">
        <f t="shared" si="1"/>
        <v>3.7818626999999996</v>
      </c>
      <c r="M132" s="4"/>
      <c r="N132" s="4" t="s">
        <v>3200</v>
      </c>
      <c r="O132" s="19">
        <v>46188</v>
      </c>
      <c r="P132" s="29" t="s">
        <v>3200</v>
      </c>
      <c r="Q132" s="19">
        <v>46188</v>
      </c>
      <c r="R132" t="s">
        <v>2007</v>
      </c>
      <c r="T132" t="e">
        <f>VLOOKUP(C132,'Legal &amp; Wrt.off'!C:C,1,0)</f>
        <v>#N/A</v>
      </c>
    </row>
    <row r="133" spans="1:20" hidden="1" x14ac:dyDescent="0.35">
      <c r="A133" t="s">
        <v>2019</v>
      </c>
      <c r="B133" t="s">
        <v>16</v>
      </c>
      <c r="C133" t="s">
        <v>1057</v>
      </c>
      <c r="D133" t="s">
        <v>1058</v>
      </c>
      <c r="E133" s="16">
        <v>5.2230787999999997</v>
      </c>
      <c r="F133" s="4">
        <v>5.2057598</v>
      </c>
      <c r="G133" s="17">
        <v>1.7319000000000001E-2</v>
      </c>
      <c r="H133" s="4">
        <v>1.1762000000000001E-3</v>
      </c>
      <c r="I133" s="4">
        <v>0</v>
      </c>
      <c r="J133" s="4">
        <v>1.6142799999999999E-2</v>
      </c>
      <c r="K133" s="4">
        <v>0</v>
      </c>
      <c r="L133" s="4">
        <f t="shared" si="1"/>
        <v>1.6142799999999999E-2</v>
      </c>
      <c r="M133" s="4"/>
      <c r="N133" s="4" t="s">
        <v>3201</v>
      </c>
      <c r="O133" s="19">
        <v>46167</v>
      </c>
      <c r="P133" s="29" t="s">
        <v>3742</v>
      </c>
      <c r="R133" t="s">
        <v>2007</v>
      </c>
      <c r="T133" t="e">
        <f>VLOOKUP(C133,'Legal &amp; Wrt.off'!C:C,1,0)</f>
        <v>#N/A</v>
      </c>
    </row>
    <row r="134" spans="1:20" hidden="1" x14ac:dyDescent="0.35">
      <c r="A134" t="s">
        <v>2019</v>
      </c>
      <c r="B134" t="s">
        <v>46</v>
      </c>
      <c r="C134" t="s">
        <v>1059</v>
      </c>
      <c r="D134" t="s">
        <v>1060</v>
      </c>
      <c r="E134" s="16">
        <v>2.1092364999999997</v>
      </c>
      <c r="F134" s="4">
        <v>0</v>
      </c>
      <c r="G134" s="17">
        <v>2.1092364999999997</v>
      </c>
      <c r="H134" s="4">
        <v>0</v>
      </c>
      <c r="I134" s="4">
        <v>0</v>
      </c>
      <c r="J134" s="4">
        <v>0.17145840000000001</v>
      </c>
      <c r="K134" s="4">
        <v>1.9377781000000001</v>
      </c>
      <c r="L134" s="4">
        <f t="shared" ref="L134:L197" si="2">SUM(I134:K134)</f>
        <v>2.1092365000000002</v>
      </c>
      <c r="M134" s="4"/>
      <c r="N134" s="4" t="s">
        <v>3202</v>
      </c>
      <c r="O134" s="19">
        <v>46203</v>
      </c>
      <c r="P134" s="29" t="s">
        <v>3202</v>
      </c>
      <c r="R134" t="s">
        <v>2007</v>
      </c>
      <c r="S134" t="s">
        <v>3414</v>
      </c>
      <c r="T134" t="e">
        <f>VLOOKUP(C134,'Legal &amp; Wrt.off'!C:C,1,0)</f>
        <v>#N/A</v>
      </c>
    </row>
    <row r="135" spans="1:20" hidden="1" x14ac:dyDescent="0.35">
      <c r="A135" t="s">
        <v>2017</v>
      </c>
      <c r="B135" t="s">
        <v>33</v>
      </c>
      <c r="C135" t="s">
        <v>1065</v>
      </c>
      <c r="D135" t="s">
        <v>1066</v>
      </c>
      <c r="E135" s="16">
        <v>1.05322E-2</v>
      </c>
      <c r="F135" s="4">
        <v>0</v>
      </c>
      <c r="G135" s="17">
        <v>1.05322E-2</v>
      </c>
      <c r="H135" s="4">
        <v>0</v>
      </c>
      <c r="I135" s="4">
        <v>1.05322E-2</v>
      </c>
      <c r="J135" s="4">
        <v>0</v>
      </c>
      <c r="K135" s="4">
        <v>0</v>
      </c>
      <c r="L135" s="4">
        <f t="shared" si="2"/>
        <v>1.05322E-2</v>
      </c>
      <c r="M135" s="4"/>
      <c r="N135" s="4" t="s">
        <v>3119</v>
      </c>
      <c r="P135" s="29" t="s">
        <v>3714</v>
      </c>
      <c r="R135" t="s">
        <v>2007</v>
      </c>
      <c r="T135" t="e">
        <f>VLOOKUP(C135,'Legal &amp; Wrt.off'!C:C,1,0)</f>
        <v>#N/A</v>
      </c>
    </row>
    <row r="136" spans="1:20" hidden="1" x14ac:dyDescent="0.35">
      <c r="A136" t="s">
        <v>2017</v>
      </c>
      <c r="B136" t="s">
        <v>33</v>
      </c>
      <c r="C136" t="s">
        <v>1067</v>
      </c>
      <c r="D136" t="s">
        <v>1068</v>
      </c>
      <c r="E136" s="16">
        <v>4.2041881999999999</v>
      </c>
      <c r="F136" s="4">
        <v>0</v>
      </c>
      <c r="G136" s="17">
        <v>4.2041881999999999</v>
      </c>
      <c r="H136" s="4">
        <v>0</v>
      </c>
      <c r="I136" s="4">
        <v>0</v>
      </c>
      <c r="J136" s="4">
        <v>4.2041881999999999</v>
      </c>
      <c r="K136" s="4">
        <v>0</v>
      </c>
      <c r="L136" s="4">
        <f t="shared" si="2"/>
        <v>4.2041881999999999</v>
      </c>
      <c r="M136" s="4"/>
      <c r="N136" s="4" t="s">
        <v>3132</v>
      </c>
      <c r="O136" s="19">
        <v>46172</v>
      </c>
      <c r="P136" s="29" t="s">
        <v>3720</v>
      </c>
      <c r="Q136" s="19" t="s">
        <v>3721</v>
      </c>
      <c r="R136" t="s">
        <v>2007</v>
      </c>
      <c r="T136" t="e">
        <f>VLOOKUP(C136,'Legal &amp; Wrt.off'!C:C,1,0)</f>
        <v>#N/A</v>
      </c>
    </row>
    <row r="137" spans="1:20" hidden="1" x14ac:dyDescent="0.35">
      <c r="A137" t="s">
        <v>2017</v>
      </c>
      <c r="B137" t="s">
        <v>33</v>
      </c>
      <c r="C137" t="s">
        <v>1069</v>
      </c>
      <c r="D137" t="s">
        <v>1070</v>
      </c>
      <c r="E137" s="16">
        <v>0.27504220000000001</v>
      </c>
      <c r="F137" s="4">
        <v>0</v>
      </c>
      <c r="G137" s="17">
        <v>0.27504220000000001</v>
      </c>
      <c r="H137" s="4">
        <v>2.3769999999999999E-2</v>
      </c>
      <c r="I137" s="4">
        <v>0</v>
      </c>
      <c r="J137" s="4">
        <v>0.2512722</v>
      </c>
      <c r="K137" s="4">
        <v>0</v>
      </c>
      <c r="L137" s="4">
        <f t="shared" si="2"/>
        <v>0.2512722</v>
      </c>
      <c r="M137" s="4"/>
      <c r="N137" s="4" t="s">
        <v>3143</v>
      </c>
      <c r="P137" s="29" t="s">
        <v>3722</v>
      </c>
      <c r="R137" t="s">
        <v>3117</v>
      </c>
      <c r="T137" t="e">
        <f>VLOOKUP(C137,'Legal &amp; Wrt.off'!C:C,1,0)</f>
        <v>#N/A</v>
      </c>
    </row>
    <row r="138" spans="1:20" hidden="1" x14ac:dyDescent="0.35">
      <c r="A138" t="s">
        <v>2017</v>
      </c>
      <c r="B138" t="s">
        <v>33</v>
      </c>
      <c r="C138" t="s">
        <v>1071</v>
      </c>
      <c r="D138" t="s">
        <v>1072</v>
      </c>
      <c r="E138" s="16">
        <v>2.4427500000000001E-2</v>
      </c>
      <c r="F138" s="4">
        <v>0</v>
      </c>
      <c r="G138" s="17">
        <v>2.4427500000000001E-2</v>
      </c>
      <c r="H138" s="4">
        <v>0</v>
      </c>
      <c r="I138" s="4">
        <v>0</v>
      </c>
      <c r="J138" s="4">
        <v>2.4427500000000001E-2</v>
      </c>
      <c r="K138" s="4">
        <v>0</v>
      </c>
      <c r="L138" s="4">
        <f t="shared" si="2"/>
        <v>2.4427500000000001E-2</v>
      </c>
      <c r="M138" s="4"/>
      <c r="N138" s="4" t="s">
        <v>3119</v>
      </c>
      <c r="P138" s="29" t="s">
        <v>3714</v>
      </c>
      <c r="R138" t="s">
        <v>2007</v>
      </c>
      <c r="T138" t="e">
        <f>VLOOKUP(C138,'Legal &amp; Wrt.off'!C:C,1,0)</f>
        <v>#N/A</v>
      </c>
    </row>
    <row r="139" spans="1:20" hidden="1" x14ac:dyDescent="0.35">
      <c r="A139" t="s">
        <v>2017</v>
      </c>
      <c r="B139" t="s">
        <v>88</v>
      </c>
      <c r="C139" t="s">
        <v>1077</v>
      </c>
      <c r="D139" t="s">
        <v>1078</v>
      </c>
      <c r="E139" s="16">
        <v>2.3749343999999999</v>
      </c>
      <c r="F139" s="4">
        <v>2.3484082000000002</v>
      </c>
      <c r="G139" s="17">
        <v>2.65262E-2</v>
      </c>
      <c r="H139" s="4">
        <v>2.65262E-2</v>
      </c>
      <c r="I139" s="4">
        <v>0</v>
      </c>
      <c r="J139" s="4">
        <v>0</v>
      </c>
      <c r="K139" s="4">
        <v>0</v>
      </c>
      <c r="L139" s="4">
        <f t="shared" si="2"/>
        <v>0</v>
      </c>
      <c r="M139" s="4"/>
      <c r="N139" s="4" t="s">
        <v>3144</v>
      </c>
      <c r="P139" s="29" t="s">
        <v>3707</v>
      </c>
      <c r="R139" t="s">
        <v>3117</v>
      </c>
      <c r="T139" t="e">
        <f>VLOOKUP(C139,'Legal &amp; Wrt.off'!C:C,1,0)</f>
        <v>#N/A</v>
      </c>
    </row>
    <row r="140" spans="1:20" x14ac:dyDescent="0.35">
      <c r="A140" t="s">
        <v>2018</v>
      </c>
      <c r="B140" t="s">
        <v>169</v>
      </c>
      <c r="C140" t="s">
        <v>1087</v>
      </c>
      <c r="D140" t="s">
        <v>1088</v>
      </c>
      <c r="E140" s="16">
        <v>0.62082519999999997</v>
      </c>
      <c r="F140" s="4">
        <v>0</v>
      </c>
      <c r="G140" s="17">
        <v>0.62082519999999997</v>
      </c>
      <c r="H140" s="4">
        <v>3.3169999999999998E-2</v>
      </c>
      <c r="I140" s="4">
        <v>0</v>
      </c>
      <c r="J140" s="4">
        <v>0</v>
      </c>
      <c r="K140" s="4">
        <v>0.58765519999999993</v>
      </c>
      <c r="L140" s="4">
        <f t="shared" si="2"/>
        <v>0.58765519999999993</v>
      </c>
      <c r="M140" s="4"/>
      <c r="N140" s="4" t="s">
        <v>3422</v>
      </c>
      <c r="O140" s="19">
        <v>46168</v>
      </c>
      <c r="P140" s="29" t="s">
        <v>3795</v>
      </c>
      <c r="Q140" s="19">
        <v>46181</v>
      </c>
      <c r="R140" t="s">
        <v>2007</v>
      </c>
      <c r="T140" t="e">
        <f>VLOOKUP(C140,'Legal &amp; Wrt.off'!C:C,1,0)</f>
        <v>#N/A</v>
      </c>
    </row>
    <row r="141" spans="1:20" x14ac:dyDescent="0.35">
      <c r="A141" t="s">
        <v>2018</v>
      </c>
      <c r="B141" t="s">
        <v>169</v>
      </c>
      <c r="C141" t="s">
        <v>1089</v>
      </c>
      <c r="D141" t="s">
        <v>1090</v>
      </c>
      <c r="E141" s="16">
        <v>0.74647089999999994</v>
      </c>
      <c r="F141" s="4">
        <v>0</v>
      </c>
      <c r="G141" s="17">
        <v>0.74647089999999994</v>
      </c>
      <c r="H141" s="4">
        <v>3.4549999999999997E-2</v>
      </c>
      <c r="I141" s="4">
        <v>0</v>
      </c>
      <c r="J141" s="4">
        <v>4.3311000000000001E-3</v>
      </c>
      <c r="K141" s="4">
        <v>0.70758979999999994</v>
      </c>
      <c r="L141" s="4">
        <f t="shared" si="2"/>
        <v>0.71192089999999997</v>
      </c>
      <c r="M141" s="4"/>
      <c r="N141" s="4" t="s">
        <v>3423</v>
      </c>
      <c r="O141" s="19">
        <v>46193</v>
      </c>
      <c r="P141" s="29" t="s">
        <v>3423</v>
      </c>
      <c r="Q141" s="19">
        <v>46193</v>
      </c>
      <c r="R141" t="s">
        <v>2007</v>
      </c>
      <c r="T141" t="e">
        <f>VLOOKUP(C141,'Legal &amp; Wrt.off'!C:C,1,0)</f>
        <v>#N/A</v>
      </c>
    </row>
    <row r="142" spans="1:20" x14ac:dyDescent="0.35">
      <c r="A142" t="s">
        <v>2018</v>
      </c>
      <c r="B142" t="s">
        <v>169</v>
      </c>
      <c r="C142" t="s">
        <v>1091</v>
      </c>
      <c r="D142" t="s">
        <v>1092</v>
      </c>
      <c r="E142" s="16">
        <v>3.1322869</v>
      </c>
      <c r="F142" s="4">
        <v>0</v>
      </c>
      <c r="G142" s="17">
        <v>3.1322869</v>
      </c>
      <c r="H142" s="4">
        <v>8.2919999999999994E-2</v>
      </c>
      <c r="I142" s="4">
        <v>0</v>
      </c>
      <c r="J142" s="4">
        <v>3.0493668999999999</v>
      </c>
      <c r="K142" s="4">
        <v>0</v>
      </c>
      <c r="L142" s="4">
        <f t="shared" si="2"/>
        <v>3.0493668999999999</v>
      </c>
      <c r="M142" s="4"/>
      <c r="N142" s="4" t="s">
        <v>3424</v>
      </c>
      <c r="O142" s="19">
        <v>46170</v>
      </c>
      <c r="P142" s="29" t="s">
        <v>3796</v>
      </c>
      <c r="Q142" s="19">
        <v>46183</v>
      </c>
      <c r="R142" t="s">
        <v>2007</v>
      </c>
      <c r="T142" t="e">
        <f>VLOOKUP(C142,'Legal &amp; Wrt.off'!C:C,1,0)</f>
        <v>#N/A</v>
      </c>
    </row>
    <row r="143" spans="1:20" x14ac:dyDescent="0.35">
      <c r="A143" t="s">
        <v>2018</v>
      </c>
      <c r="B143" t="s">
        <v>275</v>
      </c>
      <c r="C143" t="s">
        <v>1095</v>
      </c>
      <c r="D143" t="s">
        <v>1096</v>
      </c>
      <c r="E143" s="16">
        <v>7.1828966000000003</v>
      </c>
      <c r="F143" s="4">
        <v>0</v>
      </c>
      <c r="G143" s="17">
        <v>7.1828966000000003</v>
      </c>
      <c r="H143" s="4">
        <v>0</v>
      </c>
      <c r="I143" s="4">
        <v>0</v>
      </c>
      <c r="J143" s="4">
        <v>2.4801517999999998</v>
      </c>
      <c r="K143" s="4">
        <v>4.7027447999999996</v>
      </c>
      <c r="L143" s="4">
        <f t="shared" si="2"/>
        <v>7.1828965999999994</v>
      </c>
      <c r="M143" s="4"/>
      <c r="N143" s="4" t="s">
        <v>3425</v>
      </c>
      <c r="O143" s="19">
        <v>46171</v>
      </c>
      <c r="P143" s="29" t="s">
        <v>3425</v>
      </c>
      <c r="R143" t="s">
        <v>2007</v>
      </c>
      <c r="S143" t="s">
        <v>3793</v>
      </c>
      <c r="T143" t="e">
        <f>VLOOKUP(C143,'Legal &amp; Wrt.off'!C:C,1,0)</f>
        <v>#N/A</v>
      </c>
    </row>
    <row r="144" spans="1:20" x14ac:dyDescent="0.35">
      <c r="A144" t="s">
        <v>2018</v>
      </c>
      <c r="B144" t="s">
        <v>275</v>
      </c>
      <c r="C144" t="s">
        <v>1099</v>
      </c>
      <c r="D144" t="s">
        <v>1100</v>
      </c>
      <c r="E144" s="16">
        <v>0.25526330000000003</v>
      </c>
      <c r="F144" s="4">
        <v>0</v>
      </c>
      <c r="G144" s="17">
        <v>0.25526330000000003</v>
      </c>
      <c r="H144" s="4">
        <v>0.11262999999999999</v>
      </c>
      <c r="I144" s="4">
        <v>0</v>
      </c>
      <c r="J144" s="4">
        <v>0.14263329999999999</v>
      </c>
      <c r="K144" s="4">
        <v>0</v>
      </c>
      <c r="L144" s="4">
        <f t="shared" si="2"/>
        <v>0.14263329999999999</v>
      </c>
      <c r="M144" s="4"/>
      <c r="N144" s="4" t="s">
        <v>3426</v>
      </c>
      <c r="P144" s="29" t="s">
        <v>3797</v>
      </c>
      <c r="R144" t="s">
        <v>2014</v>
      </c>
      <c r="T144" t="e">
        <f>VLOOKUP(C144,'Legal &amp; Wrt.off'!C:C,1,0)</f>
        <v>#N/A</v>
      </c>
    </row>
    <row r="145" spans="1:20" hidden="1" x14ac:dyDescent="0.35">
      <c r="A145" t="s">
        <v>2017</v>
      </c>
      <c r="B145" t="s">
        <v>19</v>
      </c>
      <c r="C145" t="s">
        <v>1103</v>
      </c>
      <c r="D145" t="s">
        <v>1104</v>
      </c>
      <c r="E145" s="16">
        <v>1.2834247999999999</v>
      </c>
      <c r="F145" s="4">
        <v>0</v>
      </c>
      <c r="G145" s="17">
        <v>1.2834247999999999</v>
      </c>
      <c r="H145" s="4">
        <v>0</v>
      </c>
      <c r="I145" s="4">
        <v>0</v>
      </c>
      <c r="J145" s="4">
        <v>1.2376017000000001</v>
      </c>
      <c r="K145" s="4">
        <v>4.5823100000000005E-2</v>
      </c>
      <c r="L145" s="4">
        <f t="shared" si="2"/>
        <v>1.2834248000000001</v>
      </c>
      <c r="M145" s="4"/>
      <c r="N145" s="4" t="s">
        <v>3145</v>
      </c>
      <c r="P145" s="29" t="s">
        <v>3705</v>
      </c>
      <c r="Q145" s="19">
        <v>46199</v>
      </c>
      <c r="R145" t="s">
        <v>2008</v>
      </c>
      <c r="S145" t="s">
        <v>3409</v>
      </c>
      <c r="T145" t="e">
        <f>VLOOKUP(C145,'Legal &amp; Wrt.off'!C:C,1,0)</f>
        <v>#N/A</v>
      </c>
    </row>
    <row r="146" spans="1:20" hidden="1" x14ac:dyDescent="0.35">
      <c r="A146" t="s">
        <v>2017</v>
      </c>
      <c r="B146" t="s">
        <v>36</v>
      </c>
      <c r="C146" t="s">
        <v>1107</v>
      </c>
      <c r="D146" t="s">
        <v>1108</v>
      </c>
      <c r="E146" s="16">
        <v>1.3504800000000001E-2</v>
      </c>
      <c r="F146" s="4">
        <v>0</v>
      </c>
      <c r="G146" s="17">
        <v>1.3504800000000001E-2</v>
      </c>
      <c r="H146" s="4">
        <v>0</v>
      </c>
      <c r="I146" s="4">
        <v>0</v>
      </c>
      <c r="J146" s="4">
        <v>1.3504800000000001E-2</v>
      </c>
      <c r="K146" s="4">
        <v>0</v>
      </c>
      <c r="L146" s="4">
        <f t="shared" si="2"/>
        <v>1.3504800000000001E-2</v>
      </c>
      <c r="M146" s="4"/>
      <c r="N146" s="4" t="s">
        <v>3139</v>
      </c>
      <c r="P146" s="29" t="s">
        <v>3139</v>
      </c>
      <c r="R146" t="s">
        <v>2010</v>
      </c>
      <c r="T146" t="e">
        <f>VLOOKUP(C146,'Legal &amp; Wrt.off'!C:C,1,0)</f>
        <v>#N/A</v>
      </c>
    </row>
    <row r="147" spans="1:20" hidden="1" x14ac:dyDescent="0.35">
      <c r="A147" t="s">
        <v>2017</v>
      </c>
      <c r="B147" t="s">
        <v>55</v>
      </c>
      <c r="C147" t="s">
        <v>1111</v>
      </c>
      <c r="D147" t="s">
        <v>1112</v>
      </c>
      <c r="E147" s="16">
        <v>1.4224500000000001E-2</v>
      </c>
      <c r="F147" s="4">
        <v>0</v>
      </c>
      <c r="G147" s="17">
        <v>1.4224500000000001E-2</v>
      </c>
      <c r="H147" s="4">
        <v>1.4224500000000001E-2</v>
      </c>
      <c r="I147" s="4">
        <v>0</v>
      </c>
      <c r="J147" s="4">
        <v>0</v>
      </c>
      <c r="K147" s="4">
        <v>0</v>
      </c>
      <c r="L147" s="4">
        <f t="shared" si="2"/>
        <v>0</v>
      </c>
      <c r="M147" s="4"/>
      <c r="N147" s="4" t="s">
        <v>3122</v>
      </c>
      <c r="P147" s="29" t="s">
        <v>3122</v>
      </c>
      <c r="R147" t="s">
        <v>2007</v>
      </c>
      <c r="T147" t="e">
        <f>VLOOKUP(C147,'Legal &amp; Wrt.off'!C:C,1,0)</f>
        <v>#N/A</v>
      </c>
    </row>
    <row r="148" spans="1:20" hidden="1" x14ac:dyDescent="0.35">
      <c r="A148" t="s">
        <v>2017</v>
      </c>
      <c r="B148" t="s">
        <v>111</v>
      </c>
      <c r="C148" t="s">
        <v>1113</v>
      </c>
      <c r="D148" t="s">
        <v>1114</v>
      </c>
      <c r="E148" s="16">
        <v>6.3668299999999997E-2</v>
      </c>
      <c r="F148" s="4">
        <v>0</v>
      </c>
      <c r="G148" s="17">
        <v>6.3668299999999997E-2</v>
      </c>
      <c r="H148" s="4">
        <v>0</v>
      </c>
      <c r="I148" s="4">
        <v>0</v>
      </c>
      <c r="J148" s="4">
        <v>4.9750000000000003E-2</v>
      </c>
      <c r="K148" s="4">
        <v>1.39183E-2</v>
      </c>
      <c r="L148" s="4">
        <f t="shared" si="2"/>
        <v>6.3668299999999997E-2</v>
      </c>
      <c r="M148" s="4"/>
      <c r="N148" s="4" t="s">
        <v>3140</v>
      </c>
      <c r="P148" s="29" t="s">
        <v>3713</v>
      </c>
      <c r="R148" t="s">
        <v>2007</v>
      </c>
      <c r="T148" t="e">
        <f>VLOOKUP(C148,'Legal &amp; Wrt.off'!C:C,1,0)</f>
        <v>#N/A</v>
      </c>
    </row>
    <row r="149" spans="1:20" hidden="1" x14ac:dyDescent="0.35">
      <c r="A149" t="s">
        <v>2016</v>
      </c>
      <c r="B149" t="s">
        <v>41</v>
      </c>
      <c r="C149" t="s">
        <v>1115</v>
      </c>
      <c r="D149" t="s">
        <v>1116</v>
      </c>
      <c r="E149" s="16">
        <v>0.2959154</v>
      </c>
      <c r="F149" s="4">
        <v>0</v>
      </c>
      <c r="G149" s="17">
        <v>0.2959154</v>
      </c>
      <c r="H149" s="4">
        <v>0</v>
      </c>
      <c r="I149" s="4">
        <v>0</v>
      </c>
      <c r="J149" s="4">
        <v>2.0449999999999999E-2</v>
      </c>
      <c r="K149" s="4">
        <v>0.27546540000000003</v>
      </c>
      <c r="L149" s="4">
        <f t="shared" si="2"/>
        <v>0.29591540000000005</v>
      </c>
      <c r="M149" s="4"/>
      <c r="N149" s="4">
        <v>0</v>
      </c>
      <c r="P149" s="29" t="s">
        <v>3697</v>
      </c>
      <c r="R149" t="s">
        <v>3117</v>
      </c>
      <c r="T149" t="e">
        <f>VLOOKUP(C149,'Legal &amp; Wrt.off'!C:C,1,0)</f>
        <v>#N/A</v>
      </c>
    </row>
    <row r="150" spans="1:20" hidden="1" x14ac:dyDescent="0.35">
      <c r="A150" t="s">
        <v>2016</v>
      </c>
      <c r="B150" t="s">
        <v>41</v>
      </c>
      <c r="C150" t="s">
        <v>1117</v>
      </c>
      <c r="D150" t="s">
        <v>1118</v>
      </c>
      <c r="E150" s="16">
        <v>1.2827415</v>
      </c>
      <c r="F150" s="4">
        <v>0</v>
      </c>
      <c r="G150" s="17">
        <v>1.2827415</v>
      </c>
      <c r="H150" s="4">
        <v>0</v>
      </c>
      <c r="I150" s="4">
        <v>0</v>
      </c>
      <c r="J150" s="4">
        <v>6.4166399999999998E-2</v>
      </c>
      <c r="K150" s="4">
        <v>1.2185751</v>
      </c>
      <c r="L150" s="4">
        <f t="shared" si="2"/>
        <v>1.2827415</v>
      </c>
      <c r="M150" s="4"/>
      <c r="N150" s="4" t="s">
        <v>3179</v>
      </c>
      <c r="O150" s="19">
        <v>46168</v>
      </c>
      <c r="P150" s="29" t="s">
        <v>3698</v>
      </c>
      <c r="R150" t="s">
        <v>2007</v>
      </c>
      <c r="T150" t="e">
        <f>VLOOKUP(C150,'Legal &amp; Wrt.off'!C:C,1,0)</f>
        <v>#N/A</v>
      </c>
    </row>
    <row r="151" spans="1:20" hidden="1" x14ac:dyDescent="0.35">
      <c r="A151" t="s">
        <v>2016</v>
      </c>
      <c r="B151" t="s">
        <v>93</v>
      </c>
      <c r="C151" t="s">
        <v>1119</v>
      </c>
      <c r="D151" t="s">
        <v>1120</v>
      </c>
      <c r="E151" s="16">
        <v>2.50913E-2</v>
      </c>
      <c r="F151" s="4">
        <v>0</v>
      </c>
      <c r="G151" s="17">
        <v>2.50913E-2</v>
      </c>
      <c r="H151" s="4">
        <v>0</v>
      </c>
      <c r="I151" s="4">
        <v>0</v>
      </c>
      <c r="J151" s="4">
        <v>1.6580000000000001E-2</v>
      </c>
      <c r="K151" s="4">
        <v>8.5112999999999994E-3</v>
      </c>
      <c r="L151" s="4">
        <f t="shared" si="2"/>
        <v>2.50913E-2</v>
      </c>
      <c r="M151" s="4"/>
      <c r="N151" s="4" t="s">
        <v>3177</v>
      </c>
      <c r="P151" s="29" t="s">
        <v>3177</v>
      </c>
      <c r="R151" t="s">
        <v>2007</v>
      </c>
      <c r="T151" t="e">
        <f>VLOOKUP(C151,'Legal &amp; Wrt.off'!C:C,1,0)</f>
        <v>#N/A</v>
      </c>
    </row>
    <row r="152" spans="1:20" hidden="1" x14ac:dyDescent="0.35">
      <c r="A152" t="s">
        <v>2016</v>
      </c>
      <c r="B152" t="s">
        <v>100</v>
      </c>
      <c r="C152" t="s">
        <v>1121</v>
      </c>
      <c r="D152" t="s">
        <v>1122</v>
      </c>
      <c r="E152" s="16">
        <v>21.3581319</v>
      </c>
      <c r="F152" s="4">
        <v>20.567164399999999</v>
      </c>
      <c r="G152" s="17">
        <v>0.79096750000000005</v>
      </c>
      <c r="H152" s="4">
        <v>0.79096750000000005</v>
      </c>
      <c r="I152" s="4">
        <v>0</v>
      </c>
      <c r="J152" s="4">
        <v>0</v>
      </c>
      <c r="K152" s="4">
        <v>0</v>
      </c>
      <c r="L152" s="4">
        <f t="shared" si="2"/>
        <v>0</v>
      </c>
      <c r="M152" s="4"/>
      <c r="N152" s="4" t="s">
        <v>3182</v>
      </c>
      <c r="R152" t="s">
        <v>3116</v>
      </c>
      <c r="T152" t="e">
        <f>VLOOKUP(C152,'Legal &amp; Wrt.off'!C:C,1,0)</f>
        <v>#N/A</v>
      </c>
    </row>
    <row r="153" spans="1:20" hidden="1" x14ac:dyDescent="0.35">
      <c r="A153" t="s">
        <v>2016</v>
      </c>
      <c r="B153" t="s">
        <v>100</v>
      </c>
      <c r="C153" t="s">
        <v>1123</v>
      </c>
      <c r="D153" t="s">
        <v>1124</v>
      </c>
      <c r="E153" s="16">
        <v>0.25468810000000003</v>
      </c>
      <c r="F153" s="4">
        <v>0</v>
      </c>
      <c r="G153" s="17">
        <v>0.25468810000000003</v>
      </c>
      <c r="H153" s="4">
        <v>0.25468810000000003</v>
      </c>
      <c r="I153" s="4">
        <v>0</v>
      </c>
      <c r="J153" s="4">
        <v>0</v>
      </c>
      <c r="K153" s="4">
        <v>0</v>
      </c>
      <c r="L153" s="4">
        <f t="shared" si="2"/>
        <v>0</v>
      </c>
      <c r="M153" s="4"/>
      <c r="N153" s="4" t="s">
        <v>3177</v>
      </c>
      <c r="P153" s="29" t="s">
        <v>3699</v>
      </c>
      <c r="R153" t="s">
        <v>2007</v>
      </c>
      <c r="T153" t="e">
        <f>VLOOKUP(C153,'Legal &amp; Wrt.off'!C:C,1,0)</f>
        <v>#N/A</v>
      </c>
    </row>
    <row r="154" spans="1:20" hidden="1" x14ac:dyDescent="0.35">
      <c r="A154" t="s">
        <v>2016</v>
      </c>
      <c r="B154" t="s">
        <v>41</v>
      </c>
      <c r="C154" t="s">
        <v>1151</v>
      </c>
      <c r="D154" t="s">
        <v>1152</v>
      </c>
      <c r="E154" s="16">
        <v>0.75346410000000008</v>
      </c>
      <c r="F154" s="4">
        <v>0</v>
      </c>
      <c r="G154" s="17">
        <v>0.75346410000000008</v>
      </c>
      <c r="H154" s="4">
        <v>0</v>
      </c>
      <c r="I154" s="4">
        <v>0</v>
      </c>
      <c r="J154" s="4">
        <v>0.75346410000000008</v>
      </c>
      <c r="K154" s="4">
        <v>0</v>
      </c>
      <c r="L154" s="4">
        <f t="shared" si="2"/>
        <v>0.75346410000000008</v>
      </c>
      <c r="M154" s="4"/>
      <c r="N154" s="4">
        <v>0</v>
      </c>
      <c r="O154" s="19">
        <v>46170</v>
      </c>
      <c r="P154" s="29" t="s">
        <v>3700</v>
      </c>
      <c r="R154" t="s">
        <v>2007</v>
      </c>
      <c r="T154" t="e">
        <f>VLOOKUP(C154,'Legal &amp; Wrt.off'!C:C,1,0)</f>
        <v>#N/A</v>
      </c>
    </row>
    <row r="155" spans="1:20" hidden="1" x14ac:dyDescent="0.35">
      <c r="A155" t="s">
        <v>2017</v>
      </c>
      <c r="B155" t="s">
        <v>210</v>
      </c>
      <c r="C155" t="s">
        <v>1153</v>
      </c>
      <c r="D155" t="s">
        <v>1154</v>
      </c>
      <c r="E155" s="16">
        <v>0.11090059999999999</v>
      </c>
      <c r="F155" s="4">
        <v>0</v>
      </c>
      <c r="G155" s="17">
        <v>0.11090059999999999</v>
      </c>
      <c r="H155" s="4">
        <v>0</v>
      </c>
      <c r="I155" s="4">
        <v>0</v>
      </c>
      <c r="J155" s="4">
        <v>0.11090059999999999</v>
      </c>
      <c r="K155" s="4">
        <v>0</v>
      </c>
      <c r="L155" s="4">
        <f t="shared" si="2"/>
        <v>0.11090059999999999</v>
      </c>
      <c r="M155" s="4"/>
      <c r="N155" s="4" t="s">
        <v>3133</v>
      </c>
      <c r="O155" s="19">
        <v>46167</v>
      </c>
      <c r="P155" s="29" t="s">
        <v>3715</v>
      </c>
      <c r="R155" t="s">
        <v>2007</v>
      </c>
      <c r="T155" t="e">
        <f>VLOOKUP(C155,'Legal &amp; Wrt.off'!C:C,1,0)</f>
        <v>#N/A</v>
      </c>
    </row>
    <row r="156" spans="1:20" hidden="1" x14ac:dyDescent="0.35">
      <c r="A156" t="s">
        <v>2016</v>
      </c>
      <c r="B156" t="s">
        <v>41</v>
      </c>
      <c r="C156" t="s">
        <v>1157</v>
      </c>
      <c r="D156" t="s">
        <v>1158</v>
      </c>
      <c r="E156" s="16">
        <v>1.8218551999999999</v>
      </c>
      <c r="F156" s="4">
        <v>0</v>
      </c>
      <c r="G156" s="17">
        <v>1.8218551999999999</v>
      </c>
      <c r="H156" s="4">
        <v>0</v>
      </c>
      <c r="I156" s="4">
        <v>0</v>
      </c>
      <c r="J156" s="4">
        <v>1.8218551999999999</v>
      </c>
      <c r="K156" s="4">
        <v>0</v>
      </c>
      <c r="L156" s="4">
        <f t="shared" si="2"/>
        <v>1.8218551999999999</v>
      </c>
      <c r="M156" s="4"/>
      <c r="N156" s="4" t="s">
        <v>3183</v>
      </c>
      <c r="P156" s="29" t="s">
        <v>3700</v>
      </c>
      <c r="R156" t="s">
        <v>2007</v>
      </c>
      <c r="T156" t="e">
        <f>VLOOKUP(C156,'Legal &amp; Wrt.off'!C:C,1,0)</f>
        <v>#N/A</v>
      </c>
    </row>
    <row r="157" spans="1:20" hidden="1" x14ac:dyDescent="0.35">
      <c r="A157" t="s">
        <v>2016</v>
      </c>
      <c r="B157" t="s">
        <v>41</v>
      </c>
      <c r="C157" t="s">
        <v>1159</v>
      </c>
      <c r="D157" t="s">
        <v>1160</v>
      </c>
      <c r="E157" s="16">
        <v>5.8940742000000004</v>
      </c>
      <c r="F157" s="4">
        <v>0</v>
      </c>
      <c r="G157" s="17">
        <v>5.8940742000000004</v>
      </c>
      <c r="H157" s="4">
        <v>0</v>
      </c>
      <c r="I157" s="4">
        <v>0</v>
      </c>
      <c r="J157" s="4">
        <v>5.8940742000000004</v>
      </c>
      <c r="K157" s="4">
        <v>0</v>
      </c>
      <c r="L157" s="4">
        <f t="shared" si="2"/>
        <v>5.8940742000000004</v>
      </c>
      <c r="M157" s="4"/>
      <c r="N157" s="4" t="s">
        <v>3184</v>
      </c>
      <c r="O157" s="19">
        <v>46171</v>
      </c>
      <c r="P157" s="29" t="s">
        <v>3700</v>
      </c>
      <c r="R157" t="s">
        <v>2007</v>
      </c>
      <c r="T157" t="e">
        <f>VLOOKUP(C157,'Legal &amp; Wrt.off'!C:C,1,0)</f>
        <v>#N/A</v>
      </c>
    </row>
    <row r="158" spans="1:20" hidden="1" x14ac:dyDescent="0.35">
      <c r="A158" t="s">
        <v>2017</v>
      </c>
      <c r="B158" t="s">
        <v>33</v>
      </c>
      <c r="C158" t="s">
        <v>1161</v>
      </c>
      <c r="D158" t="s">
        <v>1162</v>
      </c>
      <c r="E158" s="16">
        <v>5.8648864000000005</v>
      </c>
      <c r="F158" s="4">
        <v>0</v>
      </c>
      <c r="G158" s="17">
        <v>5.8648864000000005</v>
      </c>
      <c r="H158" s="4">
        <v>0</v>
      </c>
      <c r="I158" s="4">
        <v>0</v>
      </c>
      <c r="J158" s="4">
        <v>5.8648864000000005</v>
      </c>
      <c r="K158" s="4">
        <v>0</v>
      </c>
      <c r="L158" s="4">
        <f t="shared" si="2"/>
        <v>5.8648864000000005</v>
      </c>
      <c r="M158" s="4"/>
      <c r="N158" s="4" t="s">
        <v>3146</v>
      </c>
      <c r="O158" s="19">
        <v>46183</v>
      </c>
      <c r="P158" s="29" t="s">
        <v>3718</v>
      </c>
      <c r="Q158" s="19" t="s">
        <v>3719</v>
      </c>
      <c r="R158" t="s">
        <v>2007</v>
      </c>
      <c r="T158" t="e">
        <f>VLOOKUP(C158,'Legal &amp; Wrt.off'!C:C,1,0)</f>
        <v>#N/A</v>
      </c>
    </row>
    <row r="159" spans="1:20" hidden="1" x14ac:dyDescent="0.35">
      <c r="A159" t="s">
        <v>2017</v>
      </c>
      <c r="B159" t="s">
        <v>19</v>
      </c>
      <c r="C159" t="s">
        <v>1165</v>
      </c>
      <c r="D159" t="s">
        <v>1166</v>
      </c>
      <c r="E159" s="16">
        <v>3.9429059999999998</v>
      </c>
      <c r="F159" s="4">
        <v>3.8921946000000003</v>
      </c>
      <c r="G159" s="17">
        <v>5.0711399999999004E-2</v>
      </c>
      <c r="H159" s="4">
        <v>0</v>
      </c>
      <c r="I159" s="4">
        <v>0</v>
      </c>
      <c r="J159" s="4">
        <v>5.0711399999999004E-2</v>
      </c>
      <c r="K159" s="4">
        <v>0</v>
      </c>
      <c r="L159" s="4">
        <f t="shared" si="2"/>
        <v>5.0711399999999004E-2</v>
      </c>
      <c r="M159" s="4"/>
      <c r="N159" s="4" t="s">
        <v>3141</v>
      </c>
      <c r="O159" s="19">
        <v>46168</v>
      </c>
      <c r="P159" s="29" t="s">
        <v>3705</v>
      </c>
      <c r="Q159" s="19">
        <v>46188</v>
      </c>
      <c r="R159" t="s">
        <v>2007</v>
      </c>
      <c r="T159" t="e">
        <f>VLOOKUP(C159,'Legal &amp; Wrt.off'!C:C,1,0)</f>
        <v>#N/A</v>
      </c>
    </row>
    <row r="160" spans="1:20" hidden="1" x14ac:dyDescent="0.35">
      <c r="A160" t="s">
        <v>2017</v>
      </c>
      <c r="B160" t="s">
        <v>33</v>
      </c>
      <c r="C160" t="s">
        <v>1167</v>
      </c>
      <c r="D160" t="s">
        <v>1168</v>
      </c>
      <c r="E160" s="16">
        <v>8.1586806000000003</v>
      </c>
      <c r="F160" s="4">
        <v>0</v>
      </c>
      <c r="G160" s="17">
        <v>8.1586806000000003</v>
      </c>
      <c r="H160" s="4">
        <v>2.6424699999999999</v>
      </c>
      <c r="I160" s="4">
        <v>0</v>
      </c>
      <c r="J160" s="4">
        <v>5.5162106000000009</v>
      </c>
      <c r="K160" s="4">
        <v>0</v>
      </c>
      <c r="L160" s="4">
        <f t="shared" si="2"/>
        <v>5.5162106000000009</v>
      </c>
      <c r="M160" s="4"/>
      <c r="N160" s="4" t="s">
        <v>3147</v>
      </c>
      <c r="O160" s="19">
        <v>46188</v>
      </c>
      <c r="P160" s="29" t="s">
        <v>3718</v>
      </c>
      <c r="Q160" s="19" t="s">
        <v>3723</v>
      </c>
      <c r="R160" t="s">
        <v>2007</v>
      </c>
      <c r="T160" t="e">
        <f>VLOOKUP(C160,'Legal &amp; Wrt.off'!C:C,1,0)</f>
        <v>#N/A</v>
      </c>
    </row>
    <row r="161" spans="1:20" hidden="1" x14ac:dyDescent="0.35">
      <c r="A161" t="s">
        <v>2019</v>
      </c>
      <c r="B161" t="s">
        <v>16</v>
      </c>
      <c r="C161" t="s">
        <v>1169</v>
      </c>
      <c r="D161" t="s">
        <v>1170</v>
      </c>
      <c r="E161" s="16">
        <v>0.32897179999999998</v>
      </c>
      <c r="F161" s="4">
        <v>0.31828619999999996</v>
      </c>
      <c r="G161" s="17">
        <v>1.06856E-2</v>
      </c>
      <c r="H161" s="4">
        <v>1.06856E-2</v>
      </c>
      <c r="I161" s="4">
        <v>0</v>
      </c>
      <c r="J161" s="4">
        <v>0</v>
      </c>
      <c r="K161" s="4">
        <v>0</v>
      </c>
      <c r="L161" s="4">
        <f t="shared" si="2"/>
        <v>0</v>
      </c>
      <c r="M161" s="4"/>
      <c r="N161" s="4" t="s">
        <v>3188</v>
      </c>
      <c r="P161" s="29" t="s">
        <v>3742</v>
      </c>
      <c r="R161" t="s">
        <v>3116</v>
      </c>
      <c r="T161" t="e">
        <f>VLOOKUP(C161,'Legal &amp; Wrt.off'!C:C,1,0)</f>
        <v>#N/A</v>
      </c>
    </row>
    <row r="162" spans="1:20" hidden="1" x14ac:dyDescent="0.35">
      <c r="A162" t="s">
        <v>2017</v>
      </c>
      <c r="B162" t="s">
        <v>55</v>
      </c>
      <c r="C162" t="s">
        <v>1175</v>
      </c>
      <c r="D162" t="s">
        <v>1176</v>
      </c>
      <c r="E162" s="16">
        <v>0.41092809999999996</v>
      </c>
      <c r="F162" s="4">
        <v>0.40352460000000001</v>
      </c>
      <c r="G162" s="17">
        <v>7.4035000000000004E-3</v>
      </c>
      <c r="H162" s="4">
        <v>0</v>
      </c>
      <c r="I162" s="4">
        <v>0</v>
      </c>
      <c r="J162" s="4">
        <v>7.4035000000000004E-3</v>
      </c>
      <c r="K162" s="4">
        <v>0</v>
      </c>
      <c r="L162" s="4">
        <f t="shared" si="2"/>
        <v>7.4035000000000004E-3</v>
      </c>
      <c r="M162" s="4"/>
      <c r="N162" s="4" t="s">
        <v>3122</v>
      </c>
      <c r="P162" s="29" t="s">
        <v>3122</v>
      </c>
      <c r="R162" t="s">
        <v>2007</v>
      </c>
      <c r="T162" t="e">
        <f>VLOOKUP(C162,'Legal &amp; Wrt.off'!C:C,1,0)</f>
        <v>#N/A</v>
      </c>
    </row>
    <row r="163" spans="1:20" hidden="1" x14ac:dyDescent="0.35">
      <c r="A163" t="s">
        <v>2017</v>
      </c>
      <c r="B163" t="s">
        <v>55</v>
      </c>
      <c r="C163" t="s">
        <v>1185</v>
      </c>
      <c r="D163" t="s">
        <v>1186</v>
      </c>
      <c r="E163" s="16">
        <v>7.8981800000000005E-2</v>
      </c>
      <c r="F163" s="4">
        <v>0</v>
      </c>
      <c r="G163" s="17">
        <v>7.8981800000000005E-2</v>
      </c>
      <c r="H163" s="4">
        <v>7.8981800000000005E-2</v>
      </c>
      <c r="I163" s="4">
        <v>0</v>
      </c>
      <c r="J163" s="4">
        <v>0</v>
      </c>
      <c r="K163" s="4">
        <v>0</v>
      </c>
      <c r="L163" s="4">
        <f t="shared" si="2"/>
        <v>0</v>
      </c>
      <c r="M163" s="4"/>
      <c r="N163" s="4" t="s">
        <v>3114</v>
      </c>
      <c r="P163" s="29" t="s">
        <v>3122</v>
      </c>
      <c r="R163" t="s">
        <v>3116</v>
      </c>
      <c r="T163" t="e">
        <f>VLOOKUP(C163,'Legal &amp; Wrt.off'!C:C,1,0)</f>
        <v>#N/A</v>
      </c>
    </row>
    <row r="164" spans="1:20" hidden="1" x14ac:dyDescent="0.35">
      <c r="A164" t="s">
        <v>2017</v>
      </c>
      <c r="B164" t="s">
        <v>19</v>
      </c>
      <c r="C164" t="s">
        <v>1187</v>
      </c>
      <c r="D164" t="s">
        <v>1188</v>
      </c>
      <c r="E164" s="16">
        <v>9.3590000000000895E-3</v>
      </c>
      <c r="F164" s="4">
        <v>0</v>
      </c>
      <c r="G164" s="17">
        <v>9.3590000000000895E-3</v>
      </c>
      <c r="H164" s="4">
        <v>0</v>
      </c>
      <c r="I164" s="4">
        <v>0</v>
      </c>
      <c r="J164" s="4">
        <v>9.3590000000000895E-3</v>
      </c>
      <c r="K164" s="4">
        <v>0</v>
      </c>
      <c r="L164" s="4">
        <f t="shared" si="2"/>
        <v>9.3590000000000895E-3</v>
      </c>
      <c r="M164" s="4"/>
      <c r="N164" s="4" t="s">
        <v>3148</v>
      </c>
      <c r="O164" s="19">
        <v>46167</v>
      </c>
      <c r="P164" s="29" t="s">
        <v>3705</v>
      </c>
      <c r="Q164" s="19">
        <v>46188</v>
      </c>
      <c r="R164" t="s">
        <v>2007</v>
      </c>
      <c r="T164" t="e">
        <f>VLOOKUP(C164,'Legal &amp; Wrt.off'!C:C,1,0)</f>
        <v>#N/A</v>
      </c>
    </row>
    <row r="165" spans="1:20" hidden="1" x14ac:dyDescent="0.35">
      <c r="A165" t="s">
        <v>2017</v>
      </c>
      <c r="B165" t="s">
        <v>210</v>
      </c>
      <c r="C165" t="s">
        <v>1189</v>
      </c>
      <c r="D165" t="s">
        <v>1190</v>
      </c>
      <c r="E165" s="16">
        <v>6.5745456999999998</v>
      </c>
      <c r="F165" s="4">
        <v>5.5392662000000001</v>
      </c>
      <c r="G165" s="17">
        <v>1.0352794999999999</v>
      </c>
      <c r="H165" s="4">
        <v>1.0352794999999999</v>
      </c>
      <c r="I165" s="4">
        <v>0</v>
      </c>
      <c r="J165" s="4">
        <v>0</v>
      </c>
      <c r="K165" s="4">
        <v>0</v>
      </c>
      <c r="L165" s="4">
        <f t="shared" si="2"/>
        <v>0</v>
      </c>
      <c r="M165" s="4"/>
      <c r="N165" s="4" t="s">
        <v>3149</v>
      </c>
      <c r="O165" s="19">
        <v>46167</v>
      </c>
      <c r="R165" t="s">
        <v>2007</v>
      </c>
      <c r="T165" t="e">
        <f>VLOOKUP(C165,'Legal &amp; Wrt.off'!C:C,1,0)</f>
        <v>#N/A</v>
      </c>
    </row>
    <row r="166" spans="1:20" hidden="1" x14ac:dyDescent="0.35">
      <c r="A166" t="s">
        <v>2017</v>
      </c>
      <c r="B166" t="s">
        <v>88</v>
      </c>
      <c r="C166" t="s">
        <v>1191</v>
      </c>
      <c r="D166" t="s">
        <v>1192</v>
      </c>
      <c r="E166" s="16">
        <v>5.6930999999999805E-3</v>
      </c>
      <c r="F166" s="4">
        <v>0</v>
      </c>
      <c r="G166" s="17">
        <v>5.6930999999999805E-3</v>
      </c>
      <c r="H166" s="4">
        <v>5.6930999999999805E-3</v>
      </c>
      <c r="I166" s="4">
        <v>0</v>
      </c>
      <c r="J166" s="4">
        <v>0</v>
      </c>
      <c r="K166" s="4">
        <v>0</v>
      </c>
      <c r="L166" s="4">
        <f t="shared" si="2"/>
        <v>0</v>
      </c>
      <c r="M166" s="4"/>
      <c r="N166" s="4" t="s">
        <v>3144</v>
      </c>
      <c r="P166" s="29" t="s">
        <v>3707</v>
      </c>
      <c r="R166" t="s">
        <v>3117</v>
      </c>
      <c r="T166" t="e">
        <f>VLOOKUP(C166,'Legal &amp; Wrt.off'!C:C,1,0)</f>
        <v>#N/A</v>
      </c>
    </row>
    <row r="167" spans="1:20" x14ac:dyDescent="0.35">
      <c r="A167" t="s">
        <v>2017</v>
      </c>
      <c r="B167" t="s">
        <v>33</v>
      </c>
      <c r="C167" t="s">
        <v>1193</v>
      </c>
      <c r="D167" t="s">
        <v>1194</v>
      </c>
      <c r="E167" s="16">
        <v>0.71491070000000012</v>
      </c>
      <c r="F167" s="4">
        <v>0</v>
      </c>
      <c r="G167" s="17">
        <v>0.71491070000000012</v>
      </c>
      <c r="H167" s="4">
        <v>0</v>
      </c>
      <c r="I167" s="4">
        <v>0</v>
      </c>
      <c r="J167" s="4">
        <v>0.7149106999999999</v>
      </c>
      <c r="K167" s="4">
        <v>0</v>
      </c>
      <c r="L167" s="4">
        <f t="shared" si="2"/>
        <v>0.7149106999999999</v>
      </c>
      <c r="M167" s="4"/>
      <c r="N167" s="4" t="s">
        <v>3132</v>
      </c>
      <c r="O167" s="19">
        <v>46172</v>
      </c>
      <c r="P167" s="29" t="s">
        <v>3718</v>
      </c>
      <c r="Q167" s="19" t="s">
        <v>3721</v>
      </c>
      <c r="R167" t="s">
        <v>2007</v>
      </c>
      <c r="T167" t="e">
        <f>VLOOKUP(C167,'Legal &amp; Wrt.off'!C:C,1,0)</f>
        <v>#N/A</v>
      </c>
    </row>
    <row r="168" spans="1:20" hidden="1" x14ac:dyDescent="0.35">
      <c r="A168" t="s">
        <v>2019</v>
      </c>
      <c r="B168" t="s">
        <v>46</v>
      </c>
      <c r="C168" t="s">
        <v>1199</v>
      </c>
      <c r="D168" t="s">
        <v>1200</v>
      </c>
      <c r="E168" s="16">
        <v>1.0076563999999999</v>
      </c>
      <c r="F168" s="4">
        <v>0</v>
      </c>
      <c r="G168" s="17">
        <v>1.0076563999999999</v>
      </c>
      <c r="H168" s="4">
        <v>0</v>
      </c>
      <c r="I168" s="4">
        <v>0</v>
      </c>
      <c r="J168" s="4">
        <v>1.0076563999999999</v>
      </c>
      <c r="K168" s="4">
        <v>0</v>
      </c>
      <c r="L168" s="4">
        <f t="shared" si="2"/>
        <v>1.0076563999999999</v>
      </c>
      <c r="M168" s="4"/>
      <c r="N168" s="4" t="s">
        <v>3190</v>
      </c>
      <c r="O168" s="19">
        <v>46167</v>
      </c>
      <c r="P168" s="29" t="s">
        <v>3750</v>
      </c>
      <c r="Q168" s="19">
        <v>46181</v>
      </c>
      <c r="R168" t="s">
        <v>2007</v>
      </c>
      <c r="T168" t="e">
        <f>VLOOKUP(C168,'Legal &amp; Wrt.off'!C:C,1,0)</f>
        <v>#N/A</v>
      </c>
    </row>
    <row r="169" spans="1:20" hidden="1" x14ac:dyDescent="0.35">
      <c r="A169" t="s">
        <v>2017</v>
      </c>
      <c r="B169" t="s">
        <v>19</v>
      </c>
      <c r="C169" t="s">
        <v>1203</v>
      </c>
      <c r="D169" t="s">
        <v>1204</v>
      </c>
      <c r="E169" s="16">
        <v>3.0198699999999998E-2</v>
      </c>
      <c r="F169" s="4">
        <v>0</v>
      </c>
      <c r="G169" s="17">
        <v>3.0198699999999998E-2</v>
      </c>
      <c r="H169" s="4">
        <v>0</v>
      </c>
      <c r="I169" s="4">
        <v>0</v>
      </c>
      <c r="J169" s="4">
        <v>3.0198699999999998E-2</v>
      </c>
      <c r="K169" s="4">
        <v>0</v>
      </c>
      <c r="L169" s="4">
        <f t="shared" si="2"/>
        <v>3.0198699999999998E-2</v>
      </c>
      <c r="M169" s="4"/>
      <c r="N169" s="4" t="s">
        <v>3141</v>
      </c>
      <c r="O169" s="19">
        <v>46168</v>
      </c>
      <c r="P169" s="29" t="s">
        <v>3705</v>
      </c>
      <c r="Q169" s="19">
        <v>46188</v>
      </c>
      <c r="R169" t="s">
        <v>2007</v>
      </c>
      <c r="T169" t="e">
        <f>VLOOKUP(C169,'Legal &amp; Wrt.off'!C:C,1,0)</f>
        <v>#N/A</v>
      </c>
    </row>
    <row r="170" spans="1:20" hidden="1" x14ac:dyDescent="0.35">
      <c r="A170" t="s">
        <v>2016</v>
      </c>
      <c r="B170" t="s">
        <v>100</v>
      </c>
      <c r="C170" t="s">
        <v>1211</v>
      </c>
      <c r="D170" t="s">
        <v>1212</v>
      </c>
      <c r="E170" s="16">
        <v>1.15005E-2</v>
      </c>
      <c r="F170" s="4">
        <v>0</v>
      </c>
      <c r="G170" s="17">
        <v>1.15005E-2</v>
      </c>
      <c r="H170" s="4">
        <v>0</v>
      </c>
      <c r="I170" s="4">
        <v>0</v>
      </c>
      <c r="J170" s="4">
        <v>1.15005E-2</v>
      </c>
      <c r="K170" s="4">
        <v>0</v>
      </c>
      <c r="L170" s="4">
        <f t="shared" si="2"/>
        <v>1.15005E-2</v>
      </c>
      <c r="M170" s="4"/>
      <c r="N170" s="4" t="s">
        <v>3177</v>
      </c>
      <c r="P170" s="29" t="s">
        <v>3177</v>
      </c>
      <c r="R170" t="s">
        <v>2007</v>
      </c>
      <c r="T170" t="e">
        <f>VLOOKUP(C170,'Legal &amp; Wrt.off'!C:C,1,0)</f>
        <v>#N/A</v>
      </c>
    </row>
    <row r="171" spans="1:20" hidden="1" x14ac:dyDescent="0.35">
      <c r="A171" t="s">
        <v>2017</v>
      </c>
      <c r="B171" t="s">
        <v>19</v>
      </c>
      <c r="C171" t="s">
        <v>1213</v>
      </c>
      <c r="D171" t="s">
        <v>1214</v>
      </c>
      <c r="E171" s="16">
        <v>1.1439036999999999</v>
      </c>
      <c r="F171" s="4">
        <v>1.1324448</v>
      </c>
      <c r="G171" s="17">
        <v>1.1458900000000001E-2</v>
      </c>
      <c r="H171" s="4">
        <v>1.1458900000000001E-2</v>
      </c>
      <c r="I171" s="4">
        <v>0</v>
      </c>
      <c r="J171" s="4">
        <v>0</v>
      </c>
      <c r="K171" s="4">
        <v>0</v>
      </c>
      <c r="L171" s="4">
        <f t="shared" si="2"/>
        <v>0</v>
      </c>
      <c r="M171" s="4"/>
      <c r="N171" s="4" t="s">
        <v>3123</v>
      </c>
      <c r="O171" s="19">
        <v>46172</v>
      </c>
      <c r="P171" s="29" t="s">
        <v>3705</v>
      </c>
      <c r="Q171" s="19">
        <v>46188</v>
      </c>
      <c r="R171" t="s">
        <v>2007</v>
      </c>
      <c r="T171" t="e">
        <f>VLOOKUP(C171,'Legal &amp; Wrt.off'!C:C,1,0)</f>
        <v>#N/A</v>
      </c>
    </row>
    <row r="172" spans="1:20" hidden="1" x14ac:dyDescent="0.35">
      <c r="A172" t="s">
        <v>2019</v>
      </c>
      <c r="B172" t="s">
        <v>46</v>
      </c>
      <c r="C172" t="s">
        <v>1215</v>
      </c>
      <c r="D172" t="s">
        <v>1216</v>
      </c>
      <c r="E172" s="16">
        <v>0.54238419999999998</v>
      </c>
      <c r="F172" s="4">
        <v>0.29965400000000003</v>
      </c>
      <c r="G172" s="17">
        <v>0.24273020000000001</v>
      </c>
      <c r="H172" s="4">
        <v>0.24273020000000001</v>
      </c>
      <c r="I172" s="4">
        <v>0</v>
      </c>
      <c r="J172" s="4">
        <v>0</v>
      </c>
      <c r="K172" s="4">
        <v>0</v>
      </c>
      <c r="L172" s="4">
        <f t="shared" si="2"/>
        <v>0</v>
      </c>
      <c r="M172" s="4"/>
      <c r="N172" s="4" t="s">
        <v>3203</v>
      </c>
      <c r="P172" s="29" t="s">
        <v>3751</v>
      </c>
      <c r="Q172" s="19">
        <v>46181</v>
      </c>
      <c r="R172" t="s">
        <v>3116</v>
      </c>
      <c r="T172" t="e">
        <f>VLOOKUP(C172,'Legal &amp; Wrt.off'!C:C,1,0)</f>
        <v>#N/A</v>
      </c>
    </row>
    <row r="173" spans="1:20" hidden="1" x14ac:dyDescent="0.35">
      <c r="A173" t="s">
        <v>2017</v>
      </c>
      <c r="B173" t="s">
        <v>55</v>
      </c>
      <c r="C173" t="s">
        <v>1217</v>
      </c>
      <c r="D173" t="s">
        <v>1218</v>
      </c>
      <c r="E173" s="16">
        <v>0.22076400000000002</v>
      </c>
      <c r="F173" s="4">
        <v>0</v>
      </c>
      <c r="G173" s="17">
        <v>0.22076400000000002</v>
      </c>
      <c r="H173" s="4">
        <v>0</v>
      </c>
      <c r="I173" s="4">
        <v>0</v>
      </c>
      <c r="J173" s="4">
        <v>0.22076400000000002</v>
      </c>
      <c r="K173" s="4">
        <v>0</v>
      </c>
      <c r="L173" s="4">
        <f t="shared" si="2"/>
        <v>0.22076400000000002</v>
      </c>
      <c r="M173" s="4"/>
      <c r="N173" s="4" t="s">
        <v>3150</v>
      </c>
      <c r="P173" s="29" t="s">
        <v>3150</v>
      </c>
      <c r="R173" t="s">
        <v>2014</v>
      </c>
      <c r="T173" t="e">
        <f>VLOOKUP(C173,'Legal &amp; Wrt.off'!C:C,1,0)</f>
        <v>#N/A</v>
      </c>
    </row>
    <row r="174" spans="1:20" hidden="1" x14ac:dyDescent="0.35">
      <c r="A174" t="s">
        <v>2017</v>
      </c>
      <c r="B174" t="s">
        <v>55</v>
      </c>
      <c r="C174" t="s">
        <v>1219</v>
      </c>
      <c r="D174" t="s">
        <v>1220</v>
      </c>
      <c r="E174" s="16">
        <v>2.3038737</v>
      </c>
      <c r="F174" s="4">
        <v>1.0242046</v>
      </c>
      <c r="G174" s="17">
        <v>1.2796691</v>
      </c>
      <c r="H174" s="4">
        <v>1.2796691</v>
      </c>
      <c r="I174" s="4">
        <v>0</v>
      </c>
      <c r="J174" s="4">
        <v>0</v>
      </c>
      <c r="K174" s="4">
        <v>0</v>
      </c>
      <c r="L174" s="4">
        <f t="shared" si="2"/>
        <v>0</v>
      </c>
      <c r="M174" s="4"/>
      <c r="N174" s="4" t="s">
        <v>3129</v>
      </c>
      <c r="O174" s="19">
        <v>46171</v>
      </c>
      <c r="P174" s="29" t="s">
        <v>3705</v>
      </c>
      <c r="Q174" s="19">
        <v>46188</v>
      </c>
      <c r="R174" t="s">
        <v>2007</v>
      </c>
      <c r="T174" t="e">
        <f>VLOOKUP(C174,'Legal &amp; Wrt.off'!C:C,1,0)</f>
        <v>#N/A</v>
      </c>
    </row>
    <row r="175" spans="1:20" hidden="1" x14ac:dyDescent="0.35">
      <c r="A175" t="s">
        <v>2016</v>
      </c>
      <c r="B175" t="s">
        <v>100</v>
      </c>
      <c r="C175" t="s">
        <v>1223</v>
      </c>
      <c r="D175" t="s">
        <v>1224</v>
      </c>
      <c r="E175" s="16">
        <v>1.54392E-2</v>
      </c>
      <c r="F175" s="4">
        <v>0</v>
      </c>
      <c r="G175" s="17">
        <v>1.54392E-2</v>
      </c>
      <c r="H175" s="4">
        <v>0</v>
      </c>
      <c r="I175" s="4">
        <v>0</v>
      </c>
      <c r="J175" s="4">
        <v>1.54392E-2</v>
      </c>
      <c r="K175" s="4">
        <v>0</v>
      </c>
      <c r="L175" s="4">
        <f t="shared" si="2"/>
        <v>1.54392E-2</v>
      </c>
      <c r="M175" s="4"/>
      <c r="N175" s="4" t="s">
        <v>3177</v>
      </c>
      <c r="P175" s="29" t="s">
        <v>3177</v>
      </c>
      <c r="R175" t="s">
        <v>2007</v>
      </c>
      <c r="T175" t="e">
        <f>VLOOKUP(C175,'Legal &amp; Wrt.off'!C:C,1,0)</f>
        <v>#N/A</v>
      </c>
    </row>
    <row r="176" spans="1:20" hidden="1" x14ac:dyDescent="0.35">
      <c r="A176" t="s">
        <v>2017</v>
      </c>
      <c r="B176" t="s">
        <v>19</v>
      </c>
      <c r="C176" t="s">
        <v>1225</v>
      </c>
      <c r="D176" t="s">
        <v>1226</v>
      </c>
      <c r="E176" s="16">
        <v>0.35422480000000001</v>
      </c>
      <c r="F176" s="4">
        <v>0</v>
      </c>
      <c r="G176" s="17">
        <v>0.35422480000000001</v>
      </c>
      <c r="H176" s="4">
        <v>0</v>
      </c>
      <c r="I176" s="4">
        <v>0</v>
      </c>
      <c r="J176" s="4">
        <v>0.35422480000000001</v>
      </c>
      <c r="K176" s="4">
        <v>0</v>
      </c>
      <c r="L176" s="4">
        <f t="shared" si="2"/>
        <v>0.35422480000000001</v>
      </c>
      <c r="M176" s="4"/>
      <c r="N176" s="4" t="s">
        <v>3151</v>
      </c>
      <c r="O176" s="19">
        <v>46170</v>
      </c>
      <c r="P176" s="29" t="s">
        <v>3724</v>
      </c>
      <c r="Q176" s="19">
        <v>46172</v>
      </c>
      <c r="R176" t="s">
        <v>2007</v>
      </c>
      <c r="T176" t="e">
        <f>VLOOKUP(C176,'Legal &amp; Wrt.off'!C:C,1,0)</f>
        <v>#N/A</v>
      </c>
    </row>
    <row r="177" spans="1:20" hidden="1" x14ac:dyDescent="0.35">
      <c r="A177" t="s">
        <v>2018</v>
      </c>
      <c r="B177" t="s">
        <v>275</v>
      </c>
      <c r="C177" t="s">
        <v>1229</v>
      </c>
      <c r="D177" t="s">
        <v>1230</v>
      </c>
      <c r="E177" s="16">
        <v>18.661082499999999</v>
      </c>
      <c r="F177" s="4">
        <v>4.9234720000000003</v>
      </c>
      <c r="G177" s="17">
        <v>13.737610500000001</v>
      </c>
      <c r="H177" s="4">
        <v>13.737610500000001</v>
      </c>
      <c r="I177" s="4">
        <v>0</v>
      </c>
      <c r="J177" s="4">
        <v>0</v>
      </c>
      <c r="K177" s="4">
        <v>0</v>
      </c>
      <c r="L177" s="4">
        <f t="shared" si="2"/>
        <v>0</v>
      </c>
      <c r="M177" s="4"/>
      <c r="N177" s="4" t="s">
        <v>3427</v>
      </c>
      <c r="O177" s="19">
        <v>46164</v>
      </c>
      <c r="R177" t="s">
        <v>2007</v>
      </c>
      <c r="T177" t="e">
        <f>VLOOKUP(C177,'Legal &amp; Wrt.off'!C:C,1,0)</f>
        <v>#N/A</v>
      </c>
    </row>
    <row r="178" spans="1:20" hidden="1" x14ac:dyDescent="0.35">
      <c r="A178" t="s">
        <v>2016</v>
      </c>
      <c r="B178" t="s">
        <v>41</v>
      </c>
      <c r="C178" t="s">
        <v>1233</v>
      </c>
      <c r="D178" t="s">
        <v>1234</v>
      </c>
      <c r="E178" s="16">
        <v>0.73581580000000002</v>
      </c>
      <c r="F178" s="4">
        <v>0</v>
      </c>
      <c r="G178" s="17">
        <v>0.73581580000000002</v>
      </c>
      <c r="H178" s="4">
        <v>5.9000000000000003E-4</v>
      </c>
      <c r="I178" s="4">
        <v>0.73522580000000004</v>
      </c>
      <c r="J178" s="4">
        <v>0</v>
      </c>
      <c r="K178" s="4">
        <v>0</v>
      </c>
      <c r="L178" s="4">
        <f t="shared" si="2"/>
        <v>0.73522580000000004</v>
      </c>
      <c r="M178" s="4"/>
      <c r="N178" s="4" t="s">
        <v>3179</v>
      </c>
      <c r="O178" s="19">
        <v>46168</v>
      </c>
      <c r="P178" s="29" t="s">
        <v>3700</v>
      </c>
      <c r="R178" t="s">
        <v>2007</v>
      </c>
      <c r="T178" t="e">
        <f>VLOOKUP(C178,'Legal &amp; Wrt.off'!C:C,1,0)</f>
        <v>#N/A</v>
      </c>
    </row>
    <row r="179" spans="1:20" hidden="1" x14ac:dyDescent="0.35">
      <c r="A179" t="s">
        <v>2017</v>
      </c>
      <c r="B179" t="s">
        <v>33</v>
      </c>
      <c r="C179" t="s">
        <v>1239</v>
      </c>
      <c r="D179" t="s">
        <v>1240</v>
      </c>
      <c r="E179" s="16">
        <v>1.4763778000000001</v>
      </c>
      <c r="F179" s="4">
        <v>0</v>
      </c>
      <c r="G179" s="17">
        <v>1.4763778000000001</v>
      </c>
      <c r="H179" s="4">
        <v>0</v>
      </c>
      <c r="I179" s="4">
        <v>1.4763778000000001</v>
      </c>
      <c r="J179" s="4">
        <v>0</v>
      </c>
      <c r="K179" s="4">
        <v>0</v>
      </c>
      <c r="L179" s="4">
        <f t="shared" si="2"/>
        <v>1.4763778000000001</v>
      </c>
      <c r="M179" s="4"/>
      <c r="N179" s="4" t="s">
        <v>3132</v>
      </c>
      <c r="O179" s="19">
        <v>46172</v>
      </c>
      <c r="P179" s="29" t="s">
        <v>3718</v>
      </c>
      <c r="Q179" s="19" t="s">
        <v>3721</v>
      </c>
      <c r="R179" t="s">
        <v>2007</v>
      </c>
      <c r="T179" t="e">
        <f>VLOOKUP(C179,'Legal &amp; Wrt.off'!C:C,1,0)</f>
        <v>#N/A</v>
      </c>
    </row>
    <row r="180" spans="1:20" hidden="1" x14ac:dyDescent="0.35">
      <c r="A180" t="s">
        <v>2017</v>
      </c>
      <c r="B180" t="s">
        <v>33</v>
      </c>
      <c r="C180" t="s">
        <v>1241</v>
      </c>
      <c r="D180" t="s">
        <v>1242</v>
      </c>
      <c r="E180" s="16">
        <v>40.913050900000002</v>
      </c>
      <c r="F180" s="4">
        <v>0</v>
      </c>
      <c r="G180" s="17">
        <v>40.913050900000002</v>
      </c>
      <c r="H180" s="4">
        <v>0</v>
      </c>
      <c r="I180" s="4">
        <v>0</v>
      </c>
      <c r="J180" s="4">
        <v>40.913050900000002</v>
      </c>
      <c r="K180" s="4">
        <v>0</v>
      </c>
      <c r="L180" s="4">
        <f t="shared" si="2"/>
        <v>40.913050900000002</v>
      </c>
      <c r="M180" s="4"/>
      <c r="N180" s="4" t="s">
        <v>3152</v>
      </c>
      <c r="P180" s="29" t="s">
        <v>3725</v>
      </c>
      <c r="R180" t="s">
        <v>3118</v>
      </c>
      <c r="T180" t="e">
        <f>VLOOKUP(C180,'Legal &amp; Wrt.off'!C:C,1,0)</f>
        <v>#N/A</v>
      </c>
    </row>
    <row r="181" spans="1:20" hidden="1" x14ac:dyDescent="0.35">
      <c r="A181" t="s">
        <v>2017</v>
      </c>
      <c r="B181" t="s">
        <v>210</v>
      </c>
      <c r="C181" t="s">
        <v>1243</v>
      </c>
      <c r="D181" t="s">
        <v>1244</v>
      </c>
      <c r="E181" s="16">
        <v>4.3615628000000006</v>
      </c>
      <c r="F181" s="4">
        <v>0</v>
      </c>
      <c r="G181" s="17">
        <v>4.3615628000000006</v>
      </c>
      <c r="H181" s="4">
        <v>0</v>
      </c>
      <c r="I181" s="4">
        <v>0</v>
      </c>
      <c r="J181" s="4">
        <v>4.0473493999999999</v>
      </c>
      <c r="K181" s="4">
        <v>0.31421339999999998</v>
      </c>
      <c r="L181" s="4">
        <f t="shared" si="2"/>
        <v>4.3615627999999997</v>
      </c>
      <c r="M181" s="4"/>
      <c r="N181" s="4" t="s">
        <v>3153</v>
      </c>
      <c r="P181" s="29" t="s">
        <v>3153</v>
      </c>
      <c r="R181" t="s">
        <v>3408</v>
      </c>
      <c r="S181" t="s">
        <v>3408</v>
      </c>
      <c r="T181" t="e">
        <f>VLOOKUP(C181,'Legal &amp; Wrt.off'!C:C,1,0)</f>
        <v>#N/A</v>
      </c>
    </row>
    <row r="182" spans="1:20" x14ac:dyDescent="0.35">
      <c r="A182" t="s">
        <v>2018</v>
      </c>
      <c r="B182" t="s">
        <v>169</v>
      </c>
      <c r="C182" t="s">
        <v>1247</v>
      </c>
      <c r="D182" t="s">
        <v>1248</v>
      </c>
      <c r="E182" s="16">
        <v>7.4369719999999999</v>
      </c>
      <c r="F182" s="4">
        <v>0</v>
      </c>
      <c r="G182" s="17">
        <f>7.436972-4.46</f>
        <v>2.976972</v>
      </c>
      <c r="H182" s="4">
        <v>0</v>
      </c>
      <c r="I182" s="4">
        <v>0</v>
      </c>
      <c r="J182" s="4">
        <f>7.436972-4.46</f>
        <v>2.976972</v>
      </c>
      <c r="K182" s="4">
        <v>0</v>
      </c>
      <c r="L182" s="4">
        <f t="shared" si="2"/>
        <v>2.976972</v>
      </c>
      <c r="M182" s="4"/>
      <c r="N182" s="4" t="s">
        <v>3428</v>
      </c>
      <c r="P182" s="29" t="s">
        <v>3428</v>
      </c>
      <c r="Q182" s="19">
        <v>46181</v>
      </c>
      <c r="R182" t="s">
        <v>2007</v>
      </c>
      <c r="T182" t="e">
        <f>VLOOKUP(C182,'Legal &amp; Wrt.off'!C:C,1,0)</f>
        <v>#N/A</v>
      </c>
    </row>
    <row r="183" spans="1:20" x14ac:dyDescent="0.35">
      <c r="A183" t="s">
        <v>2018</v>
      </c>
      <c r="B183" t="s">
        <v>169</v>
      </c>
      <c r="C183" t="s">
        <v>1249</v>
      </c>
      <c r="D183" t="s">
        <v>1250</v>
      </c>
      <c r="E183" s="16">
        <v>3.4691078999999996</v>
      </c>
      <c r="F183" s="4">
        <v>0</v>
      </c>
      <c r="G183" s="17">
        <v>3.4691078999999996</v>
      </c>
      <c r="H183" s="4">
        <v>0</v>
      </c>
      <c r="I183" s="4">
        <v>0</v>
      </c>
      <c r="J183" s="4">
        <v>3.4691079000000005</v>
      </c>
      <c r="K183" s="4">
        <v>0</v>
      </c>
      <c r="L183" s="4">
        <f t="shared" si="2"/>
        <v>3.4691079000000005</v>
      </c>
      <c r="M183" s="4"/>
      <c r="N183" s="4" t="s">
        <v>3429</v>
      </c>
      <c r="P183" s="29" t="s">
        <v>3798</v>
      </c>
      <c r="Q183" s="19">
        <v>46188</v>
      </c>
      <c r="R183" t="s">
        <v>2007</v>
      </c>
      <c r="T183" t="e">
        <f>VLOOKUP(C183,'Legal &amp; Wrt.off'!C:C,1,0)</f>
        <v>#N/A</v>
      </c>
    </row>
    <row r="184" spans="1:20" x14ac:dyDescent="0.35">
      <c r="A184" t="s">
        <v>2018</v>
      </c>
      <c r="B184" t="s">
        <v>169</v>
      </c>
      <c r="C184" t="s">
        <v>1253</v>
      </c>
      <c r="D184" t="s">
        <v>1254</v>
      </c>
      <c r="E184" s="16">
        <v>4.7418215999999997</v>
      </c>
      <c r="F184" s="4">
        <v>0</v>
      </c>
      <c r="G184" s="17">
        <v>4.7418215999999997</v>
      </c>
      <c r="H184" s="4">
        <v>0</v>
      </c>
      <c r="I184" s="4">
        <v>0</v>
      </c>
      <c r="J184" s="4">
        <v>4.7418216000000006</v>
      </c>
      <c r="K184" s="4">
        <v>0</v>
      </c>
      <c r="L184" s="4">
        <f t="shared" si="2"/>
        <v>4.7418216000000006</v>
      </c>
      <c r="M184" s="4"/>
      <c r="N184" s="4" t="s">
        <v>3430</v>
      </c>
      <c r="O184" s="19">
        <v>46183</v>
      </c>
      <c r="P184" s="29" t="s">
        <v>3430</v>
      </c>
      <c r="Q184" s="19">
        <v>46183</v>
      </c>
      <c r="R184" t="s">
        <v>2007</v>
      </c>
      <c r="T184" t="e">
        <f>VLOOKUP(C184,'Legal &amp; Wrt.off'!C:C,1,0)</f>
        <v>#N/A</v>
      </c>
    </row>
    <row r="185" spans="1:20" hidden="1" x14ac:dyDescent="0.35">
      <c r="A185" t="s">
        <v>2017</v>
      </c>
      <c r="B185" t="s">
        <v>33</v>
      </c>
      <c r="C185" t="s">
        <v>1261</v>
      </c>
      <c r="D185" t="s">
        <v>1262</v>
      </c>
      <c r="E185" s="16">
        <v>3.8568910999999999</v>
      </c>
      <c r="F185" s="4">
        <v>0</v>
      </c>
      <c r="G185" s="17">
        <v>3.8568910999999999</v>
      </c>
      <c r="H185" s="4">
        <v>0</v>
      </c>
      <c r="I185" s="4">
        <v>0</v>
      </c>
      <c r="J185" s="4">
        <v>3.8568910999999999</v>
      </c>
      <c r="K185" s="4">
        <v>0</v>
      </c>
      <c r="L185" s="4">
        <f t="shared" si="2"/>
        <v>3.8568910999999999</v>
      </c>
      <c r="M185" s="4"/>
      <c r="N185" s="4" t="s">
        <v>3147</v>
      </c>
      <c r="O185" s="19">
        <v>46188</v>
      </c>
      <c r="P185" s="29" t="s">
        <v>3718</v>
      </c>
      <c r="Q185" s="19" t="s">
        <v>3726</v>
      </c>
      <c r="R185" t="s">
        <v>2007</v>
      </c>
      <c r="T185" t="e">
        <f>VLOOKUP(C185,'Legal &amp; Wrt.off'!C:C,1,0)</f>
        <v>#N/A</v>
      </c>
    </row>
    <row r="186" spans="1:20" hidden="1" x14ac:dyDescent="0.35">
      <c r="A186" t="s">
        <v>2019</v>
      </c>
      <c r="B186" t="s">
        <v>27</v>
      </c>
      <c r="C186" t="s">
        <v>1263</v>
      </c>
      <c r="D186" t="s">
        <v>1264</v>
      </c>
      <c r="E186" s="16">
        <v>6.0074999999999998E-3</v>
      </c>
      <c r="F186" s="4">
        <v>0</v>
      </c>
      <c r="G186" s="17">
        <v>6.0074999999999998E-3</v>
      </c>
      <c r="H186" s="4">
        <v>0</v>
      </c>
      <c r="I186" s="4">
        <v>6.0074999999999998E-3</v>
      </c>
      <c r="J186" s="4">
        <v>0</v>
      </c>
      <c r="K186" s="4">
        <v>0</v>
      </c>
      <c r="L186" s="4">
        <f t="shared" si="2"/>
        <v>6.0074999999999998E-3</v>
      </c>
      <c r="M186" s="4"/>
      <c r="N186" s="4" t="s">
        <v>3198</v>
      </c>
      <c r="O186" s="19">
        <v>46168</v>
      </c>
      <c r="P186" s="29" t="s">
        <v>3746</v>
      </c>
      <c r="Q186" s="19">
        <v>46181</v>
      </c>
      <c r="R186" t="s">
        <v>2007</v>
      </c>
      <c r="T186" t="e">
        <f>VLOOKUP(C186,'Legal &amp; Wrt.off'!C:C,1,0)</f>
        <v>#N/A</v>
      </c>
    </row>
    <row r="187" spans="1:20" hidden="1" x14ac:dyDescent="0.35">
      <c r="A187" t="s">
        <v>2017</v>
      </c>
      <c r="B187" t="s">
        <v>55</v>
      </c>
      <c r="C187" t="s">
        <v>1267</v>
      </c>
      <c r="D187" t="s">
        <v>1268</v>
      </c>
      <c r="E187" s="16">
        <v>0.27689979999999997</v>
      </c>
      <c r="F187" s="4">
        <v>0</v>
      </c>
      <c r="G187" s="17">
        <v>0.27689979999999997</v>
      </c>
      <c r="H187" s="4">
        <v>0</v>
      </c>
      <c r="I187" s="4">
        <v>0.27689979999999997</v>
      </c>
      <c r="J187" s="4">
        <v>0</v>
      </c>
      <c r="K187" s="4">
        <v>0</v>
      </c>
      <c r="L187" s="4">
        <f t="shared" si="2"/>
        <v>0.27689979999999997</v>
      </c>
      <c r="M187" s="4"/>
      <c r="N187" s="4" t="s">
        <v>3129</v>
      </c>
      <c r="O187" s="19">
        <v>46171</v>
      </c>
      <c r="P187" s="29" t="s">
        <v>3705</v>
      </c>
      <c r="Q187" s="19">
        <v>46188</v>
      </c>
      <c r="R187" t="s">
        <v>2007</v>
      </c>
      <c r="T187" t="e">
        <f>VLOOKUP(C187,'Legal &amp; Wrt.off'!C:C,1,0)</f>
        <v>#N/A</v>
      </c>
    </row>
    <row r="188" spans="1:20" hidden="1" x14ac:dyDescent="0.35">
      <c r="A188" t="s">
        <v>2017</v>
      </c>
      <c r="B188" t="s">
        <v>88</v>
      </c>
      <c r="C188" t="s">
        <v>1271</v>
      </c>
      <c r="D188" t="s">
        <v>1272</v>
      </c>
      <c r="E188" s="16">
        <v>2.2945414</v>
      </c>
      <c r="F188" s="4">
        <v>0</v>
      </c>
      <c r="G188" s="17">
        <v>2.2945414</v>
      </c>
      <c r="H188" s="4">
        <v>0</v>
      </c>
      <c r="I188" s="4">
        <v>0</v>
      </c>
      <c r="J188" s="4">
        <v>8.5623599999999994E-2</v>
      </c>
      <c r="K188" s="4">
        <v>2.2089178</v>
      </c>
      <c r="L188" s="4">
        <f t="shared" si="2"/>
        <v>2.2945414</v>
      </c>
      <c r="M188" s="4"/>
      <c r="N188" s="4" t="s">
        <v>3154</v>
      </c>
      <c r="P188" s="29" t="s">
        <v>3153</v>
      </c>
      <c r="R188" t="s">
        <v>3187</v>
      </c>
      <c r="T188" t="e">
        <f>VLOOKUP(C188,'Legal &amp; Wrt.off'!C:C,1,0)</f>
        <v>#N/A</v>
      </c>
    </row>
    <row r="189" spans="1:20" x14ac:dyDescent="0.35">
      <c r="A189" t="s">
        <v>2018</v>
      </c>
      <c r="B189" t="s">
        <v>275</v>
      </c>
      <c r="C189" t="s">
        <v>1273</v>
      </c>
      <c r="D189" t="s">
        <v>1274</v>
      </c>
      <c r="E189" s="16">
        <v>0.3798686</v>
      </c>
      <c r="F189" s="4">
        <v>0</v>
      </c>
      <c r="G189" s="17">
        <v>0.3798686</v>
      </c>
      <c r="H189" s="4">
        <v>0</v>
      </c>
      <c r="I189" s="4">
        <v>0</v>
      </c>
      <c r="J189" s="4">
        <v>1.1666399999999999E-2</v>
      </c>
      <c r="K189" s="4">
        <v>0.36820220000000004</v>
      </c>
      <c r="L189" s="4">
        <f t="shared" si="2"/>
        <v>0.37986860000000006</v>
      </c>
      <c r="M189" s="4"/>
      <c r="N189" s="4" t="s">
        <v>3431</v>
      </c>
      <c r="P189" s="29" t="s">
        <v>3799</v>
      </c>
      <c r="R189" t="s">
        <v>3118</v>
      </c>
      <c r="T189" t="e">
        <f>VLOOKUP(C189,'Legal &amp; Wrt.off'!C:C,1,0)</f>
        <v>#N/A</v>
      </c>
    </row>
    <row r="190" spans="1:20" hidden="1" x14ac:dyDescent="0.35">
      <c r="A190" t="s">
        <v>2017</v>
      </c>
      <c r="B190" t="s">
        <v>19</v>
      </c>
      <c r="C190" t="s">
        <v>1279</v>
      </c>
      <c r="D190" t="s">
        <v>1280</v>
      </c>
      <c r="E190" s="16">
        <v>5.9378E-3</v>
      </c>
      <c r="F190" s="4">
        <v>0</v>
      </c>
      <c r="G190" s="17">
        <v>5.9378E-3</v>
      </c>
      <c r="H190" s="4">
        <v>0</v>
      </c>
      <c r="I190" s="4">
        <v>0</v>
      </c>
      <c r="J190" s="4">
        <v>5.9338000000000004E-3</v>
      </c>
      <c r="K190" s="4">
        <v>3.9999999999999998E-6</v>
      </c>
      <c r="L190" s="4">
        <f t="shared" si="2"/>
        <v>5.9378E-3</v>
      </c>
      <c r="M190" s="4"/>
      <c r="N190" s="4" t="s">
        <v>3130</v>
      </c>
      <c r="O190" s="19">
        <v>46170</v>
      </c>
      <c r="P190" s="29" t="s">
        <v>3705</v>
      </c>
      <c r="Q190" s="19">
        <v>46170</v>
      </c>
      <c r="R190" t="s">
        <v>2007</v>
      </c>
      <c r="T190" t="e">
        <f>VLOOKUP(C190,'Legal &amp; Wrt.off'!C:C,1,0)</f>
        <v>#N/A</v>
      </c>
    </row>
    <row r="191" spans="1:20" hidden="1" x14ac:dyDescent="0.35">
      <c r="A191" t="s">
        <v>2017</v>
      </c>
      <c r="B191" t="s">
        <v>19</v>
      </c>
      <c r="C191" t="s">
        <v>1281</v>
      </c>
      <c r="D191" t="s">
        <v>1282</v>
      </c>
      <c r="E191" s="16">
        <v>6.2337700000000003E-2</v>
      </c>
      <c r="F191" s="4">
        <v>0</v>
      </c>
      <c r="G191" s="17">
        <v>6.2337700000000003E-2</v>
      </c>
      <c r="H191" s="4">
        <v>0</v>
      </c>
      <c r="I191" s="4">
        <v>0</v>
      </c>
      <c r="J191" s="4">
        <v>1.8403E-3</v>
      </c>
      <c r="K191" s="4">
        <v>6.04974E-2</v>
      </c>
      <c r="L191" s="4">
        <f t="shared" si="2"/>
        <v>6.2337700000000003E-2</v>
      </c>
      <c r="M191" s="4"/>
      <c r="N191" s="4" t="s">
        <v>3130</v>
      </c>
      <c r="O191" s="19">
        <v>46170</v>
      </c>
      <c r="P191" s="29" t="s">
        <v>3705</v>
      </c>
      <c r="Q191" s="19">
        <v>46188</v>
      </c>
      <c r="R191" t="s">
        <v>2007</v>
      </c>
      <c r="T191" t="e">
        <f>VLOOKUP(C191,'Legal &amp; Wrt.off'!C:C,1,0)</f>
        <v>#N/A</v>
      </c>
    </row>
    <row r="192" spans="1:20" x14ac:dyDescent="0.35">
      <c r="A192" t="s">
        <v>2017</v>
      </c>
      <c r="B192" t="s">
        <v>33</v>
      </c>
      <c r="C192" t="s">
        <v>1285</v>
      </c>
      <c r="D192" t="s">
        <v>1286</v>
      </c>
      <c r="E192" s="16">
        <v>0.38427820000000001</v>
      </c>
      <c r="F192" s="4">
        <v>0</v>
      </c>
      <c r="G192" s="17">
        <v>0.38427820000000001</v>
      </c>
      <c r="H192" s="4">
        <v>0</v>
      </c>
      <c r="I192" s="4">
        <v>0</v>
      </c>
      <c r="J192" s="4">
        <v>1.0308800000000002E-2</v>
      </c>
      <c r="K192" s="4">
        <v>0.37396940000000001</v>
      </c>
      <c r="L192" s="4">
        <f t="shared" si="2"/>
        <v>0.38427820000000001</v>
      </c>
      <c r="M192" s="4"/>
      <c r="N192" s="4" t="s">
        <v>3155</v>
      </c>
      <c r="P192" s="29" t="s">
        <v>3727</v>
      </c>
      <c r="R192" t="s">
        <v>2008</v>
      </c>
      <c r="T192" t="e">
        <f>VLOOKUP(C192,'Legal &amp; Wrt.off'!C:C,1,0)</f>
        <v>#N/A</v>
      </c>
    </row>
    <row r="193" spans="1:20" x14ac:dyDescent="0.35">
      <c r="A193" t="s">
        <v>2018</v>
      </c>
      <c r="B193" t="s">
        <v>169</v>
      </c>
      <c r="C193" t="s">
        <v>1293</v>
      </c>
      <c r="D193" t="s">
        <v>1294</v>
      </c>
      <c r="E193" s="16">
        <v>4.1723236999999997</v>
      </c>
      <c r="F193" s="4">
        <v>0</v>
      </c>
      <c r="G193" s="17">
        <v>4.1723236999999997</v>
      </c>
      <c r="H193" s="4">
        <v>0</v>
      </c>
      <c r="I193" s="4">
        <v>0</v>
      </c>
      <c r="J193" s="4">
        <v>2.0727600000000002E-2</v>
      </c>
      <c r="K193" s="4">
        <v>4.1515960999999999</v>
      </c>
      <c r="L193" s="4">
        <f t="shared" si="2"/>
        <v>4.1723236999999997</v>
      </c>
      <c r="M193" s="4"/>
      <c r="N193" s="4" t="s">
        <v>3432</v>
      </c>
      <c r="O193" s="19">
        <v>46188</v>
      </c>
      <c r="P193" s="29" t="s">
        <v>3800</v>
      </c>
      <c r="Q193" s="19">
        <v>46188</v>
      </c>
      <c r="R193" t="s">
        <v>2012</v>
      </c>
      <c r="T193" t="e">
        <f>VLOOKUP(C193,'Legal &amp; Wrt.off'!C:C,1,0)</f>
        <v>#N/A</v>
      </c>
    </row>
    <row r="194" spans="1:20" hidden="1" x14ac:dyDescent="0.35">
      <c r="A194" t="s">
        <v>2017</v>
      </c>
      <c r="B194" t="s">
        <v>19</v>
      </c>
      <c r="C194" t="s">
        <v>1295</v>
      </c>
      <c r="D194" t="s">
        <v>1296</v>
      </c>
      <c r="E194" s="16">
        <v>2.9487908000000003</v>
      </c>
      <c r="F194" s="4">
        <v>0</v>
      </c>
      <c r="G194" s="17">
        <v>2.9487908000000003</v>
      </c>
      <c r="H194" s="4">
        <v>0</v>
      </c>
      <c r="I194" s="4">
        <v>0</v>
      </c>
      <c r="J194" s="4">
        <v>0.179422</v>
      </c>
      <c r="K194" s="4">
        <v>2.7693688000000001</v>
      </c>
      <c r="L194" s="4">
        <f t="shared" si="2"/>
        <v>2.9487908000000003</v>
      </c>
      <c r="M194" s="4"/>
      <c r="N194" s="4" t="s">
        <v>3156</v>
      </c>
      <c r="O194" s="19">
        <v>46188</v>
      </c>
      <c r="P194" s="29" t="s">
        <v>3705</v>
      </c>
      <c r="Q194" s="19">
        <v>46188</v>
      </c>
      <c r="R194" t="s">
        <v>2009</v>
      </c>
      <c r="T194" t="e">
        <f>VLOOKUP(C194,'Legal &amp; Wrt.off'!C:C,1,0)</f>
        <v>#N/A</v>
      </c>
    </row>
    <row r="195" spans="1:20" hidden="1" x14ac:dyDescent="0.35">
      <c r="A195" t="s">
        <v>2017</v>
      </c>
      <c r="B195" t="s">
        <v>19</v>
      </c>
      <c r="C195" t="s">
        <v>1299</v>
      </c>
      <c r="D195" t="s">
        <v>1300</v>
      </c>
      <c r="E195" s="16">
        <v>0.10181639999999999</v>
      </c>
      <c r="F195" s="4">
        <v>0</v>
      </c>
      <c r="G195" s="17">
        <v>0.10181639999999999</v>
      </c>
      <c r="H195" s="4">
        <v>0</v>
      </c>
      <c r="I195" s="4">
        <v>0</v>
      </c>
      <c r="J195" s="4">
        <v>4.4516E-3</v>
      </c>
      <c r="K195" s="4">
        <v>9.7364800000000001E-2</v>
      </c>
      <c r="L195" s="4">
        <f t="shared" si="2"/>
        <v>0.1018164</v>
      </c>
      <c r="M195" s="4"/>
      <c r="N195" s="4" t="s">
        <v>3157</v>
      </c>
      <c r="O195" s="19">
        <v>46188</v>
      </c>
      <c r="P195" s="29" t="s">
        <v>3705</v>
      </c>
      <c r="Q195" s="19">
        <v>46188</v>
      </c>
      <c r="R195" t="s">
        <v>2007</v>
      </c>
      <c r="T195" t="e">
        <f>VLOOKUP(C195,'Legal &amp; Wrt.off'!C:C,1,0)</f>
        <v>#N/A</v>
      </c>
    </row>
    <row r="196" spans="1:20" hidden="1" x14ac:dyDescent="0.35">
      <c r="A196" t="s">
        <v>2017</v>
      </c>
      <c r="B196" t="s">
        <v>19</v>
      </c>
      <c r="C196" t="s">
        <v>1301</v>
      </c>
      <c r="D196" t="s">
        <v>1302</v>
      </c>
      <c r="E196" s="16">
        <v>0.1813872</v>
      </c>
      <c r="F196" s="4">
        <v>0</v>
      </c>
      <c r="G196" s="17">
        <v>0.1813872</v>
      </c>
      <c r="H196" s="4">
        <v>0</v>
      </c>
      <c r="I196" s="4">
        <v>0</v>
      </c>
      <c r="J196" s="4">
        <v>1.6989899999999999E-2</v>
      </c>
      <c r="K196" s="4">
        <v>0.1643973</v>
      </c>
      <c r="L196" s="4">
        <f t="shared" si="2"/>
        <v>0.1813872</v>
      </c>
      <c r="M196" s="4"/>
      <c r="N196" s="4" t="s">
        <v>3158</v>
      </c>
      <c r="P196" s="29" t="s">
        <v>3158</v>
      </c>
      <c r="R196" t="s">
        <v>2008</v>
      </c>
      <c r="T196" t="e">
        <f>VLOOKUP(C196,'Legal &amp; Wrt.off'!C:C,1,0)</f>
        <v>#N/A</v>
      </c>
    </row>
    <row r="197" spans="1:20" hidden="1" x14ac:dyDescent="0.35">
      <c r="A197" t="s">
        <v>2017</v>
      </c>
      <c r="B197" t="s">
        <v>19</v>
      </c>
      <c r="C197" t="s">
        <v>1305</v>
      </c>
      <c r="D197" t="s">
        <v>1306</v>
      </c>
      <c r="E197" s="16">
        <v>1.2215883999999999</v>
      </c>
      <c r="F197" s="4">
        <v>0</v>
      </c>
      <c r="G197" s="17">
        <v>1.2215883999999999</v>
      </c>
      <c r="H197" s="4">
        <v>0</v>
      </c>
      <c r="I197" s="4">
        <v>0</v>
      </c>
      <c r="J197" s="4">
        <v>3.6641699999999999E-2</v>
      </c>
      <c r="K197" s="4">
        <v>1.1849467</v>
      </c>
      <c r="L197" s="4">
        <f t="shared" si="2"/>
        <v>1.2215883999999999</v>
      </c>
      <c r="M197" s="4"/>
      <c r="N197" s="4" t="s">
        <v>3157</v>
      </c>
      <c r="O197" s="19">
        <v>46188</v>
      </c>
      <c r="P197" s="29" t="s">
        <v>3705</v>
      </c>
      <c r="Q197" s="19">
        <v>46188</v>
      </c>
      <c r="R197" t="s">
        <v>2007</v>
      </c>
      <c r="T197" t="e">
        <f>VLOOKUP(C197,'Legal &amp; Wrt.off'!C:C,1,0)</f>
        <v>#N/A</v>
      </c>
    </row>
    <row r="198" spans="1:20" hidden="1" x14ac:dyDescent="0.35">
      <c r="A198" t="s">
        <v>2017</v>
      </c>
      <c r="B198" t="s">
        <v>19</v>
      </c>
      <c r="C198" t="s">
        <v>1307</v>
      </c>
      <c r="D198" t="s">
        <v>1308</v>
      </c>
      <c r="E198" s="16">
        <v>2.26044E-2</v>
      </c>
      <c r="F198" s="4">
        <v>0</v>
      </c>
      <c r="G198" s="17">
        <v>2.26044E-2</v>
      </c>
      <c r="H198" s="4">
        <v>0</v>
      </c>
      <c r="I198" s="4">
        <v>0</v>
      </c>
      <c r="J198" s="4">
        <v>2.26044E-2</v>
      </c>
      <c r="K198" s="4">
        <v>0</v>
      </c>
      <c r="L198" s="4">
        <f t="shared" ref="L198:L261" si="3">SUM(I198:K198)</f>
        <v>2.26044E-2</v>
      </c>
      <c r="M198" s="4"/>
      <c r="N198" s="4" t="s">
        <v>3123</v>
      </c>
      <c r="O198" s="19">
        <v>46172</v>
      </c>
      <c r="P198" s="29" t="s">
        <v>3728</v>
      </c>
      <c r="Q198" s="19">
        <v>46203</v>
      </c>
      <c r="R198" t="s">
        <v>2007</v>
      </c>
      <c r="T198" t="e">
        <f>VLOOKUP(C198,'Legal &amp; Wrt.off'!C:C,1,0)</f>
        <v>#N/A</v>
      </c>
    </row>
    <row r="199" spans="1:20" hidden="1" x14ac:dyDescent="0.35">
      <c r="A199" t="s">
        <v>2017</v>
      </c>
      <c r="B199" t="s">
        <v>19</v>
      </c>
      <c r="C199" t="s">
        <v>1309</v>
      </c>
      <c r="D199" t="s">
        <v>1310</v>
      </c>
      <c r="E199" s="16">
        <v>9.9311999999999994E-3</v>
      </c>
      <c r="F199" s="4">
        <v>0</v>
      </c>
      <c r="G199" s="17">
        <v>9.9311999999999994E-3</v>
      </c>
      <c r="H199" s="4">
        <v>0</v>
      </c>
      <c r="I199" s="4">
        <v>0</v>
      </c>
      <c r="J199" s="4">
        <v>9.9311999999999994E-3</v>
      </c>
      <c r="K199" s="4">
        <v>0</v>
      </c>
      <c r="L199" s="4">
        <f t="shared" si="3"/>
        <v>9.9311999999999994E-3</v>
      </c>
      <c r="M199" s="4"/>
      <c r="N199" s="4" t="s">
        <v>3123</v>
      </c>
      <c r="O199" s="19">
        <v>46172</v>
      </c>
      <c r="P199" s="29" t="s">
        <v>3123</v>
      </c>
      <c r="Q199" s="19">
        <v>46172</v>
      </c>
      <c r="R199" t="s">
        <v>2007</v>
      </c>
      <c r="T199" t="e">
        <f>VLOOKUP(C199,'Legal &amp; Wrt.off'!C:C,1,0)</f>
        <v>#N/A</v>
      </c>
    </row>
    <row r="200" spans="1:20" x14ac:dyDescent="0.35">
      <c r="A200" t="s">
        <v>2016</v>
      </c>
      <c r="B200" t="s">
        <v>93</v>
      </c>
      <c r="C200" t="s">
        <v>1311</v>
      </c>
      <c r="D200" t="s">
        <v>1312</v>
      </c>
      <c r="E200" s="16">
        <v>3.1854284999999996</v>
      </c>
      <c r="F200" s="4">
        <v>0</v>
      </c>
      <c r="G200" s="17">
        <v>3.1854284999999996</v>
      </c>
      <c r="H200" s="4">
        <v>0</v>
      </c>
      <c r="I200" s="4">
        <v>0</v>
      </c>
      <c r="J200" s="4">
        <v>0.1104005</v>
      </c>
      <c r="K200" s="4">
        <v>3.0750280000000001</v>
      </c>
      <c r="L200" s="4">
        <f t="shared" si="3"/>
        <v>3.1854285</v>
      </c>
      <c r="M200" s="4"/>
      <c r="N200" s="4" t="s">
        <v>2011</v>
      </c>
      <c r="P200" s="29" t="s">
        <v>2011</v>
      </c>
      <c r="R200" t="s">
        <v>3408</v>
      </c>
      <c r="S200" t="s">
        <v>3768</v>
      </c>
      <c r="T200" t="e">
        <f>VLOOKUP(C200,'Legal &amp; Wrt.off'!C:C,1,0)</f>
        <v>#N/A</v>
      </c>
    </row>
    <row r="201" spans="1:20" hidden="1" x14ac:dyDescent="0.35">
      <c r="A201" t="s">
        <v>2017</v>
      </c>
      <c r="B201" t="s">
        <v>33</v>
      </c>
      <c r="C201" t="s">
        <v>1313</v>
      </c>
      <c r="D201" t="s">
        <v>1314</v>
      </c>
      <c r="E201" s="16">
        <v>2.0904050000000001</v>
      </c>
      <c r="F201" s="4">
        <v>0</v>
      </c>
      <c r="G201" s="17">
        <v>2.0904050000000001</v>
      </c>
      <c r="H201" s="4">
        <v>0</v>
      </c>
      <c r="I201" s="4">
        <v>0</v>
      </c>
      <c r="J201" s="4">
        <v>8.8659700000000008E-2</v>
      </c>
      <c r="K201" s="4">
        <v>2.0017453000000001</v>
      </c>
      <c r="L201" s="4">
        <f t="shared" si="3"/>
        <v>2.0904050000000001</v>
      </c>
      <c r="M201" s="4"/>
      <c r="N201" s="4" t="s">
        <v>3153</v>
      </c>
      <c r="P201" s="29" t="s">
        <v>3153</v>
      </c>
      <c r="R201" t="s">
        <v>3408</v>
      </c>
      <c r="S201" t="s">
        <v>3408</v>
      </c>
      <c r="T201" t="e">
        <f>VLOOKUP(C201,'Legal &amp; Wrt.off'!C:C,1,0)</f>
        <v>#N/A</v>
      </c>
    </row>
    <row r="202" spans="1:20" hidden="1" x14ac:dyDescent="0.35">
      <c r="A202" t="s">
        <v>2017</v>
      </c>
      <c r="B202" t="s">
        <v>33</v>
      </c>
      <c r="C202" t="s">
        <v>1315</v>
      </c>
      <c r="D202" t="s">
        <v>1316</v>
      </c>
      <c r="E202" s="16">
        <v>0.78285949999999993</v>
      </c>
      <c r="F202" s="4">
        <v>0</v>
      </c>
      <c r="G202" s="17">
        <v>0.78285949999999993</v>
      </c>
      <c r="H202" s="4">
        <v>0</v>
      </c>
      <c r="I202" s="4">
        <v>0</v>
      </c>
      <c r="J202" s="4">
        <v>0.1116876</v>
      </c>
      <c r="K202" s="4">
        <v>0.67117190000000004</v>
      </c>
      <c r="L202" s="4">
        <f t="shared" si="3"/>
        <v>0.78285950000000004</v>
      </c>
      <c r="M202" s="4"/>
      <c r="N202" s="4" t="s">
        <v>3159</v>
      </c>
      <c r="P202" s="29" t="s">
        <v>3729</v>
      </c>
      <c r="R202" t="s">
        <v>2013</v>
      </c>
      <c r="T202" t="e">
        <f>VLOOKUP(C202,'Legal &amp; Wrt.off'!C:C,1,0)</f>
        <v>#N/A</v>
      </c>
    </row>
    <row r="203" spans="1:20" hidden="1" x14ac:dyDescent="0.35">
      <c r="A203" t="s">
        <v>2017</v>
      </c>
      <c r="B203" t="s">
        <v>88</v>
      </c>
      <c r="C203" t="s">
        <v>1319</v>
      </c>
      <c r="D203" t="s">
        <v>1320</v>
      </c>
      <c r="E203" s="16">
        <v>0.24032480000000001</v>
      </c>
      <c r="F203" s="4">
        <v>0</v>
      </c>
      <c r="G203" s="17">
        <v>0.24032480000000001</v>
      </c>
      <c r="H203" s="4">
        <v>0</v>
      </c>
      <c r="I203" s="4">
        <v>0</v>
      </c>
      <c r="J203" s="4">
        <v>7.6435900000000001E-2</v>
      </c>
      <c r="K203" s="4">
        <v>0.1638889</v>
      </c>
      <c r="L203" s="4">
        <f t="shared" si="3"/>
        <v>0.24032480000000001</v>
      </c>
      <c r="M203" s="4"/>
      <c r="N203" s="4" t="s">
        <v>3160</v>
      </c>
      <c r="P203" s="29" t="s">
        <v>3730</v>
      </c>
      <c r="R203" t="s">
        <v>3187</v>
      </c>
      <c r="T203" t="e">
        <f>VLOOKUP(C203,'Legal &amp; Wrt.off'!C:C,1,0)</f>
        <v>#N/A</v>
      </c>
    </row>
    <row r="204" spans="1:20" x14ac:dyDescent="0.35">
      <c r="A204" t="s">
        <v>2017</v>
      </c>
      <c r="B204" t="s">
        <v>210</v>
      </c>
      <c r="C204" t="s">
        <v>1321</v>
      </c>
      <c r="D204" t="s">
        <v>1322</v>
      </c>
      <c r="E204" s="16">
        <v>1.8466117000000002</v>
      </c>
      <c r="F204" s="4">
        <v>0</v>
      </c>
      <c r="G204" s="17">
        <v>1.8466117000000002</v>
      </c>
      <c r="H204" s="4">
        <v>0</v>
      </c>
      <c r="I204" s="4">
        <v>0</v>
      </c>
      <c r="J204" s="4">
        <v>0.16748109999999999</v>
      </c>
      <c r="K204" s="4">
        <v>1.6791305999999999</v>
      </c>
      <c r="L204" s="4">
        <f t="shared" si="3"/>
        <v>1.8466117</v>
      </c>
      <c r="M204" s="4"/>
      <c r="N204" s="4" t="s">
        <v>3153</v>
      </c>
      <c r="P204" s="29" t="s">
        <v>3153</v>
      </c>
      <c r="R204" t="s">
        <v>3408</v>
      </c>
      <c r="S204" t="s">
        <v>3408</v>
      </c>
      <c r="T204" t="e">
        <f>VLOOKUP(C204,'Legal &amp; Wrt.off'!C:C,1,0)</f>
        <v>#N/A</v>
      </c>
    </row>
    <row r="205" spans="1:20" hidden="1" x14ac:dyDescent="0.35">
      <c r="A205" t="s">
        <v>2017</v>
      </c>
      <c r="B205" t="s">
        <v>88</v>
      </c>
      <c r="C205" t="s">
        <v>1323</v>
      </c>
      <c r="D205" t="s">
        <v>1324</v>
      </c>
      <c r="E205" s="16">
        <v>0.24908930000000001</v>
      </c>
      <c r="F205" s="4">
        <v>0</v>
      </c>
      <c r="G205" s="17">
        <v>0.24908930000000001</v>
      </c>
      <c r="H205" s="4">
        <v>0</v>
      </c>
      <c r="I205" s="4">
        <v>0</v>
      </c>
      <c r="J205" s="4">
        <v>1.8313299999999998E-2</v>
      </c>
      <c r="K205" s="4">
        <v>0.23077599999999998</v>
      </c>
      <c r="L205" s="4">
        <f t="shared" si="3"/>
        <v>0.24908929999999999</v>
      </c>
      <c r="M205" s="4"/>
      <c r="N205" s="4" t="s">
        <v>3153</v>
      </c>
      <c r="P205" s="29" t="s">
        <v>3705</v>
      </c>
      <c r="Q205" s="19">
        <v>46202</v>
      </c>
      <c r="R205" t="s">
        <v>3408</v>
      </c>
      <c r="S205" t="s">
        <v>3408</v>
      </c>
      <c r="T205" t="e">
        <f>VLOOKUP(C205,'Legal &amp; Wrt.off'!C:C,1,0)</f>
        <v>#N/A</v>
      </c>
    </row>
    <row r="206" spans="1:20" hidden="1" x14ac:dyDescent="0.35">
      <c r="A206" t="s">
        <v>2017</v>
      </c>
      <c r="B206" t="s">
        <v>55</v>
      </c>
      <c r="C206" t="s">
        <v>1325</v>
      </c>
      <c r="D206" t="s">
        <v>1326</v>
      </c>
      <c r="E206" s="16">
        <v>0.5368233</v>
      </c>
      <c r="F206" s="4">
        <v>0</v>
      </c>
      <c r="G206" s="17">
        <v>0.5368233</v>
      </c>
      <c r="H206" s="4">
        <v>0</v>
      </c>
      <c r="I206" s="4">
        <v>0</v>
      </c>
      <c r="J206" s="4">
        <v>2.0441300000000003E-2</v>
      </c>
      <c r="K206" s="4">
        <v>0.51638200000000001</v>
      </c>
      <c r="L206" s="4">
        <f t="shared" si="3"/>
        <v>0.5368233</v>
      </c>
      <c r="M206" s="4"/>
      <c r="N206" s="4" t="s">
        <v>3153</v>
      </c>
      <c r="P206" s="29" t="s">
        <v>3153</v>
      </c>
      <c r="R206" t="s">
        <v>3118</v>
      </c>
      <c r="T206" t="e">
        <f>VLOOKUP(C206,'Legal &amp; Wrt.off'!C:C,1,0)</f>
        <v>#N/A</v>
      </c>
    </row>
    <row r="207" spans="1:20" hidden="1" x14ac:dyDescent="0.35">
      <c r="A207" t="s">
        <v>2017</v>
      </c>
      <c r="B207" t="s">
        <v>55</v>
      </c>
      <c r="C207" t="s">
        <v>1327</v>
      </c>
      <c r="D207" t="s">
        <v>1328</v>
      </c>
      <c r="E207" s="16">
        <v>0.14976629999999999</v>
      </c>
      <c r="F207" s="4">
        <v>0</v>
      </c>
      <c r="G207" s="17">
        <v>0.14976629999999999</v>
      </c>
      <c r="H207" s="4">
        <v>0</v>
      </c>
      <c r="I207" s="4">
        <v>0</v>
      </c>
      <c r="J207" s="4">
        <v>7.6534000000000003E-3</v>
      </c>
      <c r="K207" s="4">
        <v>0.14211289999999999</v>
      </c>
      <c r="L207" s="4">
        <f t="shared" si="3"/>
        <v>0.14976629999999999</v>
      </c>
      <c r="M207" s="4"/>
      <c r="N207" s="4" t="s">
        <v>3161</v>
      </c>
      <c r="O207" s="19">
        <v>46178</v>
      </c>
      <c r="P207" s="29" t="s">
        <v>3705</v>
      </c>
      <c r="Q207" s="19">
        <v>46198</v>
      </c>
      <c r="R207" t="s">
        <v>2007</v>
      </c>
      <c r="T207" t="e">
        <f>VLOOKUP(C207,'Legal &amp; Wrt.off'!C:C,1,0)</f>
        <v>#N/A</v>
      </c>
    </row>
    <row r="208" spans="1:20" hidden="1" x14ac:dyDescent="0.35">
      <c r="A208" t="s">
        <v>2017</v>
      </c>
      <c r="B208" t="s">
        <v>36</v>
      </c>
      <c r="C208" t="s">
        <v>1329</v>
      </c>
      <c r="D208" t="s">
        <v>1330</v>
      </c>
      <c r="E208" s="16">
        <v>3.7624156000000002</v>
      </c>
      <c r="F208" s="4">
        <v>0</v>
      </c>
      <c r="G208" s="17">
        <v>3.7624156000000002</v>
      </c>
      <c r="H208" s="4">
        <v>0</v>
      </c>
      <c r="I208" s="4">
        <v>0</v>
      </c>
      <c r="J208" s="4">
        <v>0.14037739999999999</v>
      </c>
      <c r="K208" s="4">
        <v>3.6220382</v>
      </c>
      <c r="L208" s="4">
        <f t="shared" si="3"/>
        <v>3.7624155999999997</v>
      </c>
      <c r="M208" s="4"/>
      <c r="N208" s="4" t="s">
        <v>3153</v>
      </c>
      <c r="P208" s="29" t="s">
        <v>3153</v>
      </c>
      <c r="R208" t="s">
        <v>3408</v>
      </c>
      <c r="S208" t="s">
        <v>3408</v>
      </c>
      <c r="T208" t="e">
        <f>VLOOKUP(C208,'Legal &amp; Wrt.off'!C:C,1,0)</f>
        <v>#N/A</v>
      </c>
    </row>
    <row r="209" spans="1:20" hidden="1" x14ac:dyDescent="0.35">
      <c r="A209" t="s">
        <v>2017</v>
      </c>
      <c r="B209" t="s">
        <v>19</v>
      </c>
      <c r="C209" t="s">
        <v>1333</v>
      </c>
      <c r="D209" t="s">
        <v>1334</v>
      </c>
      <c r="E209" s="16">
        <v>5.4160200000000006E-2</v>
      </c>
      <c r="F209" s="4">
        <v>0</v>
      </c>
      <c r="G209" s="17">
        <v>5.4160200000000006E-2</v>
      </c>
      <c r="H209" s="4">
        <v>0</v>
      </c>
      <c r="I209" s="4">
        <v>0</v>
      </c>
      <c r="J209" s="4">
        <v>1.5114200000000001E-2</v>
      </c>
      <c r="K209" s="4">
        <v>3.9045999999999997E-2</v>
      </c>
      <c r="L209" s="4">
        <f t="shared" si="3"/>
        <v>5.4160199999999999E-2</v>
      </c>
      <c r="M209" s="4"/>
      <c r="N209" s="4" t="s">
        <v>3162</v>
      </c>
      <c r="O209" s="19">
        <v>46170</v>
      </c>
      <c r="P209" s="29" t="s">
        <v>3164</v>
      </c>
      <c r="Q209" s="19">
        <v>46203</v>
      </c>
      <c r="R209" t="s">
        <v>2007</v>
      </c>
      <c r="T209" t="e">
        <f>VLOOKUP(C209,'Legal &amp; Wrt.off'!C:C,1,0)</f>
        <v>#N/A</v>
      </c>
    </row>
    <row r="210" spans="1:20" hidden="1" x14ac:dyDescent="0.35">
      <c r="A210" t="s">
        <v>2019</v>
      </c>
      <c r="B210" t="s">
        <v>24</v>
      </c>
      <c r="C210" t="s">
        <v>1335</v>
      </c>
      <c r="D210" t="s">
        <v>1336</v>
      </c>
      <c r="E210" s="16">
        <v>0.4841569</v>
      </c>
      <c r="F210" s="4">
        <v>0</v>
      </c>
      <c r="G210" s="17">
        <v>0.4841569</v>
      </c>
      <c r="H210" s="4">
        <v>0</v>
      </c>
      <c r="I210" s="4">
        <v>0</v>
      </c>
      <c r="J210" s="4">
        <v>2.9746500000000002E-2</v>
      </c>
      <c r="K210" s="4">
        <v>0.45441039999999999</v>
      </c>
      <c r="L210" s="4">
        <f t="shared" si="3"/>
        <v>0.4841569</v>
      </c>
      <c r="M210" s="4"/>
      <c r="N210" s="4" t="s">
        <v>3204</v>
      </c>
      <c r="O210" s="19">
        <v>46180</v>
      </c>
      <c r="P210" s="29" t="s">
        <v>3752</v>
      </c>
      <c r="Q210" s="19">
        <v>46188</v>
      </c>
      <c r="R210" t="s">
        <v>2007</v>
      </c>
      <c r="T210" t="e">
        <f>VLOOKUP(C210,'Legal &amp; Wrt.off'!C:C,1,0)</f>
        <v>#N/A</v>
      </c>
    </row>
    <row r="211" spans="1:20" hidden="1" x14ac:dyDescent="0.35">
      <c r="A211" t="s">
        <v>2019</v>
      </c>
      <c r="B211" t="s">
        <v>24</v>
      </c>
      <c r="C211" t="s">
        <v>1337</v>
      </c>
      <c r="D211" t="s">
        <v>1338</v>
      </c>
      <c r="E211" s="16">
        <v>1.0410452000000001</v>
      </c>
      <c r="F211" s="4">
        <v>0</v>
      </c>
      <c r="G211" s="17">
        <v>1.0410452000000001</v>
      </c>
      <c r="H211" s="4">
        <v>0</v>
      </c>
      <c r="I211" s="4">
        <v>0</v>
      </c>
      <c r="J211" s="4">
        <v>0.11107959999999999</v>
      </c>
      <c r="K211" s="4">
        <v>0.92996559999999995</v>
      </c>
      <c r="L211" s="4">
        <f t="shared" si="3"/>
        <v>1.0410451999999999</v>
      </c>
      <c r="M211" s="4"/>
      <c r="N211" s="4" t="s">
        <v>3205</v>
      </c>
      <c r="O211" s="19">
        <v>46180</v>
      </c>
      <c r="P211" s="29" t="s">
        <v>3753</v>
      </c>
      <c r="Q211" s="19">
        <v>46183</v>
      </c>
      <c r="R211" t="s">
        <v>2007</v>
      </c>
      <c r="T211" t="e">
        <f>VLOOKUP(C211,'Legal &amp; Wrt.off'!C:C,1,0)</f>
        <v>#N/A</v>
      </c>
    </row>
    <row r="212" spans="1:20" hidden="1" x14ac:dyDescent="0.35">
      <c r="A212" t="s">
        <v>2019</v>
      </c>
      <c r="B212" t="s">
        <v>24</v>
      </c>
      <c r="C212" t="s">
        <v>1339</v>
      </c>
      <c r="D212" t="s">
        <v>1340</v>
      </c>
      <c r="E212" s="16">
        <v>2.7053799999999999E-2</v>
      </c>
      <c r="F212" s="4">
        <v>0</v>
      </c>
      <c r="G212" s="17">
        <v>2.7053799999999999E-2</v>
      </c>
      <c r="H212" s="4">
        <v>0</v>
      </c>
      <c r="I212" s="4">
        <v>0</v>
      </c>
      <c r="J212" s="4">
        <v>2.7053799999999999E-2</v>
      </c>
      <c r="K212" s="4">
        <v>0</v>
      </c>
      <c r="L212" s="4">
        <f t="shared" si="3"/>
        <v>2.7053799999999999E-2</v>
      </c>
      <c r="M212" s="4"/>
      <c r="N212" s="4" t="s">
        <v>3206</v>
      </c>
      <c r="O212" s="19">
        <v>46172</v>
      </c>
      <c r="P212" s="29" t="s">
        <v>3754</v>
      </c>
      <c r="Q212" s="19">
        <v>46182</v>
      </c>
      <c r="R212" t="s">
        <v>2007</v>
      </c>
      <c r="T212" t="e">
        <f>VLOOKUP(C212,'Legal &amp; Wrt.off'!C:C,1,0)</f>
        <v>#N/A</v>
      </c>
    </row>
    <row r="213" spans="1:20" hidden="1" x14ac:dyDescent="0.35">
      <c r="A213" t="s">
        <v>2019</v>
      </c>
      <c r="B213" t="s">
        <v>16</v>
      </c>
      <c r="C213" t="s">
        <v>1341</v>
      </c>
      <c r="D213" t="s">
        <v>1342</v>
      </c>
      <c r="E213" s="16">
        <v>0.10525809999999999</v>
      </c>
      <c r="F213" s="4">
        <v>0</v>
      </c>
      <c r="G213" s="17">
        <v>0.10525809999999999</v>
      </c>
      <c r="H213" s="4">
        <v>0</v>
      </c>
      <c r="I213" s="4">
        <v>0</v>
      </c>
      <c r="J213" s="4">
        <v>2.813E-3</v>
      </c>
      <c r="K213" s="4">
        <v>0.1024451</v>
      </c>
      <c r="L213" s="4">
        <f t="shared" si="3"/>
        <v>0.10525809999999999</v>
      </c>
      <c r="M213" s="4"/>
      <c r="N213" s="4" t="s">
        <v>3207</v>
      </c>
      <c r="P213" s="29" t="s">
        <v>3742</v>
      </c>
      <c r="R213" t="s">
        <v>2012</v>
      </c>
      <c r="T213" t="e">
        <f>VLOOKUP(C213,'Legal &amp; Wrt.off'!C:C,1,0)</f>
        <v>#N/A</v>
      </c>
    </row>
    <row r="214" spans="1:20" hidden="1" x14ac:dyDescent="0.35">
      <c r="A214" t="s">
        <v>2019</v>
      </c>
      <c r="B214" t="s">
        <v>16</v>
      </c>
      <c r="C214" t="s">
        <v>1343</v>
      </c>
      <c r="D214" t="s">
        <v>1344</v>
      </c>
      <c r="E214" s="16">
        <v>0.67798330000000007</v>
      </c>
      <c r="F214" s="4">
        <v>0</v>
      </c>
      <c r="G214" s="17">
        <v>0.67798330000000007</v>
      </c>
      <c r="H214" s="4">
        <v>0</v>
      </c>
      <c r="I214" s="4">
        <v>0</v>
      </c>
      <c r="J214" s="4">
        <v>6.2597099999999989E-2</v>
      </c>
      <c r="K214" s="4">
        <v>0.61538619999999999</v>
      </c>
      <c r="L214" s="4">
        <f t="shared" si="3"/>
        <v>0.67798329999999996</v>
      </c>
      <c r="M214" s="4"/>
      <c r="N214" s="4" t="s">
        <v>3415</v>
      </c>
      <c r="P214" s="29">
        <v>0</v>
      </c>
      <c r="R214" t="s">
        <v>3408</v>
      </c>
      <c r="S214" t="s">
        <v>3408</v>
      </c>
      <c r="T214" t="e">
        <f>VLOOKUP(C214,'Legal &amp; Wrt.off'!C:C,1,0)</f>
        <v>#N/A</v>
      </c>
    </row>
    <row r="215" spans="1:20" x14ac:dyDescent="0.35">
      <c r="A215" t="s">
        <v>2017</v>
      </c>
      <c r="B215" t="s">
        <v>210</v>
      </c>
      <c r="C215" t="s">
        <v>1345</v>
      </c>
      <c r="D215" t="s">
        <v>1346</v>
      </c>
      <c r="E215" s="16">
        <v>0.13520260000000001</v>
      </c>
      <c r="F215" s="4">
        <v>0</v>
      </c>
      <c r="G215" s="17">
        <v>0.13520260000000001</v>
      </c>
      <c r="H215" s="4">
        <v>0</v>
      </c>
      <c r="I215" s="4">
        <v>0</v>
      </c>
      <c r="J215" s="4">
        <v>5.1456200000000001E-2</v>
      </c>
      <c r="K215" s="4">
        <v>8.3746399999999999E-2</v>
      </c>
      <c r="L215" s="4">
        <f t="shared" si="3"/>
        <v>0.13520260000000001</v>
      </c>
      <c r="M215" s="4"/>
      <c r="N215" s="4" t="s">
        <v>3163</v>
      </c>
      <c r="P215" s="29" t="s">
        <v>3163</v>
      </c>
      <c r="R215" t="s">
        <v>3187</v>
      </c>
      <c r="T215" t="e">
        <f>VLOOKUP(C215,'Legal &amp; Wrt.off'!C:C,1,0)</f>
        <v>#N/A</v>
      </c>
    </row>
    <row r="216" spans="1:20" hidden="1" x14ac:dyDescent="0.35">
      <c r="A216" t="s">
        <v>2017</v>
      </c>
      <c r="B216" t="s">
        <v>210</v>
      </c>
      <c r="C216" t="s">
        <v>1347</v>
      </c>
      <c r="D216" t="s">
        <v>1348</v>
      </c>
      <c r="E216" s="16">
        <v>6.0038000000000001E-3</v>
      </c>
      <c r="F216" s="4">
        <v>0</v>
      </c>
      <c r="G216" s="17">
        <v>6.0038000000000001E-3</v>
      </c>
      <c r="H216" s="4">
        <v>0</v>
      </c>
      <c r="I216" s="4">
        <v>0</v>
      </c>
      <c r="J216" s="4">
        <v>6.0038000000000001E-3</v>
      </c>
      <c r="K216" s="4">
        <v>0</v>
      </c>
      <c r="L216" s="4">
        <f t="shared" si="3"/>
        <v>6.0038000000000001E-3</v>
      </c>
      <c r="M216" s="4"/>
      <c r="N216" s="4" t="s">
        <v>3149</v>
      </c>
      <c r="O216" s="19">
        <v>46167</v>
      </c>
      <c r="P216" s="29" t="s">
        <v>3715</v>
      </c>
      <c r="R216" t="s">
        <v>2007</v>
      </c>
      <c r="T216" t="e">
        <f>VLOOKUP(C216,'Legal &amp; Wrt.off'!C:C,1,0)</f>
        <v>#N/A</v>
      </c>
    </row>
    <row r="217" spans="1:20" hidden="1" x14ac:dyDescent="0.35">
      <c r="A217" t="s">
        <v>2017</v>
      </c>
      <c r="B217" t="s">
        <v>36</v>
      </c>
      <c r="C217" t="s">
        <v>1351</v>
      </c>
      <c r="D217" t="s">
        <v>1352</v>
      </c>
      <c r="E217" s="16">
        <v>7.2201000000000001E-3</v>
      </c>
      <c r="F217" s="4">
        <v>0</v>
      </c>
      <c r="G217" s="17">
        <v>7.2201000000000001E-3</v>
      </c>
      <c r="H217" s="4">
        <v>0</v>
      </c>
      <c r="I217" s="4">
        <v>0</v>
      </c>
      <c r="J217" s="4">
        <v>7.2201000000000001E-3</v>
      </c>
      <c r="K217" s="4">
        <v>0</v>
      </c>
      <c r="L217" s="4">
        <f t="shared" si="3"/>
        <v>7.2201000000000001E-3</v>
      </c>
      <c r="M217" s="4"/>
      <c r="N217" s="4" t="s">
        <v>3139</v>
      </c>
      <c r="P217" s="29" t="s">
        <v>3139</v>
      </c>
      <c r="R217" t="s">
        <v>2010</v>
      </c>
      <c r="T217" t="e">
        <f>VLOOKUP(C217,'Legal &amp; Wrt.off'!C:C,1,0)</f>
        <v>#N/A</v>
      </c>
    </row>
    <row r="218" spans="1:20" hidden="1" x14ac:dyDescent="0.35">
      <c r="A218" t="s">
        <v>2017</v>
      </c>
      <c r="B218" t="s">
        <v>19</v>
      </c>
      <c r="C218" t="s">
        <v>1353</v>
      </c>
      <c r="D218" t="s">
        <v>1354</v>
      </c>
      <c r="E218" s="16">
        <v>0.12329760000000001</v>
      </c>
      <c r="F218" s="4">
        <v>0</v>
      </c>
      <c r="G218" s="17">
        <v>0.12329760000000001</v>
      </c>
      <c r="H218" s="4">
        <v>0</v>
      </c>
      <c r="I218" s="4">
        <v>0</v>
      </c>
      <c r="J218" s="4">
        <v>1.3730999999999998E-2</v>
      </c>
      <c r="K218" s="4">
        <v>0.1095666</v>
      </c>
      <c r="L218" s="4">
        <f t="shared" si="3"/>
        <v>0.12329759999999999</v>
      </c>
      <c r="M218" s="4"/>
      <c r="N218" s="4" t="s">
        <v>3123</v>
      </c>
      <c r="O218" s="19">
        <v>46172</v>
      </c>
      <c r="P218" s="29" t="s">
        <v>3167</v>
      </c>
      <c r="Q218" s="19">
        <v>46203</v>
      </c>
      <c r="R218" t="s">
        <v>2007</v>
      </c>
      <c r="T218" t="e">
        <f>VLOOKUP(C218,'Legal &amp; Wrt.off'!C:C,1,0)</f>
        <v>#N/A</v>
      </c>
    </row>
    <row r="219" spans="1:20" hidden="1" x14ac:dyDescent="0.35">
      <c r="A219" t="s">
        <v>2017</v>
      </c>
      <c r="B219" t="s">
        <v>19</v>
      </c>
      <c r="C219" t="s">
        <v>1355</v>
      </c>
      <c r="D219" t="s">
        <v>1356</v>
      </c>
      <c r="E219" s="16">
        <v>0.47106519999999996</v>
      </c>
      <c r="F219" s="4">
        <v>0</v>
      </c>
      <c r="G219" s="17">
        <v>0.47106519999999996</v>
      </c>
      <c r="H219" s="4">
        <v>0</v>
      </c>
      <c r="I219" s="4">
        <v>0</v>
      </c>
      <c r="J219" s="4">
        <v>5.0435500000000001E-2</v>
      </c>
      <c r="K219" s="4">
        <v>0.4206297</v>
      </c>
      <c r="L219" s="4">
        <f t="shared" si="3"/>
        <v>0.47106520000000002</v>
      </c>
      <c r="M219" s="4"/>
      <c r="N219" s="4" t="s">
        <v>3164</v>
      </c>
      <c r="O219" s="19">
        <v>46172</v>
      </c>
      <c r="P219" s="29" t="s">
        <v>3731</v>
      </c>
      <c r="Q219" s="19">
        <v>46203</v>
      </c>
      <c r="R219" t="s">
        <v>2007</v>
      </c>
      <c r="T219" t="e">
        <f>VLOOKUP(C219,'Legal &amp; Wrt.off'!C:C,1,0)</f>
        <v>#N/A</v>
      </c>
    </row>
    <row r="220" spans="1:20" hidden="1" x14ac:dyDescent="0.35">
      <c r="A220" t="s">
        <v>2016</v>
      </c>
      <c r="B220" t="s">
        <v>93</v>
      </c>
      <c r="C220" t="s">
        <v>1361</v>
      </c>
      <c r="D220" t="s">
        <v>1362</v>
      </c>
      <c r="E220" s="16">
        <v>4.1274100000000001E-2</v>
      </c>
      <c r="F220" s="4">
        <v>0</v>
      </c>
      <c r="G220" s="17">
        <v>4.1274100000000001E-2</v>
      </c>
      <c r="H220" s="4">
        <v>0</v>
      </c>
      <c r="I220" s="4">
        <v>0</v>
      </c>
      <c r="J220" s="4">
        <v>2.6481399999999999E-2</v>
      </c>
      <c r="K220" s="4">
        <v>1.4792700000000001E-2</v>
      </c>
      <c r="L220" s="4">
        <f t="shared" si="3"/>
        <v>4.1274100000000001E-2</v>
      </c>
      <c r="M220" s="4"/>
      <c r="N220" s="4" t="s">
        <v>3177</v>
      </c>
      <c r="P220" s="29" t="s">
        <v>3177</v>
      </c>
      <c r="R220" t="s">
        <v>2007</v>
      </c>
      <c r="T220" t="e">
        <f>VLOOKUP(C220,'Legal &amp; Wrt.off'!C:C,1,0)</f>
        <v>#N/A</v>
      </c>
    </row>
    <row r="221" spans="1:20" hidden="1" x14ac:dyDescent="0.35">
      <c r="A221" t="s">
        <v>2016</v>
      </c>
      <c r="B221" t="s">
        <v>93</v>
      </c>
      <c r="C221" t="s">
        <v>1363</v>
      </c>
      <c r="D221" t="s">
        <v>1364</v>
      </c>
      <c r="E221" s="16">
        <v>2.2898699999999998E-2</v>
      </c>
      <c r="F221" s="4">
        <v>0</v>
      </c>
      <c r="G221" s="17">
        <v>2.2898699999999998E-2</v>
      </c>
      <c r="H221" s="4">
        <v>0</v>
      </c>
      <c r="I221" s="4">
        <v>0</v>
      </c>
      <c r="J221" s="4">
        <v>9.7564000000000001E-3</v>
      </c>
      <c r="K221" s="4">
        <v>1.3142300000000001E-2</v>
      </c>
      <c r="L221" s="4">
        <f t="shared" si="3"/>
        <v>2.2898700000000001E-2</v>
      </c>
      <c r="M221" s="4"/>
      <c r="N221" s="4" t="s">
        <v>3177</v>
      </c>
      <c r="P221" s="29" t="s">
        <v>3177</v>
      </c>
      <c r="R221" t="s">
        <v>2007</v>
      </c>
      <c r="T221" t="e">
        <f>VLOOKUP(C221,'Legal &amp; Wrt.off'!C:C,1,0)</f>
        <v>#N/A</v>
      </c>
    </row>
    <row r="222" spans="1:20" hidden="1" x14ac:dyDescent="0.35">
      <c r="A222" t="s">
        <v>2019</v>
      </c>
      <c r="B222" t="s">
        <v>24</v>
      </c>
      <c r="C222" t="s">
        <v>1367</v>
      </c>
      <c r="D222" t="s">
        <v>1368</v>
      </c>
      <c r="E222" s="16">
        <v>2.96004000000001E-2</v>
      </c>
      <c r="F222" s="4">
        <v>0</v>
      </c>
      <c r="G222" s="17">
        <v>2.96004000000001E-2</v>
      </c>
      <c r="H222" s="4">
        <v>0</v>
      </c>
      <c r="I222" s="4">
        <v>0</v>
      </c>
      <c r="J222" s="4">
        <v>2.96004000000001E-2</v>
      </c>
      <c r="K222" s="4">
        <v>0</v>
      </c>
      <c r="L222" s="4">
        <f t="shared" si="3"/>
        <v>2.96004000000001E-2</v>
      </c>
      <c r="M222" s="4"/>
      <c r="N222" s="4" t="s">
        <v>3188</v>
      </c>
      <c r="P222" s="29" t="s">
        <v>3188</v>
      </c>
      <c r="R222" t="s">
        <v>3116</v>
      </c>
      <c r="T222" t="e">
        <f>VLOOKUP(C222,'Legal &amp; Wrt.off'!C:C,1,0)</f>
        <v>#N/A</v>
      </c>
    </row>
    <row r="223" spans="1:20" hidden="1" x14ac:dyDescent="0.35">
      <c r="A223" t="s">
        <v>2019</v>
      </c>
      <c r="B223" t="s">
        <v>24</v>
      </c>
      <c r="C223" t="s">
        <v>1369</v>
      </c>
      <c r="D223" t="s">
        <v>1370</v>
      </c>
      <c r="E223" s="16">
        <v>2.2563632999999998</v>
      </c>
      <c r="F223" s="4">
        <v>0</v>
      </c>
      <c r="G223" s="17">
        <v>2.2563632999999998</v>
      </c>
      <c r="H223" s="4">
        <v>0</v>
      </c>
      <c r="I223" s="4">
        <v>0</v>
      </c>
      <c r="J223" s="4">
        <v>0.135433</v>
      </c>
      <c r="K223" s="4">
        <v>2.1209302999999999</v>
      </c>
      <c r="L223" s="4">
        <f t="shared" si="3"/>
        <v>2.2563632999999998</v>
      </c>
      <c r="M223" s="4"/>
      <c r="N223" s="4" t="s">
        <v>2011</v>
      </c>
      <c r="P223" s="29" t="s">
        <v>2011</v>
      </c>
      <c r="R223" t="s">
        <v>3408</v>
      </c>
      <c r="S223" t="s">
        <v>3408</v>
      </c>
      <c r="T223" t="e">
        <f>VLOOKUP(C223,'Legal &amp; Wrt.off'!C:C,1,0)</f>
        <v>#N/A</v>
      </c>
    </row>
    <row r="224" spans="1:20" hidden="1" x14ac:dyDescent="0.35">
      <c r="A224" t="s">
        <v>2016</v>
      </c>
      <c r="B224" t="s">
        <v>41</v>
      </c>
      <c r="C224" t="s">
        <v>1371</v>
      </c>
      <c r="D224" t="s">
        <v>1372</v>
      </c>
      <c r="E224" s="16">
        <v>2.1131053</v>
      </c>
      <c r="F224" s="4">
        <v>0</v>
      </c>
      <c r="G224" s="17">
        <v>2.1131053</v>
      </c>
      <c r="H224" s="4">
        <v>0</v>
      </c>
      <c r="I224" s="4">
        <v>0</v>
      </c>
      <c r="J224" s="4">
        <v>0.2367679</v>
      </c>
      <c r="K224" s="4">
        <v>1.8763373999999999</v>
      </c>
      <c r="L224" s="4">
        <f t="shared" si="3"/>
        <v>2.1131053</v>
      </c>
      <c r="M224" s="4"/>
      <c r="N224" s="4" t="s">
        <v>2011</v>
      </c>
      <c r="P224" s="29" t="s">
        <v>2011</v>
      </c>
      <c r="R224" t="s">
        <v>3408</v>
      </c>
      <c r="S224" t="s">
        <v>2011</v>
      </c>
      <c r="T224" t="e">
        <f>VLOOKUP(C224,'Legal &amp; Wrt.off'!C:C,1,0)</f>
        <v>#N/A</v>
      </c>
    </row>
    <row r="225" spans="1:20" hidden="1" x14ac:dyDescent="0.35">
      <c r="A225" t="s">
        <v>2016</v>
      </c>
      <c r="B225" t="s">
        <v>41</v>
      </c>
      <c r="C225" t="s">
        <v>1375</v>
      </c>
      <c r="D225" t="s">
        <v>1376</v>
      </c>
      <c r="E225" s="16">
        <v>1.4321702999999999</v>
      </c>
      <c r="F225" s="4">
        <v>0</v>
      </c>
      <c r="G225" s="17">
        <v>1.4321702999999999</v>
      </c>
      <c r="H225" s="4">
        <v>0</v>
      </c>
      <c r="I225" s="4">
        <v>0</v>
      </c>
      <c r="J225" s="4">
        <v>8.0257800000000004E-2</v>
      </c>
      <c r="K225" s="4">
        <v>1.3519125000000001</v>
      </c>
      <c r="L225" s="4">
        <f t="shared" si="3"/>
        <v>1.4321703000000001</v>
      </c>
      <c r="M225" s="4"/>
      <c r="N225" s="4" t="s">
        <v>3178</v>
      </c>
      <c r="P225" s="29" t="s">
        <v>3701</v>
      </c>
      <c r="Q225" s="19">
        <v>46181</v>
      </c>
      <c r="R225" t="s">
        <v>2007</v>
      </c>
      <c r="T225" t="e">
        <f>VLOOKUP(C225,'Legal &amp; Wrt.off'!C:C,1,0)</f>
        <v>#N/A</v>
      </c>
    </row>
    <row r="226" spans="1:20" hidden="1" x14ac:dyDescent="0.35">
      <c r="A226" t="s">
        <v>2016</v>
      </c>
      <c r="B226" t="s">
        <v>41</v>
      </c>
      <c r="C226" t="s">
        <v>1377</v>
      </c>
      <c r="D226" t="s">
        <v>1378</v>
      </c>
      <c r="E226" s="16">
        <v>1.8047999999999998E-2</v>
      </c>
      <c r="F226" s="4">
        <v>0</v>
      </c>
      <c r="G226" s="17">
        <v>1.8047999999999998E-2</v>
      </c>
      <c r="H226" s="4">
        <v>0</v>
      </c>
      <c r="I226" s="4">
        <v>0</v>
      </c>
      <c r="J226" s="4">
        <v>1.8047299999999999E-2</v>
      </c>
      <c r="K226" s="4">
        <v>7.0000000000000007E-7</v>
      </c>
      <c r="L226" s="4">
        <f t="shared" si="3"/>
        <v>1.8047999999999998E-2</v>
      </c>
      <c r="M226" s="4"/>
      <c r="N226" s="4" t="s">
        <v>3177</v>
      </c>
      <c r="P226" s="29" t="s">
        <v>3177</v>
      </c>
      <c r="R226" t="s">
        <v>2007</v>
      </c>
      <c r="T226" t="e">
        <f>VLOOKUP(C226,'Legal &amp; Wrt.off'!C:C,1,0)</f>
        <v>#N/A</v>
      </c>
    </row>
    <row r="227" spans="1:20" hidden="1" x14ac:dyDescent="0.35">
      <c r="A227" t="s">
        <v>2016</v>
      </c>
      <c r="B227" t="s">
        <v>41</v>
      </c>
      <c r="C227" t="s">
        <v>1379</v>
      </c>
      <c r="D227" t="s">
        <v>1380</v>
      </c>
      <c r="E227" s="16">
        <v>0.7468939</v>
      </c>
      <c r="F227" s="4">
        <v>0</v>
      </c>
      <c r="G227" s="17">
        <v>0.7468939</v>
      </c>
      <c r="H227" s="4">
        <v>0</v>
      </c>
      <c r="I227" s="4">
        <v>0</v>
      </c>
      <c r="J227" s="4">
        <v>7.1494000000000002E-3</v>
      </c>
      <c r="K227" s="4">
        <v>0.73974449999999992</v>
      </c>
      <c r="L227" s="4">
        <f t="shared" si="3"/>
        <v>0.74689389999999989</v>
      </c>
      <c r="M227" s="4"/>
      <c r="N227" s="4" t="s">
        <v>2011</v>
      </c>
      <c r="P227" s="29" t="s">
        <v>2011</v>
      </c>
      <c r="R227" t="s">
        <v>3408</v>
      </c>
      <c r="S227" t="s">
        <v>2011</v>
      </c>
      <c r="T227" t="e">
        <f>VLOOKUP(C227,'Legal &amp; Wrt.off'!C:C,1,0)</f>
        <v>#N/A</v>
      </c>
    </row>
    <row r="228" spans="1:20" hidden="1" x14ac:dyDescent="0.35">
      <c r="A228" t="s">
        <v>2019</v>
      </c>
      <c r="B228" t="s">
        <v>27</v>
      </c>
      <c r="C228" t="s">
        <v>1381</v>
      </c>
      <c r="D228" t="s">
        <v>1382</v>
      </c>
      <c r="E228" s="16">
        <v>0.38630429999999999</v>
      </c>
      <c r="F228" s="4">
        <v>0</v>
      </c>
      <c r="G228" s="17">
        <v>0.38630429999999999</v>
      </c>
      <c r="H228" s="4">
        <v>0</v>
      </c>
      <c r="I228" s="4">
        <v>0</v>
      </c>
      <c r="J228" s="4">
        <v>1.84426E-2</v>
      </c>
      <c r="K228" s="4">
        <v>0.36786169999999996</v>
      </c>
      <c r="L228" s="4">
        <f t="shared" si="3"/>
        <v>0.38630429999999993</v>
      </c>
      <c r="M228" s="4"/>
      <c r="N228" s="4" t="s">
        <v>2011</v>
      </c>
      <c r="P228" s="29" t="s">
        <v>2011</v>
      </c>
      <c r="R228" t="s">
        <v>3408</v>
      </c>
      <c r="S228" t="s">
        <v>3408</v>
      </c>
      <c r="T228" t="e">
        <f>VLOOKUP(C228,'Legal &amp; Wrt.off'!C:C,1,0)</f>
        <v>#N/A</v>
      </c>
    </row>
    <row r="229" spans="1:20" hidden="1" x14ac:dyDescent="0.35">
      <c r="A229" t="s">
        <v>2016</v>
      </c>
      <c r="B229" t="s">
        <v>41</v>
      </c>
      <c r="C229" t="s">
        <v>1383</v>
      </c>
      <c r="D229" t="s">
        <v>1384</v>
      </c>
      <c r="E229" s="16">
        <v>7.5169000000000008E-3</v>
      </c>
      <c r="F229" s="4">
        <v>0</v>
      </c>
      <c r="G229" s="17">
        <v>7.5169000000000008E-3</v>
      </c>
      <c r="H229" s="4">
        <v>0</v>
      </c>
      <c r="I229" s="4">
        <v>0</v>
      </c>
      <c r="J229" s="4">
        <v>0</v>
      </c>
      <c r="K229" s="4">
        <v>7.5168999999999991E-3</v>
      </c>
      <c r="L229" s="4">
        <f t="shared" si="3"/>
        <v>7.5168999999999991E-3</v>
      </c>
      <c r="M229" s="4"/>
      <c r="N229" s="4" t="s">
        <v>3177</v>
      </c>
      <c r="P229" s="29" t="s">
        <v>3177</v>
      </c>
      <c r="R229" t="s">
        <v>2007</v>
      </c>
      <c r="T229" t="e">
        <f>VLOOKUP(C229,'Legal &amp; Wrt.off'!C:C,1,0)</f>
        <v>#N/A</v>
      </c>
    </row>
    <row r="230" spans="1:20" hidden="1" x14ac:dyDescent="0.35">
      <c r="A230" t="s">
        <v>2017</v>
      </c>
      <c r="B230" t="s">
        <v>210</v>
      </c>
      <c r="C230" t="s">
        <v>1387</v>
      </c>
      <c r="D230" t="s">
        <v>1388</v>
      </c>
      <c r="E230" s="16">
        <v>0.51128790000000002</v>
      </c>
      <c r="F230" s="4">
        <v>0</v>
      </c>
      <c r="G230" s="17">
        <v>0.51128790000000002</v>
      </c>
      <c r="H230" s="4">
        <v>0</v>
      </c>
      <c r="I230" s="4">
        <v>0</v>
      </c>
      <c r="J230" s="4">
        <v>0</v>
      </c>
      <c r="K230" s="4">
        <v>0.51128790000000002</v>
      </c>
      <c r="L230" s="4">
        <f t="shared" si="3"/>
        <v>0.51128790000000002</v>
      </c>
      <c r="M230" s="4"/>
      <c r="N230" s="4" t="s">
        <v>3129</v>
      </c>
      <c r="O230" s="19">
        <v>46171</v>
      </c>
      <c r="P230" s="29" t="s">
        <v>3705</v>
      </c>
      <c r="Q230" s="19">
        <v>46183</v>
      </c>
      <c r="R230" t="s">
        <v>2007</v>
      </c>
      <c r="T230" t="e">
        <f>VLOOKUP(C230,'Legal &amp; Wrt.off'!C:C,1,0)</f>
        <v>#N/A</v>
      </c>
    </row>
    <row r="231" spans="1:20" x14ac:dyDescent="0.35">
      <c r="A231" t="s">
        <v>2017</v>
      </c>
      <c r="B231" t="s">
        <v>19</v>
      </c>
      <c r="C231" t="s">
        <v>1397</v>
      </c>
      <c r="D231" t="s">
        <v>1398</v>
      </c>
      <c r="E231" s="16">
        <v>0.13516799999999998</v>
      </c>
      <c r="F231" s="4">
        <v>0</v>
      </c>
      <c r="G231" s="17">
        <v>0.13516799999999998</v>
      </c>
      <c r="H231" s="4">
        <v>0</v>
      </c>
      <c r="I231" s="4">
        <v>0</v>
      </c>
      <c r="J231" s="4">
        <v>0</v>
      </c>
      <c r="K231" s="4">
        <v>0.13516799999999998</v>
      </c>
      <c r="L231" s="4">
        <f t="shared" si="3"/>
        <v>0.13516799999999998</v>
      </c>
      <c r="M231" s="4"/>
      <c r="N231" s="4" t="s">
        <v>3410</v>
      </c>
      <c r="P231" s="29" t="s">
        <v>3410</v>
      </c>
      <c r="R231" t="s">
        <v>3117</v>
      </c>
      <c r="T231" t="e">
        <f>VLOOKUP(C231,'Legal &amp; Wrt.off'!C:C,1,0)</f>
        <v>#N/A</v>
      </c>
    </row>
    <row r="232" spans="1:20" hidden="1" x14ac:dyDescent="0.35">
      <c r="A232" t="s">
        <v>2017</v>
      </c>
      <c r="B232" t="s">
        <v>19</v>
      </c>
      <c r="C232" t="s">
        <v>1399</v>
      </c>
      <c r="D232" t="s">
        <v>1400</v>
      </c>
      <c r="E232" s="16">
        <v>1.01095E-2</v>
      </c>
      <c r="F232" s="4">
        <v>0</v>
      </c>
      <c r="G232" s="17">
        <v>1.01095E-2</v>
      </c>
      <c r="H232" s="4">
        <v>0</v>
      </c>
      <c r="I232" s="4">
        <v>0</v>
      </c>
      <c r="J232" s="4">
        <v>0</v>
      </c>
      <c r="K232" s="4">
        <v>1.01095E-2</v>
      </c>
      <c r="L232" s="4">
        <f t="shared" si="3"/>
        <v>1.01095E-2</v>
      </c>
      <c r="M232" s="4"/>
      <c r="N232" s="4" t="s">
        <v>3165</v>
      </c>
      <c r="O232" s="19">
        <v>46180</v>
      </c>
      <c r="P232" s="29" t="s">
        <v>3165</v>
      </c>
      <c r="Q232" s="19">
        <v>46180</v>
      </c>
      <c r="R232" t="s">
        <v>2007</v>
      </c>
      <c r="T232" t="e">
        <f>VLOOKUP(C232,'Legal &amp; Wrt.off'!C:C,1,0)</f>
        <v>#N/A</v>
      </c>
    </row>
    <row r="233" spans="1:20" hidden="1" x14ac:dyDescent="0.35">
      <c r="A233" t="s">
        <v>2016</v>
      </c>
      <c r="B233" t="s">
        <v>93</v>
      </c>
      <c r="C233" t="s">
        <v>1403</v>
      </c>
      <c r="D233" t="s">
        <v>1404</v>
      </c>
      <c r="E233" s="16">
        <v>3.2331523</v>
      </c>
      <c r="F233" s="4">
        <v>0</v>
      </c>
      <c r="G233" s="17">
        <v>3.2331523</v>
      </c>
      <c r="H233" s="4">
        <v>0</v>
      </c>
      <c r="I233" s="4">
        <v>0</v>
      </c>
      <c r="J233" s="4">
        <v>0</v>
      </c>
      <c r="K233" s="4">
        <v>3.2331523</v>
      </c>
      <c r="L233" s="4">
        <f t="shared" si="3"/>
        <v>3.2331523</v>
      </c>
      <c r="M233" s="4"/>
      <c r="N233" s="4" t="s">
        <v>2011</v>
      </c>
      <c r="P233" s="29" t="s">
        <v>2011</v>
      </c>
      <c r="R233" t="s">
        <v>3408</v>
      </c>
      <c r="S233" t="s">
        <v>3769</v>
      </c>
      <c r="T233" t="e">
        <f>VLOOKUP(C233,'Legal &amp; Wrt.off'!C:C,1,0)</f>
        <v>#N/A</v>
      </c>
    </row>
    <row r="234" spans="1:20" hidden="1" x14ac:dyDescent="0.35">
      <c r="A234" t="s">
        <v>2019</v>
      </c>
      <c r="B234" t="s">
        <v>24</v>
      </c>
      <c r="C234" t="s">
        <v>1407</v>
      </c>
      <c r="D234" t="s">
        <v>1408</v>
      </c>
      <c r="E234" s="16">
        <v>9.3611723999999992</v>
      </c>
      <c r="F234" s="4">
        <v>0</v>
      </c>
      <c r="G234" s="17">
        <v>9.3611723999999992</v>
      </c>
      <c r="H234" s="4">
        <v>0</v>
      </c>
      <c r="I234" s="4">
        <v>0</v>
      </c>
      <c r="J234" s="4">
        <v>0</v>
      </c>
      <c r="K234" s="4">
        <v>9.3611723999999992</v>
      </c>
      <c r="L234" s="4">
        <f t="shared" si="3"/>
        <v>9.3611723999999992</v>
      </c>
      <c r="M234" s="4"/>
      <c r="N234" s="4" t="s">
        <v>2011</v>
      </c>
      <c r="P234" s="29" t="s">
        <v>2011</v>
      </c>
      <c r="R234" t="s">
        <v>3408</v>
      </c>
      <c r="S234" t="s">
        <v>3408</v>
      </c>
      <c r="T234" t="e">
        <f>VLOOKUP(C234,'Legal &amp; Wrt.off'!C:C,1,0)</f>
        <v>#N/A</v>
      </c>
    </row>
    <row r="235" spans="1:20" hidden="1" x14ac:dyDescent="0.35">
      <c r="A235" t="s">
        <v>2016</v>
      </c>
      <c r="B235" t="s">
        <v>41</v>
      </c>
      <c r="C235" t="s">
        <v>1409</v>
      </c>
      <c r="D235" t="s">
        <v>1410</v>
      </c>
      <c r="E235" s="16">
        <v>1.8454999999999999E-2</v>
      </c>
      <c r="F235" s="4">
        <v>0</v>
      </c>
      <c r="G235" s="17">
        <v>1.8454999999999999E-2</v>
      </c>
      <c r="H235" s="4">
        <v>0</v>
      </c>
      <c r="I235" s="4">
        <v>0</v>
      </c>
      <c r="J235" s="4">
        <v>0</v>
      </c>
      <c r="K235" s="4">
        <v>1.8454999999999999E-2</v>
      </c>
      <c r="L235" s="4">
        <f t="shared" si="3"/>
        <v>1.8454999999999999E-2</v>
      </c>
      <c r="M235" s="4"/>
      <c r="N235" s="4" t="s">
        <v>3177</v>
      </c>
      <c r="P235" s="29" t="s">
        <v>3177</v>
      </c>
      <c r="R235" t="s">
        <v>2007</v>
      </c>
      <c r="T235" t="e">
        <f>VLOOKUP(C235,'Legal &amp; Wrt.off'!C:C,1,0)</f>
        <v>#N/A</v>
      </c>
    </row>
    <row r="236" spans="1:20" hidden="1" x14ac:dyDescent="0.35">
      <c r="A236" t="s">
        <v>2019</v>
      </c>
      <c r="B236" t="s">
        <v>27</v>
      </c>
      <c r="C236" t="s">
        <v>1411</v>
      </c>
      <c r="D236" t="s">
        <v>1412</v>
      </c>
      <c r="E236" s="16">
        <v>0.1986533</v>
      </c>
      <c r="F236" s="4">
        <v>0</v>
      </c>
      <c r="G236" s="17">
        <v>0.1986533</v>
      </c>
      <c r="H236" s="4">
        <v>0</v>
      </c>
      <c r="I236" s="4">
        <v>0</v>
      </c>
      <c r="J236" s="4">
        <v>0</v>
      </c>
      <c r="K236" s="4">
        <v>0.19865329999999998</v>
      </c>
      <c r="L236" s="4">
        <f t="shared" si="3"/>
        <v>0.19865329999999998</v>
      </c>
      <c r="M236" s="4"/>
      <c r="N236" s="4" t="s">
        <v>3208</v>
      </c>
      <c r="P236" s="29" t="s">
        <v>3208</v>
      </c>
      <c r="R236" t="s">
        <v>2014</v>
      </c>
      <c r="S236" t="s">
        <v>3413</v>
      </c>
      <c r="T236" t="e">
        <f>VLOOKUP(C236,'Legal &amp; Wrt.off'!C:C,1,0)</f>
        <v>#N/A</v>
      </c>
    </row>
    <row r="237" spans="1:20" hidden="1" x14ac:dyDescent="0.35">
      <c r="A237" t="s">
        <v>2019</v>
      </c>
      <c r="B237" t="s">
        <v>27</v>
      </c>
      <c r="C237" t="s">
        <v>1413</v>
      </c>
      <c r="D237" t="s">
        <v>1414</v>
      </c>
      <c r="E237" s="16">
        <v>0.46552789999999999</v>
      </c>
      <c r="F237" s="4">
        <v>0</v>
      </c>
      <c r="G237" s="17">
        <v>0.46552789999999999</v>
      </c>
      <c r="H237" s="4">
        <v>0</v>
      </c>
      <c r="I237" s="4">
        <v>0</v>
      </c>
      <c r="J237" s="4">
        <v>0</v>
      </c>
      <c r="K237" s="4">
        <v>0.46552789999999994</v>
      </c>
      <c r="L237" s="4">
        <f t="shared" si="3"/>
        <v>0.46552789999999994</v>
      </c>
      <c r="M237" s="4"/>
      <c r="N237" s="4" t="s">
        <v>3209</v>
      </c>
      <c r="O237" s="19">
        <v>46188</v>
      </c>
      <c r="P237" s="29" t="s">
        <v>3755</v>
      </c>
      <c r="R237" t="s">
        <v>2007</v>
      </c>
      <c r="T237" t="e">
        <f>VLOOKUP(C237,'Legal &amp; Wrt.off'!C:C,1,0)</f>
        <v>#N/A</v>
      </c>
    </row>
    <row r="238" spans="1:20" hidden="1" x14ac:dyDescent="0.35">
      <c r="A238" t="s">
        <v>2017</v>
      </c>
      <c r="B238" t="s">
        <v>210</v>
      </c>
      <c r="C238" t="s">
        <v>1415</v>
      </c>
      <c r="D238" t="s">
        <v>1416</v>
      </c>
      <c r="E238" s="16">
        <v>8.7660067000000002</v>
      </c>
      <c r="F238" s="4">
        <v>0</v>
      </c>
      <c r="G238" s="17">
        <v>8.7660067000000002</v>
      </c>
      <c r="H238" s="4">
        <v>0</v>
      </c>
      <c r="I238" s="4">
        <v>0</v>
      </c>
      <c r="J238" s="4">
        <v>0</v>
      </c>
      <c r="K238" s="4">
        <v>8.7660066999999984</v>
      </c>
      <c r="L238" s="4">
        <f t="shared" si="3"/>
        <v>8.7660066999999984</v>
      </c>
      <c r="M238" s="4"/>
      <c r="N238" s="4" t="s">
        <v>3153</v>
      </c>
      <c r="P238" s="29" t="s">
        <v>3732</v>
      </c>
      <c r="Q238" s="19">
        <v>46198</v>
      </c>
      <c r="R238" t="s">
        <v>3408</v>
      </c>
      <c r="S238" t="s">
        <v>3408</v>
      </c>
      <c r="T238" t="e">
        <f>VLOOKUP(C238,'Legal &amp; Wrt.off'!C:C,1,0)</f>
        <v>#N/A</v>
      </c>
    </row>
    <row r="239" spans="1:20" hidden="1" x14ac:dyDescent="0.35">
      <c r="A239" t="s">
        <v>2017</v>
      </c>
      <c r="B239" t="s">
        <v>33</v>
      </c>
      <c r="C239" t="s">
        <v>1417</v>
      </c>
      <c r="D239" t="s">
        <v>1418</v>
      </c>
      <c r="E239" s="16">
        <v>2.9186496000000002</v>
      </c>
      <c r="F239" s="4">
        <v>0</v>
      </c>
      <c r="G239" s="17">
        <v>2.9186496000000002</v>
      </c>
      <c r="H239" s="4">
        <v>0</v>
      </c>
      <c r="I239" s="4">
        <v>0</v>
      </c>
      <c r="J239" s="4">
        <v>2.9186495999999997</v>
      </c>
      <c r="K239" s="4">
        <v>0</v>
      </c>
      <c r="L239" s="4">
        <f t="shared" si="3"/>
        <v>2.9186495999999997</v>
      </c>
      <c r="M239" s="4"/>
      <c r="N239" s="4" t="s">
        <v>3166</v>
      </c>
      <c r="P239" s="29" t="s">
        <v>3733</v>
      </c>
      <c r="Q239" s="19" t="s">
        <v>3734</v>
      </c>
      <c r="R239" t="s">
        <v>2008</v>
      </c>
      <c r="T239" t="e">
        <f>VLOOKUP(C239,'Legal &amp; Wrt.off'!C:C,1,0)</f>
        <v>#N/A</v>
      </c>
    </row>
    <row r="240" spans="1:20" hidden="1" x14ac:dyDescent="0.35">
      <c r="A240" t="s">
        <v>2017</v>
      </c>
      <c r="B240" t="s">
        <v>19</v>
      </c>
      <c r="C240" t="s">
        <v>1423</v>
      </c>
      <c r="D240" t="s">
        <v>1424</v>
      </c>
      <c r="E240" s="16">
        <v>1.6164999999999999E-2</v>
      </c>
      <c r="F240" s="4">
        <v>0</v>
      </c>
      <c r="G240" s="17">
        <v>1.6164999999999999E-2</v>
      </c>
      <c r="H240" s="4">
        <v>0</v>
      </c>
      <c r="I240" s="4">
        <v>0</v>
      </c>
      <c r="J240" s="4">
        <v>1.6164999999999999E-2</v>
      </c>
      <c r="K240" s="4">
        <v>0</v>
      </c>
      <c r="L240" s="4">
        <f t="shared" si="3"/>
        <v>1.6164999999999999E-2</v>
      </c>
      <c r="M240" s="4"/>
      <c r="N240" s="4" t="s">
        <v>3132</v>
      </c>
      <c r="O240" s="19">
        <v>46172</v>
      </c>
      <c r="P240" s="29" t="s">
        <v>3705</v>
      </c>
      <c r="Q240" s="19">
        <v>46203</v>
      </c>
      <c r="R240" t="s">
        <v>2007</v>
      </c>
      <c r="T240" t="e">
        <f>VLOOKUP(C240,'Legal &amp; Wrt.off'!C:C,1,0)</f>
        <v>#N/A</v>
      </c>
    </row>
    <row r="241" spans="1:20" hidden="1" x14ac:dyDescent="0.35">
      <c r="A241" t="s">
        <v>2019</v>
      </c>
      <c r="B241" t="s">
        <v>16</v>
      </c>
      <c r="C241" t="s">
        <v>1429</v>
      </c>
      <c r="D241" t="s">
        <v>1430</v>
      </c>
      <c r="E241" s="16">
        <v>0.95811729999999995</v>
      </c>
      <c r="F241" s="4">
        <v>0</v>
      </c>
      <c r="G241" s="17">
        <v>0.95811729999999995</v>
      </c>
      <c r="H241" s="4">
        <v>0</v>
      </c>
      <c r="I241" s="4">
        <v>0</v>
      </c>
      <c r="J241" s="4">
        <v>0</v>
      </c>
      <c r="K241" s="4">
        <v>0.95811729999999995</v>
      </c>
      <c r="L241" s="4">
        <f t="shared" si="3"/>
        <v>0.95811729999999995</v>
      </c>
      <c r="M241" s="4"/>
      <c r="N241" s="4" t="s">
        <v>3210</v>
      </c>
      <c r="P241" s="29" t="s">
        <v>3756</v>
      </c>
      <c r="R241" t="s">
        <v>2012</v>
      </c>
      <c r="S241" t="s">
        <v>3416</v>
      </c>
      <c r="T241" t="e">
        <f>VLOOKUP(C241,'Legal &amp; Wrt.off'!C:C,1,0)</f>
        <v>#N/A</v>
      </c>
    </row>
    <row r="242" spans="1:20" x14ac:dyDescent="0.35">
      <c r="A242" t="s">
        <v>2017</v>
      </c>
      <c r="B242" t="s">
        <v>210</v>
      </c>
      <c r="C242" t="s">
        <v>1441</v>
      </c>
      <c r="D242" t="s">
        <v>1442</v>
      </c>
      <c r="E242" s="16">
        <v>1.8541239</v>
      </c>
      <c r="F242" s="4">
        <v>0</v>
      </c>
      <c r="G242" s="17">
        <v>1.8541239</v>
      </c>
      <c r="H242" s="4">
        <v>0</v>
      </c>
      <c r="I242" s="4">
        <v>0</v>
      </c>
      <c r="J242" s="4">
        <v>0</v>
      </c>
      <c r="K242" s="4">
        <v>1.8541239</v>
      </c>
      <c r="L242" s="4">
        <f t="shared" si="3"/>
        <v>1.8541239</v>
      </c>
      <c r="M242" s="4"/>
      <c r="N242" s="4" t="s">
        <v>3153</v>
      </c>
      <c r="P242" s="29" t="s">
        <v>3153</v>
      </c>
      <c r="R242" t="s">
        <v>3408</v>
      </c>
      <c r="S242" t="s">
        <v>3408</v>
      </c>
      <c r="T242" t="e">
        <f>VLOOKUP(C242,'Legal &amp; Wrt.off'!C:C,1,0)</f>
        <v>#N/A</v>
      </c>
    </row>
    <row r="243" spans="1:20" hidden="1" x14ac:dyDescent="0.35">
      <c r="A243" t="s">
        <v>2019</v>
      </c>
      <c r="B243" t="s">
        <v>24</v>
      </c>
      <c r="C243" t="s">
        <v>1447</v>
      </c>
      <c r="D243" t="s">
        <v>1448</v>
      </c>
      <c r="E243" s="16">
        <v>1.9231776</v>
      </c>
      <c r="F243" s="4">
        <v>0</v>
      </c>
      <c r="G243" s="17">
        <v>1.9231776</v>
      </c>
      <c r="H243" s="4">
        <v>0</v>
      </c>
      <c r="I243" s="4">
        <v>0</v>
      </c>
      <c r="J243" s="4">
        <v>0</v>
      </c>
      <c r="K243" s="4">
        <v>1.9231776</v>
      </c>
      <c r="L243" s="4">
        <f t="shared" si="3"/>
        <v>1.9231776</v>
      </c>
      <c r="M243" s="4"/>
      <c r="N243" s="4" t="s">
        <v>2011</v>
      </c>
      <c r="P243" s="29" t="s">
        <v>2011</v>
      </c>
      <c r="R243" t="s">
        <v>3408</v>
      </c>
      <c r="S243" t="s">
        <v>3408</v>
      </c>
      <c r="T243" t="e">
        <f>VLOOKUP(C243,'Legal &amp; Wrt.off'!C:C,1,0)</f>
        <v>#N/A</v>
      </c>
    </row>
    <row r="244" spans="1:20" hidden="1" x14ac:dyDescent="0.35">
      <c r="A244" t="s">
        <v>2017</v>
      </c>
      <c r="B244" t="s">
        <v>210</v>
      </c>
      <c r="C244" t="s">
        <v>1449</v>
      </c>
      <c r="D244" t="s">
        <v>1450</v>
      </c>
      <c r="E244" s="16">
        <v>1.7815637</v>
      </c>
      <c r="F244" s="4">
        <v>0</v>
      </c>
      <c r="G244" s="17">
        <v>1.7815637</v>
      </c>
      <c r="H244" s="4">
        <v>0</v>
      </c>
      <c r="I244" s="4">
        <v>0</v>
      </c>
      <c r="J244" s="4">
        <v>0</v>
      </c>
      <c r="K244" s="4">
        <v>1.7815637</v>
      </c>
      <c r="L244" s="4">
        <f t="shared" si="3"/>
        <v>1.7815637</v>
      </c>
      <c r="M244" s="4"/>
      <c r="N244" s="4" t="s">
        <v>3153</v>
      </c>
      <c r="P244" s="29" t="s">
        <v>3153</v>
      </c>
      <c r="R244" t="s">
        <v>3408</v>
      </c>
      <c r="S244" t="s">
        <v>3408</v>
      </c>
      <c r="T244" t="e">
        <f>VLOOKUP(C244,'Legal &amp; Wrt.off'!C:C,1,0)</f>
        <v>#N/A</v>
      </c>
    </row>
    <row r="245" spans="1:20" hidden="1" x14ac:dyDescent="0.35">
      <c r="A245" t="s">
        <v>2017</v>
      </c>
      <c r="B245" t="s">
        <v>210</v>
      </c>
      <c r="C245" t="s">
        <v>1453</v>
      </c>
      <c r="D245" t="s">
        <v>1454</v>
      </c>
      <c r="E245" s="16">
        <v>9.1654383999999993</v>
      </c>
      <c r="F245" s="4">
        <v>0</v>
      </c>
      <c r="G245" s="17">
        <v>9.1654383999999993</v>
      </c>
      <c r="H245" s="4">
        <v>0</v>
      </c>
      <c r="I245" s="4">
        <v>0</v>
      </c>
      <c r="J245" s="4">
        <v>0</v>
      </c>
      <c r="K245" s="4">
        <v>9.1654383999999993</v>
      </c>
      <c r="L245" s="4">
        <f t="shared" si="3"/>
        <v>9.1654383999999993</v>
      </c>
      <c r="M245" s="4"/>
      <c r="N245" s="4" t="s">
        <v>3153</v>
      </c>
      <c r="P245" s="29" t="s">
        <v>3732</v>
      </c>
      <c r="Q245" s="19">
        <v>46198</v>
      </c>
      <c r="R245" t="s">
        <v>3408</v>
      </c>
      <c r="S245" t="s">
        <v>3408</v>
      </c>
      <c r="T245" t="e">
        <f>VLOOKUP(C245,'Legal &amp; Wrt.off'!C:C,1,0)</f>
        <v>#N/A</v>
      </c>
    </row>
    <row r="246" spans="1:20" hidden="1" x14ac:dyDescent="0.35">
      <c r="A246" t="s">
        <v>2017</v>
      </c>
      <c r="B246" t="s">
        <v>19</v>
      </c>
      <c r="C246" t="s">
        <v>1465</v>
      </c>
      <c r="D246" t="s">
        <v>1466</v>
      </c>
      <c r="E246" s="16">
        <v>0.1661784</v>
      </c>
      <c r="F246" s="4">
        <v>0</v>
      </c>
      <c r="G246" s="17">
        <v>0.1661784</v>
      </c>
      <c r="H246" s="4">
        <v>0</v>
      </c>
      <c r="I246" s="4">
        <v>0</v>
      </c>
      <c r="J246" s="4">
        <v>0</v>
      </c>
      <c r="K246" s="4">
        <v>0.1661784</v>
      </c>
      <c r="L246" s="4">
        <f t="shared" si="3"/>
        <v>0.1661784</v>
      </c>
      <c r="M246" s="4"/>
      <c r="N246" s="4" t="s">
        <v>3167</v>
      </c>
      <c r="O246" s="19">
        <v>46172</v>
      </c>
      <c r="P246" s="29" t="s">
        <v>3167</v>
      </c>
      <c r="Q246" s="19">
        <v>46203</v>
      </c>
      <c r="R246" t="s">
        <v>2007</v>
      </c>
      <c r="T246" t="e">
        <f>VLOOKUP(C246,'Legal &amp; Wrt.off'!C:C,1,0)</f>
        <v>#N/A</v>
      </c>
    </row>
    <row r="247" spans="1:20" hidden="1" x14ac:dyDescent="0.35">
      <c r="A247" t="s">
        <v>2017</v>
      </c>
      <c r="B247" t="s">
        <v>19</v>
      </c>
      <c r="C247" t="s">
        <v>1471</v>
      </c>
      <c r="D247" t="s">
        <v>1472</v>
      </c>
      <c r="E247" s="16">
        <v>0.82104969999999999</v>
      </c>
      <c r="F247" s="4">
        <v>0</v>
      </c>
      <c r="G247" s="17">
        <v>0.82104969999999999</v>
      </c>
      <c r="H247" s="4">
        <v>0</v>
      </c>
      <c r="I247" s="4">
        <v>0</v>
      </c>
      <c r="J247" s="4">
        <v>0</v>
      </c>
      <c r="K247" s="4">
        <v>0.82104969999999999</v>
      </c>
      <c r="L247" s="4">
        <f t="shared" si="3"/>
        <v>0.82104969999999999</v>
      </c>
      <c r="M247" s="4"/>
      <c r="N247" s="4" t="s">
        <v>3145</v>
      </c>
      <c r="P247" s="29" t="s">
        <v>3735</v>
      </c>
      <c r="R247" t="s">
        <v>2008</v>
      </c>
      <c r="T247" t="e">
        <f>VLOOKUP(C247,'Legal &amp; Wrt.off'!C:C,1,0)</f>
        <v>#N/A</v>
      </c>
    </row>
    <row r="248" spans="1:20" hidden="1" x14ac:dyDescent="0.35">
      <c r="A248" t="s">
        <v>2017</v>
      </c>
      <c r="B248" t="s">
        <v>36</v>
      </c>
      <c r="C248" t="s">
        <v>1473</v>
      </c>
      <c r="D248" t="s">
        <v>1474</v>
      </c>
      <c r="E248" s="16">
        <v>0.1491094</v>
      </c>
      <c r="F248" s="4">
        <v>0</v>
      </c>
      <c r="G248" s="17">
        <v>0.1491094</v>
      </c>
      <c r="H248" s="4">
        <v>0</v>
      </c>
      <c r="I248" s="4">
        <v>0</v>
      </c>
      <c r="J248" s="4">
        <v>0</v>
      </c>
      <c r="K248" s="4">
        <v>0.14910939999999998</v>
      </c>
      <c r="L248" s="4">
        <f t="shared" si="3"/>
        <v>0.14910939999999998</v>
      </c>
      <c r="M248" s="4"/>
      <c r="N248" s="4" t="s">
        <v>3123</v>
      </c>
      <c r="O248" s="19">
        <v>46172</v>
      </c>
      <c r="P248" s="29" t="s">
        <v>3705</v>
      </c>
      <c r="Q248" s="19">
        <v>46199</v>
      </c>
      <c r="R248" t="s">
        <v>2007</v>
      </c>
      <c r="T248" t="e">
        <f>VLOOKUP(C248,'Legal &amp; Wrt.off'!C:C,1,0)</f>
        <v>#N/A</v>
      </c>
    </row>
    <row r="249" spans="1:20" hidden="1" x14ac:dyDescent="0.35">
      <c r="A249" t="s">
        <v>2017</v>
      </c>
      <c r="B249" t="s">
        <v>88</v>
      </c>
      <c r="C249" t="s">
        <v>1475</v>
      </c>
      <c r="D249" t="s">
        <v>1476</v>
      </c>
      <c r="E249" s="16">
        <v>2.4373258</v>
      </c>
      <c r="F249" s="4">
        <v>0</v>
      </c>
      <c r="G249" s="17">
        <v>2.4373258</v>
      </c>
      <c r="H249" s="4">
        <v>0</v>
      </c>
      <c r="I249" s="4">
        <v>0</v>
      </c>
      <c r="J249" s="4">
        <v>0</v>
      </c>
      <c r="K249" s="4">
        <v>2.4373258</v>
      </c>
      <c r="L249" s="4">
        <f t="shared" si="3"/>
        <v>2.4373258</v>
      </c>
      <c r="M249" s="4"/>
      <c r="N249" s="4" t="s">
        <v>3127</v>
      </c>
      <c r="P249" s="29" t="s">
        <v>3153</v>
      </c>
      <c r="R249" t="s">
        <v>2014</v>
      </c>
      <c r="T249" t="e">
        <f>VLOOKUP(C249,'Legal &amp; Wrt.off'!C:C,1,0)</f>
        <v>#N/A</v>
      </c>
    </row>
    <row r="250" spans="1:20" hidden="1" x14ac:dyDescent="0.35">
      <c r="A250" t="s">
        <v>2017</v>
      </c>
      <c r="B250" t="s">
        <v>36</v>
      </c>
      <c r="C250" t="s">
        <v>1495</v>
      </c>
      <c r="D250" t="s">
        <v>1496</v>
      </c>
      <c r="E250" s="16">
        <v>0.16686380000000001</v>
      </c>
      <c r="F250" s="4">
        <v>0</v>
      </c>
      <c r="G250" s="17">
        <v>0.16686380000000001</v>
      </c>
      <c r="H250" s="4">
        <v>0</v>
      </c>
      <c r="I250" s="4">
        <v>0</v>
      </c>
      <c r="J250" s="4">
        <v>0</v>
      </c>
      <c r="K250" s="4">
        <v>0.16686380000000001</v>
      </c>
      <c r="L250" s="4">
        <f t="shared" si="3"/>
        <v>0.16686380000000001</v>
      </c>
      <c r="M250" s="4"/>
      <c r="N250" s="4" t="s">
        <v>2014</v>
      </c>
      <c r="P250" s="29" t="s">
        <v>2014</v>
      </c>
      <c r="R250" t="s">
        <v>2014</v>
      </c>
      <c r="S250" t="s">
        <v>3411</v>
      </c>
      <c r="T250" t="e">
        <f>VLOOKUP(C250,'Legal &amp; Wrt.off'!C:C,1,0)</f>
        <v>#N/A</v>
      </c>
    </row>
    <row r="251" spans="1:20" x14ac:dyDescent="0.35">
      <c r="A251" t="s">
        <v>2017</v>
      </c>
      <c r="B251" t="s">
        <v>210</v>
      </c>
      <c r="C251" t="s">
        <v>1501</v>
      </c>
      <c r="D251" t="s">
        <v>1502</v>
      </c>
      <c r="E251" s="16">
        <v>0.1351926</v>
      </c>
      <c r="F251" s="4">
        <v>0</v>
      </c>
      <c r="G251" s="17">
        <v>0.1351926</v>
      </c>
      <c r="H251" s="4">
        <v>0</v>
      </c>
      <c r="I251" s="4">
        <v>0</v>
      </c>
      <c r="J251" s="4">
        <v>0</v>
      </c>
      <c r="K251" s="4">
        <v>0.1351926</v>
      </c>
      <c r="L251" s="4">
        <f t="shared" si="3"/>
        <v>0.1351926</v>
      </c>
      <c r="M251" s="4"/>
      <c r="N251" s="4" t="s">
        <v>3154</v>
      </c>
      <c r="P251" s="29" t="s">
        <v>3715</v>
      </c>
      <c r="R251" t="s">
        <v>3187</v>
      </c>
      <c r="T251" t="e">
        <f>VLOOKUP(C251,'Legal &amp; Wrt.off'!C:C,1,0)</f>
        <v>#N/A</v>
      </c>
    </row>
    <row r="252" spans="1:20" hidden="1" x14ac:dyDescent="0.35">
      <c r="A252" t="s">
        <v>2017</v>
      </c>
      <c r="B252" t="s">
        <v>210</v>
      </c>
      <c r="C252" t="s">
        <v>1513</v>
      </c>
      <c r="D252" t="s">
        <v>1514</v>
      </c>
      <c r="E252" s="16">
        <v>0.99244740000000009</v>
      </c>
      <c r="F252" s="4">
        <v>0</v>
      </c>
      <c r="G252" s="17">
        <v>0.99244740000000009</v>
      </c>
      <c r="H252" s="4">
        <v>0</v>
      </c>
      <c r="I252" s="4">
        <v>0</v>
      </c>
      <c r="J252" s="4">
        <v>0</v>
      </c>
      <c r="K252" s="4">
        <v>0.99244740000000009</v>
      </c>
      <c r="L252" s="4">
        <f t="shared" si="3"/>
        <v>0.99244740000000009</v>
      </c>
      <c r="M252" s="4"/>
      <c r="N252" s="4" t="s">
        <v>3153</v>
      </c>
      <c r="P252" s="29" t="s">
        <v>3153</v>
      </c>
      <c r="R252" t="s">
        <v>3408</v>
      </c>
      <c r="S252" t="s">
        <v>3408</v>
      </c>
      <c r="T252" t="e">
        <f>VLOOKUP(C252,'Legal &amp; Wrt.off'!C:C,1,0)</f>
        <v>#N/A</v>
      </c>
    </row>
    <row r="253" spans="1:20" hidden="1" x14ac:dyDescent="0.35">
      <c r="A253" t="s">
        <v>2017</v>
      </c>
      <c r="B253" t="s">
        <v>210</v>
      </c>
      <c r="C253" t="s">
        <v>1525</v>
      </c>
      <c r="D253" t="s">
        <v>1526</v>
      </c>
      <c r="E253" s="16">
        <v>9.8706706999999998</v>
      </c>
      <c r="F253" s="4">
        <v>0</v>
      </c>
      <c r="G253" s="17">
        <v>9.8706706999999998</v>
      </c>
      <c r="H253" s="4">
        <v>0</v>
      </c>
      <c r="I253" s="4">
        <v>0</v>
      </c>
      <c r="J253" s="4">
        <v>0</v>
      </c>
      <c r="K253" s="4">
        <v>9.8706706999999998</v>
      </c>
      <c r="L253" s="4">
        <f t="shared" si="3"/>
        <v>9.8706706999999998</v>
      </c>
      <c r="M253" s="4"/>
      <c r="N253" s="4" t="s">
        <v>3153</v>
      </c>
      <c r="P253" s="29" t="s">
        <v>3153</v>
      </c>
      <c r="R253" t="s">
        <v>3408</v>
      </c>
      <c r="S253" t="s">
        <v>3408</v>
      </c>
      <c r="T253" t="e">
        <f>VLOOKUP(C253,'Legal &amp; Wrt.off'!C:C,1,0)</f>
        <v>#N/A</v>
      </c>
    </row>
    <row r="254" spans="1:20" x14ac:dyDescent="0.35">
      <c r="A254" t="s">
        <v>2019</v>
      </c>
      <c r="B254" t="s">
        <v>27</v>
      </c>
      <c r="C254" t="s">
        <v>1533</v>
      </c>
      <c r="D254" t="s">
        <v>1534</v>
      </c>
      <c r="E254" s="16">
        <v>0.71172740000000001</v>
      </c>
      <c r="F254" s="4">
        <v>0</v>
      </c>
      <c r="G254" s="17">
        <v>0.71172740000000001</v>
      </c>
      <c r="H254" s="4">
        <v>0</v>
      </c>
      <c r="I254" s="4">
        <v>0</v>
      </c>
      <c r="J254" s="4">
        <v>0</v>
      </c>
      <c r="K254" s="4">
        <v>0.71172740000000001</v>
      </c>
      <c r="L254" s="4">
        <f t="shared" si="3"/>
        <v>0.71172740000000001</v>
      </c>
      <c r="M254" s="4"/>
      <c r="N254" s="4" t="s">
        <v>2011</v>
      </c>
      <c r="P254" s="29" t="s">
        <v>2011</v>
      </c>
      <c r="R254" t="s">
        <v>3408</v>
      </c>
      <c r="S254" t="s">
        <v>3408</v>
      </c>
      <c r="T254" t="e">
        <f>VLOOKUP(C254,'Legal &amp; Wrt.off'!C:C,1,0)</f>
        <v>#N/A</v>
      </c>
    </row>
    <row r="255" spans="1:20" x14ac:dyDescent="0.35">
      <c r="A255" t="s">
        <v>2018</v>
      </c>
      <c r="B255" t="s">
        <v>169</v>
      </c>
      <c r="C255" t="s">
        <v>1537</v>
      </c>
      <c r="D255" t="s">
        <v>1538</v>
      </c>
      <c r="E255" s="16">
        <v>1.4030891000000001</v>
      </c>
      <c r="F255" s="4">
        <v>0</v>
      </c>
      <c r="G255" s="17">
        <v>1.4030891000000001</v>
      </c>
      <c r="H255" s="4">
        <v>0</v>
      </c>
      <c r="I255" s="4">
        <v>0</v>
      </c>
      <c r="J255" s="4">
        <v>0</v>
      </c>
      <c r="K255" s="4">
        <v>1.4030891000000001</v>
      </c>
      <c r="L255" s="4">
        <f t="shared" si="3"/>
        <v>1.4030891000000001</v>
      </c>
      <c r="M255" s="4"/>
      <c r="N255" s="4" t="s">
        <v>3433</v>
      </c>
      <c r="P255" s="29" t="s">
        <v>3433</v>
      </c>
      <c r="R255" t="s">
        <v>3408</v>
      </c>
      <c r="T255" t="e">
        <f>VLOOKUP(C255,'Legal &amp; Wrt.off'!C:C,1,0)</f>
        <v>#N/A</v>
      </c>
    </row>
    <row r="256" spans="1:20" x14ac:dyDescent="0.35">
      <c r="A256" t="s">
        <v>2018</v>
      </c>
      <c r="B256" t="s">
        <v>169</v>
      </c>
      <c r="C256" t="s">
        <v>1543</v>
      </c>
      <c r="D256" t="s">
        <v>1544</v>
      </c>
      <c r="E256" s="16">
        <v>1.1209507000000001</v>
      </c>
      <c r="F256" s="4">
        <v>0</v>
      </c>
      <c r="G256" s="17">
        <v>1.1209507000000001</v>
      </c>
      <c r="H256" s="4">
        <v>0</v>
      </c>
      <c r="I256" s="4">
        <v>0</v>
      </c>
      <c r="J256" s="4">
        <v>0</v>
      </c>
      <c r="K256" s="4">
        <v>1.1209507000000001</v>
      </c>
      <c r="L256" s="4">
        <f t="shared" si="3"/>
        <v>1.1209507000000001</v>
      </c>
      <c r="M256" s="4"/>
      <c r="N256" s="4" t="s">
        <v>3434</v>
      </c>
      <c r="P256" s="29" t="s">
        <v>3434</v>
      </c>
      <c r="Q256" s="19">
        <v>46195</v>
      </c>
      <c r="R256" t="s">
        <v>2008</v>
      </c>
      <c r="T256" t="e">
        <f>VLOOKUP(C256,'Legal &amp; Wrt.off'!C:C,1,0)</f>
        <v>#N/A</v>
      </c>
    </row>
    <row r="257" spans="1:20" hidden="1" x14ac:dyDescent="0.35">
      <c r="A257" t="s">
        <v>2017</v>
      </c>
      <c r="B257" t="s">
        <v>210</v>
      </c>
      <c r="C257" t="s">
        <v>1549</v>
      </c>
      <c r="D257" t="s">
        <v>1550</v>
      </c>
      <c r="E257" s="16">
        <v>0.3947717</v>
      </c>
      <c r="F257" s="4">
        <v>0</v>
      </c>
      <c r="G257" s="17">
        <v>0.3947717</v>
      </c>
      <c r="H257" s="4">
        <v>0</v>
      </c>
      <c r="I257" s="4">
        <v>0</v>
      </c>
      <c r="J257" s="4">
        <v>0</v>
      </c>
      <c r="K257" s="4">
        <v>0.3947717</v>
      </c>
      <c r="L257" s="4">
        <f t="shared" si="3"/>
        <v>0.3947717</v>
      </c>
      <c r="M257" s="4"/>
      <c r="N257" s="4" t="s">
        <v>3154</v>
      </c>
      <c r="P257" s="29" t="s">
        <v>3715</v>
      </c>
      <c r="R257" t="s">
        <v>3187</v>
      </c>
      <c r="T257" t="e">
        <f>VLOOKUP(C257,'Legal &amp; Wrt.off'!C:C,1,0)</f>
        <v>#N/A</v>
      </c>
    </row>
    <row r="258" spans="1:20" hidden="1" x14ac:dyDescent="0.35">
      <c r="A258" t="s">
        <v>2019</v>
      </c>
      <c r="B258" t="s">
        <v>16</v>
      </c>
      <c r="C258" t="s">
        <v>1553</v>
      </c>
      <c r="D258" t="s">
        <v>1554</v>
      </c>
      <c r="E258" s="16">
        <v>0.26392529999999997</v>
      </c>
      <c r="F258" s="4">
        <v>0</v>
      </c>
      <c r="G258" s="17">
        <v>0.26392529999999997</v>
      </c>
      <c r="H258" s="4">
        <v>0</v>
      </c>
      <c r="I258" s="4">
        <v>0</v>
      </c>
      <c r="J258" s="4">
        <v>0</v>
      </c>
      <c r="K258" s="4">
        <v>0.26392529999999997</v>
      </c>
      <c r="L258" s="4">
        <f t="shared" si="3"/>
        <v>0.26392529999999997</v>
      </c>
      <c r="M258" s="4"/>
      <c r="N258" s="4" t="s">
        <v>3211</v>
      </c>
      <c r="P258" s="29" t="s">
        <v>3211</v>
      </c>
      <c r="R258" t="s">
        <v>3117</v>
      </c>
      <c r="T258" t="e">
        <f>VLOOKUP(C258,'Legal &amp; Wrt.off'!C:C,1,0)</f>
        <v>#N/A</v>
      </c>
    </row>
    <row r="259" spans="1:20" x14ac:dyDescent="0.35">
      <c r="A259" t="s">
        <v>2018</v>
      </c>
      <c r="B259" t="s">
        <v>169</v>
      </c>
      <c r="C259" t="s">
        <v>1571</v>
      </c>
      <c r="D259" t="s">
        <v>1572</v>
      </c>
      <c r="E259" s="16">
        <v>1.8457307000000001</v>
      </c>
      <c r="F259" s="4">
        <v>0</v>
      </c>
      <c r="G259" s="17">
        <v>1.8457307000000001</v>
      </c>
      <c r="H259" s="4">
        <v>0</v>
      </c>
      <c r="I259" s="4">
        <v>0</v>
      </c>
      <c r="J259" s="4">
        <v>0</v>
      </c>
      <c r="K259" s="4">
        <v>1.8457307000000001</v>
      </c>
      <c r="L259" s="4">
        <f t="shared" si="3"/>
        <v>1.8457307000000001</v>
      </c>
      <c r="M259" s="4"/>
      <c r="N259" s="4" t="s">
        <v>3435</v>
      </c>
      <c r="P259" s="29" t="s">
        <v>3801</v>
      </c>
      <c r="Q259" s="19">
        <v>46188</v>
      </c>
      <c r="R259" t="s">
        <v>2007</v>
      </c>
      <c r="T259" t="e">
        <f>VLOOKUP(C259,'Legal &amp; Wrt.off'!C:C,1,0)</f>
        <v>#N/A</v>
      </c>
    </row>
    <row r="260" spans="1:20" x14ac:dyDescent="0.35">
      <c r="A260" t="s">
        <v>2018</v>
      </c>
      <c r="B260" t="s">
        <v>169</v>
      </c>
      <c r="C260" t="s">
        <v>1573</v>
      </c>
      <c r="D260" t="s">
        <v>1574</v>
      </c>
      <c r="E260" s="16">
        <v>6.3913731999999994</v>
      </c>
      <c r="F260" s="4">
        <v>0</v>
      </c>
      <c r="G260" s="17">
        <v>6.3913731999999994</v>
      </c>
      <c r="H260" s="4">
        <v>0</v>
      </c>
      <c r="I260" s="4">
        <v>0</v>
      </c>
      <c r="J260" s="4">
        <v>0</v>
      </c>
      <c r="K260" s="4">
        <v>6.3913732000000003</v>
      </c>
      <c r="L260" s="4">
        <f t="shared" si="3"/>
        <v>6.3913732000000003</v>
      </c>
      <c r="M260" s="4"/>
      <c r="N260" s="4" t="s">
        <v>2011</v>
      </c>
      <c r="R260" t="s">
        <v>3408</v>
      </c>
      <c r="T260" t="e">
        <f>VLOOKUP(C260,'Legal &amp; Wrt.off'!C:C,1,0)</f>
        <v>#N/A</v>
      </c>
    </row>
    <row r="261" spans="1:20" x14ac:dyDescent="0.35">
      <c r="A261" t="s">
        <v>2018</v>
      </c>
      <c r="B261" t="s">
        <v>169</v>
      </c>
      <c r="C261" t="s">
        <v>1575</v>
      </c>
      <c r="D261" t="s">
        <v>1576</v>
      </c>
      <c r="E261" s="16">
        <v>1.9941447000000001</v>
      </c>
      <c r="F261" s="4">
        <v>0</v>
      </c>
      <c r="G261" s="17">
        <v>1.9941447000000001</v>
      </c>
      <c r="H261" s="4">
        <v>0</v>
      </c>
      <c r="I261" s="4">
        <v>0</v>
      </c>
      <c r="J261" s="4">
        <v>0</v>
      </c>
      <c r="K261" s="4">
        <v>1.9941447000000001</v>
      </c>
      <c r="L261" s="4">
        <f t="shared" si="3"/>
        <v>1.9941447000000001</v>
      </c>
      <c r="M261" s="4"/>
      <c r="N261" s="4" t="s">
        <v>3436</v>
      </c>
      <c r="O261" s="19">
        <v>46170</v>
      </c>
      <c r="P261" s="29" t="s">
        <v>3802</v>
      </c>
      <c r="Q261" s="19">
        <v>46195</v>
      </c>
      <c r="R261" t="s">
        <v>2007</v>
      </c>
      <c r="T261" t="e">
        <f>VLOOKUP(C261,'Legal &amp; Wrt.off'!C:C,1,0)</f>
        <v>#N/A</v>
      </c>
    </row>
    <row r="262" spans="1:20" x14ac:dyDescent="0.35">
      <c r="A262" t="s">
        <v>2018</v>
      </c>
      <c r="B262" t="s">
        <v>169</v>
      </c>
      <c r="C262" t="s">
        <v>1579</v>
      </c>
      <c r="D262" t="s">
        <v>1580</v>
      </c>
      <c r="E262" s="16">
        <v>1.9977860000000001</v>
      </c>
      <c r="F262" s="4">
        <v>0</v>
      </c>
      <c r="G262" s="17">
        <v>1.9977860000000001</v>
      </c>
      <c r="H262" s="4">
        <v>0</v>
      </c>
      <c r="I262" s="4">
        <v>0</v>
      </c>
      <c r="J262" s="4">
        <v>0</v>
      </c>
      <c r="K262" s="4">
        <v>1.9977860000000001</v>
      </c>
      <c r="L262" s="4">
        <f t="shared" ref="L262:L325" si="4">SUM(I262:K262)</f>
        <v>1.9977860000000001</v>
      </c>
      <c r="M262" s="4"/>
      <c r="N262" s="4" t="s">
        <v>3434</v>
      </c>
      <c r="P262" s="29" t="s">
        <v>3803</v>
      </c>
      <c r="Q262" s="19">
        <v>46188</v>
      </c>
      <c r="R262" t="s">
        <v>2007</v>
      </c>
      <c r="T262" t="e">
        <f>VLOOKUP(C262,'Legal &amp; Wrt.off'!C:C,1,0)</f>
        <v>#N/A</v>
      </c>
    </row>
    <row r="263" spans="1:20" x14ac:dyDescent="0.35">
      <c r="A263" t="s">
        <v>2018</v>
      </c>
      <c r="B263" t="s">
        <v>275</v>
      </c>
      <c r="C263" t="s">
        <v>1609</v>
      </c>
      <c r="D263" t="s">
        <v>1610</v>
      </c>
      <c r="E263" s="16">
        <v>0.90241280000000001</v>
      </c>
      <c r="F263" s="4">
        <v>0</v>
      </c>
      <c r="G263" s="17">
        <v>0.90241280000000001</v>
      </c>
      <c r="H263" s="4">
        <v>0</v>
      </c>
      <c r="I263" s="4">
        <v>0</v>
      </c>
      <c r="J263" s="4">
        <v>0</v>
      </c>
      <c r="K263" s="4">
        <v>0.90241280000000001</v>
      </c>
      <c r="L263" s="4">
        <f t="shared" si="4"/>
        <v>0.90241280000000001</v>
      </c>
      <c r="M263" s="4"/>
      <c r="N263" s="4" t="s">
        <v>2011</v>
      </c>
      <c r="R263" t="s">
        <v>3408</v>
      </c>
      <c r="T263" t="e">
        <f>VLOOKUP(C263,'Legal &amp; Wrt.off'!C:C,1,0)</f>
        <v>#N/A</v>
      </c>
    </row>
    <row r="264" spans="1:20" hidden="1" x14ac:dyDescent="0.35">
      <c r="A264" t="s">
        <v>2017</v>
      </c>
      <c r="B264" t="s">
        <v>210</v>
      </c>
      <c r="C264" t="s">
        <v>1644</v>
      </c>
      <c r="D264" t="s">
        <v>1645</v>
      </c>
      <c r="E264" s="16">
        <v>0.2600248</v>
      </c>
      <c r="F264" s="4">
        <v>0</v>
      </c>
      <c r="G264" s="17">
        <v>0.2600248</v>
      </c>
      <c r="H264" s="4">
        <v>0</v>
      </c>
      <c r="I264" s="4">
        <v>0</v>
      </c>
      <c r="J264" s="4">
        <v>0</v>
      </c>
      <c r="K264" s="4">
        <v>0.2600248</v>
      </c>
      <c r="L264" s="4">
        <f t="shared" si="4"/>
        <v>0.2600248</v>
      </c>
      <c r="M264" s="4"/>
      <c r="N264" s="4" t="s">
        <v>3153</v>
      </c>
      <c r="P264" s="29" t="s">
        <v>3153</v>
      </c>
      <c r="R264" t="s">
        <v>3408</v>
      </c>
      <c r="S264" t="s">
        <v>3408</v>
      </c>
      <c r="T264" t="e">
        <f>VLOOKUP(C264,'Legal &amp; Wrt.off'!C:C,1,0)</f>
        <v>#N/A</v>
      </c>
    </row>
    <row r="265" spans="1:20" hidden="1" x14ac:dyDescent="0.35">
      <c r="A265" t="s">
        <v>2017</v>
      </c>
      <c r="B265" t="s">
        <v>55</v>
      </c>
      <c r="C265" t="s">
        <v>1646</v>
      </c>
      <c r="D265" t="s">
        <v>1647</v>
      </c>
      <c r="E265" s="16">
        <v>0.65114129999999992</v>
      </c>
      <c r="F265" s="4">
        <v>0</v>
      </c>
      <c r="G265" s="17">
        <v>0.65114129999999992</v>
      </c>
      <c r="H265" s="4">
        <v>0</v>
      </c>
      <c r="I265" s="4">
        <v>0</v>
      </c>
      <c r="J265" s="4">
        <v>0</v>
      </c>
      <c r="K265" s="4">
        <v>0.65114129999999992</v>
      </c>
      <c r="L265" s="4">
        <f t="shared" si="4"/>
        <v>0.65114129999999992</v>
      </c>
      <c r="M265" s="4"/>
      <c r="N265" s="4" t="s">
        <v>3168</v>
      </c>
      <c r="O265" s="19">
        <v>46198</v>
      </c>
      <c r="P265" s="29" t="s">
        <v>3705</v>
      </c>
      <c r="Q265" s="19">
        <v>46198</v>
      </c>
      <c r="R265" t="s">
        <v>2007</v>
      </c>
      <c r="T265" t="e">
        <f>VLOOKUP(C265,'Legal &amp; Wrt.off'!C:C,1,0)</f>
        <v>#N/A</v>
      </c>
    </row>
    <row r="266" spans="1:20" x14ac:dyDescent="0.35">
      <c r="A266" t="s">
        <v>2018</v>
      </c>
      <c r="B266" t="s">
        <v>169</v>
      </c>
      <c r="C266" t="s">
        <v>1658</v>
      </c>
      <c r="D266" t="s">
        <v>1659</v>
      </c>
      <c r="E266" s="16">
        <v>4.7690615000000003</v>
      </c>
      <c r="F266" s="4">
        <v>0</v>
      </c>
      <c r="G266" s="17">
        <v>4.7690615000000003</v>
      </c>
      <c r="H266" s="4">
        <v>0</v>
      </c>
      <c r="I266" s="4">
        <v>0</v>
      </c>
      <c r="J266" s="4">
        <v>0</v>
      </c>
      <c r="K266" s="4">
        <v>4.7690615000000003</v>
      </c>
      <c r="L266" s="4">
        <f t="shared" si="4"/>
        <v>4.7690615000000003</v>
      </c>
      <c r="M266" s="4"/>
      <c r="N266" s="4" t="s">
        <v>2011</v>
      </c>
      <c r="R266" t="s">
        <v>3408</v>
      </c>
      <c r="T266" t="e">
        <f>VLOOKUP(C266,'Legal &amp; Wrt.off'!C:C,1,0)</f>
        <v>#N/A</v>
      </c>
    </row>
    <row r="267" spans="1:20" hidden="1" x14ac:dyDescent="0.35">
      <c r="A267" t="s">
        <v>2017</v>
      </c>
      <c r="B267" t="s">
        <v>88</v>
      </c>
      <c r="C267" t="s">
        <v>1660</v>
      </c>
      <c r="D267" t="s">
        <v>1661</v>
      </c>
      <c r="E267" s="16">
        <v>0.67171669999999994</v>
      </c>
      <c r="F267" s="4">
        <v>0</v>
      </c>
      <c r="G267" s="17">
        <v>0.67171669999999994</v>
      </c>
      <c r="H267" s="4">
        <v>0</v>
      </c>
      <c r="I267" s="4">
        <v>0</v>
      </c>
      <c r="J267" s="4">
        <v>0</v>
      </c>
      <c r="K267" s="4">
        <v>0.67171669999999994</v>
      </c>
      <c r="L267" s="4">
        <f t="shared" si="4"/>
        <v>0.67171669999999994</v>
      </c>
      <c r="M267" s="4"/>
      <c r="N267" s="4" t="s">
        <v>3169</v>
      </c>
      <c r="O267" s="19">
        <v>46200</v>
      </c>
      <c r="P267" s="29" t="s">
        <v>3705</v>
      </c>
      <c r="Q267" s="19">
        <v>46183</v>
      </c>
      <c r="R267" t="s">
        <v>2007</v>
      </c>
      <c r="T267" t="e">
        <f>VLOOKUP(C267,'Legal &amp; Wrt.off'!C:C,1,0)</f>
        <v>#N/A</v>
      </c>
    </row>
    <row r="268" spans="1:20" x14ac:dyDescent="0.35">
      <c r="A268" t="s">
        <v>2018</v>
      </c>
      <c r="B268" t="s">
        <v>169</v>
      </c>
      <c r="C268" t="s">
        <v>1668</v>
      </c>
      <c r="D268" t="s">
        <v>1669</v>
      </c>
      <c r="E268" s="16">
        <v>1.2354229999999999</v>
      </c>
      <c r="F268" s="4">
        <v>0</v>
      </c>
      <c r="G268" s="17">
        <v>1.2354229999999999</v>
      </c>
      <c r="H268" s="4">
        <v>0</v>
      </c>
      <c r="I268" s="4">
        <v>0</v>
      </c>
      <c r="J268" s="4">
        <v>0</v>
      </c>
      <c r="K268" s="4">
        <v>1.2354229999999999</v>
      </c>
      <c r="L268" s="4">
        <f t="shared" si="4"/>
        <v>1.2354229999999999</v>
      </c>
      <c r="M268" s="4"/>
      <c r="N268" s="4" t="s">
        <v>3437</v>
      </c>
      <c r="P268" s="29" t="s">
        <v>3804</v>
      </c>
      <c r="Q268" s="19">
        <v>46188</v>
      </c>
      <c r="R268" t="s">
        <v>2007</v>
      </c>
      <c r="T268" t="e">
        <f>VLOOKUP(C268,'Legal &amp; Wrt.off'!C:C,1,0)</f>
        <v>#N/A</v>
      </c>
    </row>
    <row r="269" spans="1:20" x14ac:dyDescent="0.35">
      <c r="A269" t="s">
        <v>2018</v>
      </c>
      <c r="B269" t="s">
        <v>275</v>
      </c>
      <c r="C269" t="s">
        <v>1716</v>
      </c>
      <c r="D269" t="s">
        <v>1717</v>
      </c>
      <c r="E269" s="16">
        <v>3.1895256000000001</v>
      </c>
      <c r="F269" s="4">
        <v>0</v>
      </c>
      <c r="G269" s="17">
        <v>3.1895256000000001</v>
      </c>
      <c r="H269" s="4">
        <v>0</v>
      </c>
      <c r="I269" s="4">
        <v>0</v>
      </c>
      <c r="J269" s="4">
        <v>0</v>
      </c>
      <c r="K269" s="4">
        <v>3.1895256000000001</v>
      </c>
      <c r="L269" s="4">
        <f t="shared" si="4"/>
        <v>3.1895256000000001</v>
      </c>
      <c r="M269" s="4"/>
      <c r="N269" s="4" t="s">
        <v>3438</v>
      </c>
      <c r="P269" s="29" t="s">
        <v>3799</v>
      </c>
      <c r="R269" t="s">
        <v>3118</v>
      </c>
      <c r="T269" t="e">
        <f>VLOOKUP(C269,'Legal &amp; Wrt.off'!C:C,1,0)</f>
        <v>#N/A</v>
      </c>
    </row>
    <row r="270" spans="1:20" hidden="1" x14ac:dyDescent="0.35">
      <c r="A270" t="s">
        <v>2017</v>
      </c>
      <c r="B270" t="s">
        <v>88</v>
      </c>
      <c r="C270" t="s">
        <v>1718</v>
      </c>
      <c r="D270" t="s">
        <v>1719</v>
      </c>
      <c r="E270" s="16">
        <v>3.2561109000000004</v>
      </c>
      <c r="F270" s="4">
        <v>0</v>
      </c>
      <c r="G270" s="17">
        <v>3.2561109000000004</v>
      </c>
      <c r="H270" s="4">
        <v>0</v>
      </c>
      <c r="I270" s="4">
        <v>0</v>
      </c>
      <c r="J270" s="4">
        <v>0</v>
      </c>
      <c r="K270" s="4">
        <v>3.2561109000000004</v>
      </c>
      <c r="L270" s="4">
        <f t="shared" si="4"/>
        <v>3.2561109000000004</v>
      </c>
      <c r="M270" s="4"/>
      <c r="N270" s="4" t="s">
        <v>3153</v>
      </c>
      <c r="P270" s="29" t="s">
        <v>3705</v>
      </c>
      <c r="Q270" s="19">
        <v>46202</v>
      </c>
      <c r="R270" t="s">
        <v>3408</v>
      </c>
      <c r="S270" t="s">
        <v>3408</v>
      </c>
      <c r="T270" t="e">
        <f>VLOOKUP(C270,'Legal &amp; Wrt.off'!C:C,1,0)</f>
        <v>#N/A</v>
      </c>
    </row>
    <row r="271" spans="1:20" hidden="1" x14ac:dyDescent="0.35">
      <c r="A271" t="s">
        <v>2019</v>
      </c>
      <c r="B271" t="s">
        <v>24</v>
      </c>
      <c r="C271" t="s">
        <v>1730</v>
      </c>
      <c r="D271" t="s">
        <v>1731</v>
      </c>
      <c r="E271" s="16">
        <v>0.3046179</v>
      </c>
      <c r="F271" s="4">
        <v>0</v>
      </c>
      <c r="G271" s="17">
        <v>0.3046179</v>
      </c>
      <c r="H271" s="4">
        <v>0</v>
      </c>
      <c r="I271" s="4">
        <v>0</v>
      </c>
      <c r="J271" s="4">
        <v>0</v>
      </c>
      <c r="K271" s="4">
        <v>0.3046179</v>
      </c>
      <c r="L271" s="4">
        <f t="shared" si="4"/>
        <v>0.3046179</v>
      </c>
      <c r="M271" s="4"/>
      <c r="N271" s="4" t="s">
        <v>3212</v>
      </c>
      <c r="O271" s="19">
        <v>46167</v>
      </c>
      <c r="P271" s="29" t="s">
        <v>3753</v>
      </c>
      <c r="Q271" s="19">
        <v>46183</v>
      </c>
      <c r="R271" t="s">
        <v>2007</v>
      </c>
      <c r="T271" t="e">
        <f>VLOOKUP(C271,'Legal &amp; Wrt.off'!C:C,1,0)</f>
        <v>#N/A</v>
      </c>
    </row>
    <row r="272" spans="1:20" hidden="1" x14ac:dyDescent="0.35">
      <c r="A272" t="s">
        <v>2016</v>
      </c>
      <c r="B272" t="s">
        <v>164</v>
      </c>
      <c r="C272" t="s">
        <v>1740</v>
      </c>
      <c r="D272" t="s">
        <v>1741</v>
      </c>
      <c r="E272" s="16">
        <v>0.40868410000000005</v>
      </c>
      <c r="F272" s="4">
        <v>0</v>
      </c>
      <c r="G272" s="17">
        <v>0.40868410000000005</v>
      </c>
      <c r="H272" s="4">
        <v>0</v>
      </c>
      <c r="I272" s="4">
        <v>0</v>
      </c>
      <c r="J272" s="4">
        <v>0</v>
      </c>
      <c r="K272" s="4">
        <v>0.40868409999999994</v>
      </c>
      <c r="L272" s="4">
        <f t="shared" si="4"/>
        <v>0.40868409999999994</v>
      </c>
      <c r="M272" s="4"/>
      <c r="N272" s="4" t="s">
        <v>3185</v>
      </c>
      <c r="O272" s="19">
        <v>46178</v>
      </c>
      <c r="P272" s="29" t="s">
        <v>3185</v>
      </c>
      <c r="R272" t="s">
        <v>2007</v>
      </c>
      <c r="T272" t="e">
        <f>VLOOKUP(C272,'Legal &amp; Wrt.off'!C:C,1,0)</f>
        <v>#N/A</v>
      </c>
    </row>
    <row r="273" spans="1:20" x14ac:dyDescent="0.35">
      <c r="A273" t="s">
        <v>2018</v>
      </c>
      <c r="B273" t="s">
        <v>169</v>
      </c>
      <c r="C273" t="s">
        <v>1752</v>
      </c>
      <c r="D273" t="s">
        <v>1753</v>
      </c>
      <c r="E273" s="16">
        <v>0.66111500000000001</v>
      </c>
      <c r="F273" s="4">
        <v>0</v>
      </c>
      <c r="G273" s="17">
        <v>0.66111500000000001</v>
      </c>
      <c r="H273" s="4">
        <v>0</v>
      </c>
      <c r="I273" s="4">
        <v>0</v>
      </c>
      <c r="J273" s="4">
        <v>0</v>
      </c>
      <c r="K273" s="4">
        <v>0.66111500000000001</v>
      </c>
      <c r="L273" s="4">
        <f t="shared" si="4"/>
        <v>0.66111500000000001</v>
      </c>
      <c r="M273" s="4"/>
      <c r="N273" s="4" t="s">
        <v>3439</v>
      </c>
      <c r="P273" s="29" t="s">
        <v>3439</v>
      </c>
      <c r="R273" t="s">
        <v>3118</v>
      </c>
      <c r="T273" t="e">
        <f>VLOOKUP(C273,'Legal &amp; Wrt.off'!C:C,1,0)</f>
        <v>#N/A</v>
      </c>
    </row>
    <row r="274" spans="1:20" hidden="1" x14ac:dyDescent="0.35">
      <c r="A274" t="s">
        <v>2016</v>
      </c>
      <c r="B274" t="s">
        <v>164</v>
      </c>
      <c r="C274" t="s">
        <v>1770</v>
      </c>
      <c r="D274" t="s">
        <v>1771</v>
      </c>
      <c r="E274" s="16">
        <v>0.29053109999999999</v>
      </c>
      <c r="F274" s="4">
        <v>0</v>
      </c>
      <c r="G274" s="17">
        <v>0.29053109999999999</v>
      </c>
      <c r="H274" s="4">
        <v>0</v>
      </c>
      <c r="I274" s="4">
        <v>0</v>
      </c>
      <c r="J274" s="4">
        <v>0</v>
      </c>
      <c r="K274" s="4">
        <v>0.29053109999999999</v>
      </c>
      <c r="L274" s="4">
        <f t="shared" si="4"/>
        <v>0.29053109999999999</v>
      </c>
      <c r="M274" s="4"/>
      <c r="N274" s="4" t="s">
        <v>3186</v>
      </c>
      <c r="P274" s="29" t="s">
        <v>3186</v>
      </c>
      <c r="R274" t="s">
        <v>2014</v>
      </c>
      <c r="T274" t="e">
        <f>VLOOKUP(C274,'Legal &amp; Wrt.off'!C:C,1,0)</f>
        <v>#N/A</v>
      </c>
    </row>
    <row r="275" spans="1:20" hidden="1" x14ac:dyDescent="0.35">
      <c r="A275" t="s">
        <v>2016</v>
      </c>
      <c r="B275" t="s">
        <v>164</v>
      </c>
      <c r="C275" t="s">
        <v>1772</v>
      </c>
      <c r="D275" t="s">
        <v>1773</v>
      </c>
      <c r="E275" s="16">
        <v>1.0718704999999999</v>
      </c>
      <c r="F275" s="4">
        <v>0</v>
      </c>
      <c r="G275" s="17">
        <v>1.0718704999999999</v>
      </c>
      <c r="H275" s="4">
        <v>0</v>
      </c>
      <c r="I275" s="4">
        <v>0</v>
      </c>
      <c r="J275" s="4">
        <v>0</v>
      </c>
      <c r="K275" s="4">
        <v>1.0718704999999999</v>
      </c>
      <c r="L275" s="4">
        <f t="shared" si="4"/>
        <v>1.0718704999999999</v>
      </c>
      <c r="M275" s="4"/>
      <c r="N275" s="4" t="s">
        <v>3186</v>
      </c>
      <c r="P275" s="29" t="s">
        <v>3186</v>
      </c>
      <c r="R275" t="s">
        <v>2014</v>
      </c>
      <c r="S275" t="s">
        <v>3412</v>
      </c>
      <c r="T275" t="e">
        <f>VLOOKUP(C275,'Legal &amp; Wrt.off'!C:C,1,0)</f>
        <v>#N/A</v>
      </c>
    </row>
    <row r="276" spans="1:20" hidden="1" x14ac:dyDescent="0.35">
      <c r="A276" t="s">
        <v>2019</v>
      </c>
      <c r="B276" t="s">
        <v>24</v>
      </c>
      <c r="C276" t="s">
        <v>1784</v>
      </c>
      <c r="D276" t="s">
        <v>1785</v>
      </c>
      <c r="E276" s="16">
        <v>1.5122851000000002</v>
      </c>
      <c r="F276" s="4">
        <v>0</v>
      </c>
      <c r="G276" s="17">
        <v>1.5122851000000002</v>
      </c>
      <c r="H276" s="4">
        <v>0</v>
      </c>
      <c r="I276" s="4">
        <v>0</v>
      </c>
      <c r="J276" s="4">
        <v>0</v>
      </c>
      <c r="K276" s="4">
        <v>1.5122851000000002</v>
      </c>
      <c r="L276" s="4">
        <f t="shared" si="4"/>
        <v>1.5122851000000002</v>
      </c>
      <c r="M276" s="4"/>
      <c r="N276" s="4" t="s">
        <v>2011</v>
      </c>
      <c r="P276" s="29" t="s">
        <v>2011</v>
      </c>
      <c r="R276" t="s">
        <v>3408</v>
      </c>
      <c r="S276" t="s">
        <v>3408</v>
      </c>
      <c r="T276" t="e">
        <f>VLOOKUP(C276,'Legal &amp; Wrt.off'!C:C,1,0)</f>
        <v>#N/A</v>
      </c>
    </row>
    <row r="277" spans="1:20" hidden="1" x14ac:dyDescent="0.35">
      <c r="A277" t="s">
        <v>2019</v>
      </c>
      <c r="B277" t="s">
        <v>24</v>
      </c>
      <c r="C277" t="s">
        <v>1792</v>
      </c>
      <c r="D277" t="s">
        <v>1793</v>
      </c>
      <c r="E277" s="16">
        <v>3.7848367999999999</v>
      </c>
      <c r="F277" s="4">
        <v>0</v>
      </c>
      <c r="G277" s="17">
        <v>3.7848367999999999</v>
      </c>
      <c r="H277" s="4">
        <v>0</v>
      </c>
      <c r="I277" s="4">
        <v>0</v>
      </c>
      <c r="J277" s="4">
        <v>0</v>
      </c>
      <c r="K277" s="4">
        <v>3.7848367999999999</v>
      </c>
      <c r="L277" s="4">
        <f t="shared" si="4"/>
        <v>3.7848367999999999</v>
      </c>
      <c r="M277" s="4"/>
      <c r="N277" s="4" t="s">
        <v>2011</v>
      </c>
      <c r="P277" s="29" t="s">
        <v>2011</v>
      </c>
      <c r="R277" t="s">
        <v>3408</v>
      </c>
      <c r="S277" t="s">
        <v>3408</v>
      </c>
      <c r="T277" t="e">
        <f>VLOOKUP(C277,'Legal &amp; Wrt.off'!C:C,1,0)</f>
        <v>#N/A</v>
      </c>
    </row>
    <row r="278" spans="1:20" x14ac:dyDescent="0.35">
      <c r="A278" t="s">
        <v>2018</v>
      </c>
      <c r="B278" t="s">
        <v>169</v>
      </c>
      <c r="C278" t="s">
        <v>1804</v>
      </c>
      <c r="D278" t="s">
        <v>1805</v>
      </c>
      <c r="E278" s="16">
        <v>0.38074999999999998</v>
      </c>
      <c r="F278" s="4">
        <v>0</v>
      </c>
      <c r="G278" s="17">
        <v>0.38074999999999998</v>
      </c>
      <c r="H278" s="4">
        <v>0</v>
      </c>
      <c r="I278" s="4">
        <v>0</v>
      </c>
      <c r="J278" s="4">
        <v>0</v>
      </c>
      <c r="K278" s="4">
        <v>0.38074999999999998</v>
      </c>
      <c r="L278" s="4">
        <f t="shared" si="4"/>
        <v>0.38074999999999998</v>
      </c>
      <c r="M278" s="4"/>
      <c r="N278" s="4" t="s">
        <v>3440</v>
      </c>
      <c r="P278" s="29" t="s">
        <v>3440</v>
      </c>
      <c r="R278" t="s">
        <v>3118</v>
      </c>
      <c r="T278" t="e">
        <f>VLOOKUP(C278,'Legal &amp; Wrt.off'!C:C,1,0)</f>
        <v>#N/A</v>
      </c>
    </row>
    <row r="279" spans="1:20" x14ac:dyDescent="0.35">
      <c r="A279" t="s">
        <v>2018</v>
      </c>
      <c r="B279" t="s">
        <v>275</v>
      </c>
      <c r="C279" t="s">
        <v>1808</v>
      </c>
      <c r="D279" t="s">
        <v>1809</v>
      </c>
      <c r="E279" s="16">
        <v>0.39999790000000002</v>
      </c>
      <c r="F279" s="4">
        <v>0</v>
      </c>
      <c r="G279" s="17">
        <v>0.39999790000000002</v>
      </c>
      <c r="H279" s="4">
        <v>0</v>
      </c>
      <c r="I279" s="4">
        <v>0</v>
      </c>
      <c r="J279" s="4">
        <v>0</v>
      </c>
      <c r="K279" s="4">
        <v>0.39999790000000002</v>
      </c>
      <c r="L279" s="4">
        <f t="shared" si="4"/>
        <v>0.39999790000000002</v>
      </c>
      <c r="M279" s="4"/>
      <c r="N279" s="4" t="s">
        <v>3441</v>
      </c>
      <c r="P279" s="29" t="s">
        <v>3441</v>
      </c>
      <c r="R279" t="s">
        <v>2010</v>
      </c>
      <c r="T279" t="e">
        <f>VLOOKUP(C279,'Legal &amp; Wrt.off'!C:C,1,0)</f>
        <v>#N/A</v>
      </c>
    </row>
    <row r="280" spans="1:20" hidden="1" x14ac:dyDescent="0.35">
      <c r="A280" t="s">
        <v>2019</v>
      </c>
      <c r="B280" t="s">
        <v>30</v>
      </c>
      <c r="C280" t="s">
        <v>1816</v>
      </c>
      <c r="D280" t="s">
        <v>1817</v>
      </c>
      <c r="E280" s="16">
        <v>0.4859251</v>
      </c>
      <c r="F280" s="4">
        <v>0</v>
      </c>
      <c r="G280" s="17">
        <v>0.4859251</v>
      </c>
      <c r="H280" s="4">
        <v>0</v>
      </c>
      <c r="I280" s="4">
        <v>0</v>
      </c>
      <c r="J280" s="4">
        <v>0</v>
      </c>
      <c r="K280" s="4">
        <v>0.48592509999999994</v>
      </c>
      <c r="L280" s="4">
        <f t="shared" si="4"/>
        <v>0.48592509999999994</v>
      </c>
      <c r="M280" s="4"/>
      <c r="N280" s="4" t="s">
        <v>3201</v>
      </c>
      <c r="O280" s="19">
        <v>46178</v>
      </c>
      <c r="P280" s="29" t="s">
        <v>3757</v>
      </c>
      <c r="Q280" s="19">
        <v>46208</v>
      </c>
      <c r="R280" t="s">
        <v>2007</v>
      </c>
      <c r="T280" t="e">
        <f>VLOOKUP(C280,'Legal &amp; Wrt.off'!C:C,1,0)</f>
        <v>#N/A</v>
      </c>
    </row>
    <row r="281" spans="1:20" hidden="1" x14ac:dyDescent="0.35">
      <c r="A281" t="s">
        <v>2019</v>
      </c>
      <c r="B281" t="s">
        <v>24</v>
      </c>
      <c r="C281" t="s">
        <v>1820</v>
      </c>
      <c r="D281" t="s">
        <v>1821</v>
      </c>
      <c r="E281" s="16">
        <v>5.5943771999999994</v>
      </c>
      <c r="F281" s="4">
        <v>0</v>
      </c>
      <c r="G281" s="17">
        <v>5.5943771999999994</v>
      </c>
      <c r="H281" s="4">
        <v>0</v>
      </c>
      <c r="I281" s="4">
        <v>0</v>
      </c>
      <c r="J281" s="4">
        <v>0</v>
      </c>
      <c r="K281" s="4">
        <v>5.5943771999999994</v>
      </c>
      <c r="L281" s="4">
        <f t="shared" si="4"/>
        <v>5.5943771999999994</v>
      </c>
      <c r="M281" s="4"/>
      <c r="N281" s="4" t="s">
        <v>2011</v>
      </c>
      <c r="P281" s="29" t="s">
        <v>2011</v>
      </c>
      <c r="R281" t="s">
        <v>3408</v>
      </c>
      <c r="S281" t="s">
        <v>3408</v>
      </c>
      <c r="T281" t="e">
        <f>VLOOKUP(C281,'Legal &amp; Wrt.off'!C:C,1,0)</f>
        <v>#N/A</v>
      </c>
    </row>
    <row r="282" spans="1:20" x14ac:dyDescent="0.35">
      <c r="A282" t="s">
        <v>2018</v>
      </c>
      <c r="B282" t="s">
        <v>275</v>
      </c>
      <c r="C282" t="s">
        <v>1824</v>
      </c>
      <c r="D282" t="s">
        <v>1825</v>
      </c>
      <c r="E282" s="16">
        <v>0.33721820000000002</v>
      </c>
      <c r="F282" s="4">
        <v>0</v>
      </c>
      <c r="G282" s="17">
        <v>0.33721820000000002</v>
      </c>
      <c r="H282" s="4">
        <v>0</v>
      </c>
      <c r="I282" s="4">
        <v>0</v>
      </c>
      <c r="J282" s="4">
        <v>0</v>
      </c>
      <c r="K282" s="4">
        <v>0.33721820000000002</v>
      </c>
      <c r="L282" s="4">
        <f t="shared" si="4"/>
        <v>0.33721820000000002</v>
      </c>
      <c r="M282" s="4"/>
      <c r="N282" s="4" t="s">
        <v>3442</v>
      </c>
      <c r="P282" s="29" t="s">
        <v>3442</v>
      </c>
      <c r="R282" t="s">
        <v>2014</v>
      </c>
      <c r="S282" t="s">
        <v>3805</v>
      </c>
      <c r="T282" t="e">
        <f>VLOOKUP(C282,'Legal &amp; Wrt.off'!C:C,1,0)</f>
        <v>#N/A</v>
      </c>
    </row>
    <row r="283" spans="1:20" hidden="1" x14ac:dyDescent="0.35">
      <c r="A283" t="s">
        <v>2019</v>
      </c>
      <c r="B283" t="s">
        <v>24</v>
      </c>
      <c r="C283" t="s">
        <v>1840</v>
      </c>
      <c r="D283" t="s">
        <v>1841</v>
      </c>
      <c r="E283" s="16">
        <v>2.2892302999999998</v>
      </c>
      <c r="F283" s="4">
        <v>0</v>
      </c>
      <c r="G283" s="17">
        <v>2.2892302999999998</v>
      </c>
      <c r="H283" s="4">
        <v>0</v>
      </c>
      <c r="I283" s="4">
        <v>0</v>
      </c>
      <c r="J283" s="4">
        <v>0</v>
      </c>
      <c r="K283" s="4">
        <v>2.2892302999999998</v>
      </c>
      <c r="L283" s="4">
        <f t="shared" si="4"/>
        <v>2.2892302999999998</v>
      </c>
      <c r="M283" s="4"/>
      <c r="N283" s="4" t="s">
        <v>2011</v>
      </c>
      <c r="P283" s="29" t="s">
        <v>2011</v>
      </c>
      <c r="R283" t="s">
        <v>3408</v>
      </c>
      <c r="S283" t="s">
        <v>3408</v>
      </c>
      <c r="T283" t="e">
        <f>VLOOKUP(C283,'Legal &amp; Wrt.off'!C:C,1,0)</f>
        <v>#N/A</v>
      </c>
    </row>
    <row r="284" spans="1:20" hidden="1" x14ac:dyDescent="0.35">
      <c r="A284" t="s">
        <v>2019</v>
      </c>
      <c r="B284" t="s">
        <v>24</v>
      </c>
      <c r="C284" t="s">
        <v>1896</v>
      </c>
      <c r="D284" t="s">
        <v>1897</v>
      </c>
      <c r="E284" s="16">
        <v>0.15488499999999999</v>
      </c>
      <c r="F284" s="4">
        <v>0</v>
      </c>
      <c r="G284" s="17">
        <v>0.15488499999999999</v>
      </c>
      <c r="H284" s="4">
        <v>0</v>
      </c>
      <c r="I284" s="4">
        <v>0</v>
      </c>
      <c r="J284" s="4">
        <v>0</v>
      </c>
      <c r="K284" s="4">
        <v>0.15488499999999999</v>
      </c>
      <c r="L284" s="4">
        <f t="shared" si="4"/>
        <v>0.15488499999999999</v>
      </c>
      <c r="M284" s="4"/>
      <c r="N284" s="4" t="s">
        <v>3213</v>
      </c>
      <c r="O284" s="19">
        <v>46183</v>
      </c>
      <c r="P284" s="29" t="s">
        <v>2011</v>
      </c>
      <c r="R284" t="s">
        <v>2007</v>
      </c>
      <c r="T284" t="e">
        <f>VLOOKUP(C284,'Legal &amp; Wrt.off'!C:C,1,0)</f>
        <v>#N/A</v>
      </c>
    </row>
    <row r="285" spans="1:20" hidden="1" x14ac:dyDescent="0.35">
      <c r="A285" t="s">
        <v>2017</v>
      </c>
      <c r="B285" t="s">
        <v>55</v>
      </c>
      <c r="C285" t="s">
        <v>3094</v>
      </c>
      <c r="D285" t="s">
        <v>3095</v>
      </c>
      <c r="E285" s="16">
        <v>5.2112999999999708E-3</v>
      </c>
      <c r="F285" s="4">
        <v>0</v>
      </c>
      <c r="G285" s="17">
        <v>5.2112999999999708E-3</v>
      </c>
      <c r="H285" s="4">
        <v>0</v>
      </c>
      <c r="I285" s="4">
        <v>5.2112999999999708E-3</v>
      </c>
      <c r="J285" s="4">
        <v>0</v>
      </c>
      <c r="K285" s="4">
        <v>0</v>
      </c>
      <c r="L285" s="4">
        <f t="shared" si="4"/>
        <v>5.2112999999999708E-3</v>
      </c>
      <c r="M285" s="4"/>
      <c r="N285" s="4" t="s">
        <v>3122</v>
      </c>
      <c r="P285" s="29" t="s">
        <v>3122</v>
      </c>
      <c r="R285" t="s">
        <v>2007</v>
      </c>
      <c r="T285" t="e">
        <f>VLOOKUP(C285,'Legal &amp; Wrt.off'!C:C,1,0)</f>
        <v>#N/A</v>
      </c>
    </row>
    <row r="286" spans="1:20" hidden="1" x14ac:dyDescent="0.35">
      <c r="A286" t="s">
        <v>3675</v>
      </c>
      <c r="B286" t="s">
        <v>3214</v>
      </c>
      <c r="C286" t="s">
        <v>3215</v>
      </c>
      <c r="D286" t="s">
        <v>3216</v>
      </c>
      <c r="E286" s="16">
        <v>0</v>
      </c>
      <c r="F286" s="17">
        <v>0</v>
      </c>
      <c r="G286" s="17">
        <v>0.50591419999999998</v>
      </c>
      <c r="H286" s="4">
        <v>0</v>
      </c>
      <c r="I286" s="4">
        <v>0</v>
      </c>
      <c r="J286" s="4">
        <v>0.50591419999999998</v>
      </c>
      <c r="K286" s="4">
        <v>0</v>
      </c>
      <c r="L286" s="4">
        <f t="shared" si="4"/>
        <v>0.50591419999999998</v>
      </c>
      <c r="M286" s="4">
        <v>0.50591419999999998</v>
      </c>
      <c r="O286" s="19">
        <v>46167</v>
      </c>
      <c r="Q286" s="19">
        <v>46181</v>
      </c>
      <c r="R286" t="s">
        <v>2007</v>
      </c>
      <c r="S286" t="e">
        <v>#N/A</v>
      </c>
      <c r="T286" t="e">
        <f>VLOOKUP(C286,'Legal &amp; Wrt.off'!C:C,1,0)</f>
        <v>#N/A</v>
      </c>
    </row>
    <row r="287" spans="1:20" hidden="1" x14ac:dyDescent="0.35">
      <c r="A287" t="s">
        <v>3675</v>
      </c>
      <c r="B287" t="s">
        <v>3214</v>
      </c>
      <c r="C287" t="s">
        <v>3217</v>
      </c>
      <c r="D287" t="s">
        <v>3218</v>
      </c>
      <c r="E287" s="16">
        <v>0</v>
      </c>
      <c r="F287" s="4">
        <v>0</v>
      </c>
      <c r="G287" s="17">
        <v>1.8123050000000001</v>
      </c>
      <c r="H287" s="4">
        <v>0</v>
      </c>
      <c r="I287" s="4">
        <v>1.8123050000000001</v>
      </c>
      <c r="J287" s="4">
        <v>0</v>
      </c>
      <c r="K287" s="4">
        <v>0</v>
      </c>
      <c r="L287" s="4">
        <f t="shared" si="4"/>
        <v>1.8123050000000001</v>
      </c>
      <c r="M287" s="4">
        <v>1.8123050000000001</v>
      </c>
      <c r="O287" s="19">
        <v>46170</v>
      </c>
      <c r="Q287" s="19">
        <v>46182</v>
      </c>
      <c r="R287" t="s">
        <v>2007</v>
      </c>
      <c r="S287" t="e">
        <v>#N/A</v>
      </c>
      <c r="T287" t="e">
        <f>VLOOKUP(C287,'Legal &amp; Wrt.off'!C:C,1,0)</f>
        <v>#N/A</v>
      </c>
    </row>
    <row r="288" spans="1:20" hidden="1" x14ac:dyDescent="0.35">
      <c r="A288" t="s">
        <v>3675</v>
      </c>
      <c r="B288" t="s">
        <v>3214</v>
      </c>
      <c r="C288" t="s">
        <v>3219</v>
      </c>
      <c r="D288" t="s">
        <v>3220</v>
      </c>
      <c r="E288" s="16">
        <v>0</v>
      </c>
      <c r="F288" s="17">
        <v>0</v>
      </c>
      <c r="G288" s="17">
        <v>3.1564554999999999</v>
      </c>
      <c r="H288" s="4">
        <v>0</v>
      </c>
      <c r="I288" s="4">
        <v>0</v>
      </c>
      <c r="J288" s="4">
        <v>3.1564554999999999</v>
      </c>
      <c r="K288" s="4">
        <v>0</v>
      </c>
      <c r="L288" s="4">
        <f t="shared" si="4"/>
        <v>3.1564554999999999</v>
      </c>
      <c r="M288" s="4">
        <v>3.1564554999999999</v>
      </c>
      <c r="O288" s="19">
        <v>46167</v>
      </c>
      <c r="Q288" s="19">
        <v>46183</v>
      </c>
      <c r="R288" t="s">
        <v>2007</v>
      </c>
      <c r="S288" t="s">
        <v>3366</v>
      </c>
      <c r="T288" t="e">
        <f>VLOOKUP(C288,'Legal &amp; Wrt.off'!C:C,1,0)</f>
        <v>#N/A</v>
      </c>
    </row>
    <row r="289" spans="1:20" hidden="1" x14ac:dyDescent="0.35">
      <c r="A289" t="s">
        <v>3675</v>
      </c>
      <c r="B289" t="s">
        <v>3214</v>
      </c>
      <c r="C289" t="s">
        <v>3221</v>
      </c>
      <c r="D289" t="s">
        <v>3222</v>
      </c>
      <c r="E289" s="16">
        <v>0</v>
      </c>
      <c r="F289" s="4">
        <v>0</v>
      </c>
      <c r="G289" s="17">
        <v>3.5469664000000001</v>
      </c>
      <c r="H289" s="4">
        <v>0</v>
      </c>
      <c r="I289" s="4">
        <v>3.5469664000000001</v>
      </c>
      <c r="J289" s="4">
        <v>0</v>
      </c>
      <c r="K289" s="4">
        <v>0</v>
      </c>
      <c r="L289" s="4">
        <f t="shared" si="4"/>
        <v>3.5469664000000001</v>
      </c>
      <c r="M289" s="4">
        <v>3.5469664000000001</v>
      </c>
      <c r="O289" s="19">
        <v>46167</v>
      </c>
      <c r="Q289" s="19">
        <v>46182</v>
      </c>
      <c r="R289" t="s">
        <v>2007</v>
      </c>
      <c r="S289" t="e">
        <v>#N/A</v>
      </c>
      <c r="T289" t="e">
        <f>VLOOKUP(C289,'Legal &amp; Wrt.off'!C:C,1,0)</f>
        <v>#N/A</v>
      </c>
    </row>
    <row r="290" spans="1:20" hidden="1" x14ac:dyDescent="0.35">
      <c r="A290" t="s">
        <v>3675</v>
      </c>
      <c r="B290" t="s">
        <v>3214</v>
      </c>
      <c r="C290" t="s">
        <v>3223</v>
      </c>
      <c r="D290" t="s">
        <v>3224</v>
      </c>
      <c r="E290" s="16">
        <v>0</v>
      </c>
      <c r="F290" s="4">
        <v>0</v>
      </c>
      <c r="G290" s="17">
        <v>3.6984311999999999</v>
      </c>
      <c r="H290" s="4">
        <v>0</v>
      </c>
      <c r="I290" s="4">
        <v>0</v>
      </c>
      <c r="J290" s="4">
        <v>0</v>
      </c>
      <c r="K290" s="4">
        <v>3.6984311999999999</v>
      </c>
      <c r="L290" s="4">
        <f t="shared" si="4"/>
        <v>3.6984311999999999</v>
      </c>
      <c r="M290" s="4">
        <v>3.6984311999999999</v>
      </c>
      <c r="P290" s="29" t="s">
        <v>3792</v>
      </c>
      <c r="R290" t="s">
        <v>2007</v>
      </c>
      <c r="S290" t="s">
        <v>3366</v>
      </c>
      <c r="T290" t="e">
        <f>VLOOKUP(C290,'Legal &amp; Wrt.off'!C:C,1,0)</f>
        <v>#N/A</v>
      </c>
    </row>
    <row r="291" spans="1:20" x14ac:dyDescent="0.35">
      <c r="A291" t="s">
        <v>3675</v>
      </c>
      <c r="B291" t="s">
        <v>3214</v>
      </c>
      <c r="C291" t="s">
        <v>3225</v>
      </c>
      <c r="D291" t="s">
        <v>3226</v>
      </c>
      <c r="E291" s="16">
        <v>0</v>
      </c>
      <c r="F291" s="4">
        <v>0</v>
      </c>
      <c r="G291" s="17">
        <v>0.39999029999999997</v>
      </c>
      <c r="H291" s="4">
        <v>0</v>
      </c>
      <c r="I291" s="4">
        <v>0</v>
      </c>
      <c r="J291" s="4">
        <v>0</v>
      </c>
      <c r="K291" s="4">
        <v>0.39999029999999997</v>
      </c>
      <c r="L291" s="4">
        <f t="shared" si="4"/>
        <v>0.39999029999999997</v>
      </c>
      <c r="M291" s="4">
        <v>0.39999029999999997</v>
      </c>
      <c r="O291" s="19">
        <v>46168</v>
      </c>
      <c r="Q291" s="19">
        <v>46185</v>
      </c>
      <c r="R291" t="s">
        <v>2007</v>
      </c>
      <c r="S291" t="e">
        <v>#N/A</v>
      </c>
      <c r="T291" t="e">
        <f>VLOOKUP(C291,'Legal &amp; Wrt.off'!C:C,1,0)</f>
        <v>#N/A</v>
      </c>
    </row>
    <row r="292" spans="1:20" hidden="1" x14ac:dyDescent="0.35">
      <c r="A292" t="s">
        <v>3675</v>
      </c>
      <c r="B292" t="s">
        <v>3214</v>
      </c>
      <c r="C292" t="s">
        <v>3227</v>
      </c>
      <c r="D292" t="s">
        <v>3228</v>
      </c>
      <c r="E292" s="16">
        <v>0</v>
      </c>
      <c r="F292" s="4">
        <v>0</v>
      </c>
      <c r="G292" s="17">
        <v>0.72895679999999996</v>
      </c>
      <c r="H292" s="4">
        <v>0</v>
      </c>
      <c r="I292" s="4">
        <v>0.72895679999999996</v>
      </c>
      <c r="J292" s="4">
        <v>0</v>
      </c>
      <c r="K292" s="4">
        <v>0</v>
      </c>
      <c r="L292" s="4">
        <f t="shared" si="4"/>
        <v>0.72895679999999996</v>
      </c>
      <c r="M292" s="4">
        <v>0.72895679999999996</v>
      </c>
      <c r="Q292" s="19">
        <v>46182</v>
      </c>
      <c r="R292" t="s">
        <v>2007</v>
      </c>
      <c r="S292" t="e">
        <v>#N/A</v>
      </c>
      <c r="T292" t="e">
        <f>VLOOKUP(C292,'Legal &amp; Wrt.off'!C:C,1,0)</f>
        <v>#N/A</v>
      </c>
    </row>
    <row r="293" spans="1:20" x14ac:dyDescent="0.35">
      <c r="A293" t="s">
        <v>3509</v>
      </c>
      <c r="B293" t="s">
        <v>3229</v>
      </c>
      <c r="C293" t="s">
        <v>3230</v>
      </c>
      <c r="D293" t="s">
        <v>3231</v>
      </c>
      <c r="E293" s="16">
        <v>0</v>
      </c>
      <c r="F293" s="4">
        <v>0</v>
      </c>
      <c r="G293" s="17">
        <v>1.9914799999999999</v>
      </c>
      <c r="H293" s="4">
        <v>0</v>
      </c>
      <c r="I293" s="4">
        <v>1.9914799999999999</v>
      </c>
      <c r="J293" s="4">
        <v>0</v>
      </c>
      <c r="K293" s="4">
        <v>0</v>
      </c>
      <c r="L293" s="4">
        <f t="shared" si="4"/>
        <v>1.9914799999999999</v>
      </c>
      <c r="M293" s="4"/>
      <c r="N293" s="5" t="s">
        <v>3367</v>
      </c>
      <c r="O293" s="19">
        <v>46167</v>
      </c>
      <c r="P293" s="29" t="s">
        <v>3770</v>
      </c>
      <c r="Q293" s="19">
        <v>46181</v>
      </c>
      <c r="R293" t="s">
        <v>2007</v>
      </c>
      <c r="S293" t="s">
        <v>3366</v>
      </c>
      <c r="T293" t="e">
        <f>VLOOKUP(C293,'Legal &amp; Wrt.off'!C:C,1,0)</f>
        <v>#N/A</v>
      </c>
    </row>
    <row r="294" spans="1:20" hidden="1" x14ac:dyDescent="0.35">
      <c r="A294" t="s">
        <v>3509</v>
      </c>
      <c r="B294" t="s">
        <v>3229</v>
      </c>
      <c r="C294" t="s">
        <v>3232</v>
      </c>
      <c r="D294" t="s">
        <v>3233</v>
      </c>
      <c r="E294" s="16">
        <v>0</v>
      </c>
      <c r="F294" s="4">
        <v>0</v>
      </c>
      <c r="G294" s="17">
        <v>0.30487999999999998</v>
      </c>
      <c r="H294" s="4">
        <v>0</v>
      </c>
      <c r="I294" s="4">
        <v>0</v>
      </c>
      <c r="J294" s="4">
        <v>0.30487999999999998</v>
      </c>
      <c r="K294" s="4">
        <v>0</v>
      </c>
      <c r="L294" s="4">
        <f t="shared" si="4"/>
        <v>0.30487999999999998</v>
      </c>
      <c r="M294" s="4"/>
      <c r="N294" s="5" t="s">
        <v>3368</v>
      </c>
      <c r="P294" s="29" t="s">
        <v>3368</v>
      </c>
      <c r="Q294" s="19">
        <v>0</v>
      </c>
      <c r="R294" t="s">
        <v>3118</v>
      </c>
      <c r="S294" t="e">
        <v>#N/A</v>
      </c>
      <c r="T294" t="e">
        <f>VLOOKUP(C294,'Legal &amp; Wrt.off'!C:C,1,0)</f>
        <v>#N/A</v>
      </c>
    </row>
    <row r="295" spans="1:20" hidden="1" x14ac:dyDescent="0.35">
      <c r="A295" t="s">
        <v>3509</v>
      </c>
      <c r="B295" t="s">
        <v>3229</v>
      </c>
      <c r="C295" t="s">
        <v>3234</v>
      </c>
      <c r="D295" t="s">
        <v>3235</v>
      </c>
      <c r="E295" s="16">
        <v>0</v>
      </c>
      <c r="F295" s="4">
        <v>0</v>
      </c>
      <c r="G295" s="17">
        <v>0.32367240000000003</v>
      </c>
      <c r="H295" s="4">
        <v>0</v>
      </c>
      <c r="I295" s="4">
        <v>0</v>
      </c>
      <c r="J295" s="4">
        <v>0</v>
      </c>
      <c r="K295" s="4">
        <v>0.32367239999999997</v>
      </c>
      <c r="L295" s="4">
        <f t="shared" si="4"/>
        <v>0.32367239999999997</v>
      </c>
      <c r="M295" s="4"/>
      <c r="N295" s="5" t="s">
        <v>3369</v>
      </c>
      <c r="P295" s="29" t="s">
        <v>3369</v>
      </c>
      <c r="Q295" s="19">
        <v>0</v>
      </c>
      <c r="R295" t="s">
        <v>3118</v>
      </c>
      <c r="S295" t="s">
        <v>2008</v>
      </c>
      <c r="T295" t="e">
        <f>VLOOKUP(C295,'Legal &amp; Wrt.off'!C:C,1,0)</f>
        <v>#N/A</v>
      </c>
    </row>
    <row r="296" spans="1:20" hidden="1" x14ac:dyDescent="0.35">
      <c r="A296" t="s">
        <v>3509</v>
      </c>
      <c r="B296" t="s">
        <v>3229</v>
      </c>
      <c r="C296" t="s">
        <v>3236</v>
      </c>
      <c r="D296" t="s">
        <v>3237</v>
      </c>
      <c r="E296" s="16">
        <v>0</v>
      </c>
      <c r="F296" s="4">
        <v>0</v>
      </c>
      <c r="G296" s="17">
        <v>2.7785000000000002</v>
      </c>
      <c r="H296" s="4">
        <v>0</v>
      </c>
      <c r="I296" s="4">
        <v>2.7785000000000002</v>
      </c>
      <c r="J296" s="4">
        <v>0</v>
      </c>
      <c r="K296" s="4">
        <v>0</v>
      </c>
      <c r="L296" s="4">
        <f t="shared" si="4"/>
        <v>2.7785000000000002</v>
      </c>
      <c r="M296" s="4"/>
      <c r="N296" s="5" t="s">
        <v>3370</v>
      </c>
      <c r="O296" s="19">
        <v>46170</v>
      </c>
      <c r="P296" s="29" t="s">
        <v>3771</v>
      </c>
      <c r="Q296" s="19">
        <v>0</v>
      </c>
      <c r="R296" t="s">
        <v>2007</v>
      </c>
      <c r="S296" t="s">
        <v>3366</v>
      </c>
      <c r="T296" t="e">
        <f>VLOOKUP(C296,'Legal &amp; Wrt.off'!C:C,1,0)</f>
        <v>#N/A</v>
      </c>
    </row>
    <row r="297" spans="1:20" hidden="1" x14ac:dyDescent="0.35">
      <c r="A297" t="s">
        <v>3509</v>
      </c>
      <c r="B297" t="s">
        <v>3229</v>
      </c>
      <c r="C297" t="s">
        <v>3242</v>
      </c>
      <c r="D297" t="s">
        <v>3243</v>
      </c>
      <c r="E297" s="16">
        <v>0</v>
      </c>
      <c r="F297" s="4">
        <v>0</v>
      </c>
      <c r="G297" s="17">
        <v>0.2437464</v>
      </c>
      <c r="H297" s="4">
        <v>0</v>
      </c>
      <c r="I297" s="4">
        <v>0</v>
      </c>
      <c r="J297" s="4">
        <v>0.2437464</v>
      </c>
      <c r="K297" s="4">
        <v>0</v>
      </c>
      <c r="L297" s="4">
        <f t="shared" si="4"/>
        <v>0.2437464</v>
      </c>
      <c r="M297" s="4"/>
      <c r="N297" s="5" t="s">
        <v>3371</v>
      </c>
      <c r="O297" s="19">
        <v>46165</v>
      </c>
      <c r="P297" s="29" t="s">
        <v>3770</v>
      </c>
      <c r="Q297" s="19">
        <v>46181</v>
      </c>
      <c r="R297" t="s">
        <v>2007</v>
      </c>
      <c r="S297" t="s">
        <v>3366</v>
      </c>
      <c r="T297" t="e">
        <f>VLOOKUP(C297,'Legal &amp; Wrt.off'!C:C,1,0)</f>
        <v>#N/A</v>
      </c>
    </row>
    <row r="298" spans="1:20" hidden="1" x14ac:dyDescent="0.35">
      <c r="A298" t="s">
        <v>3509</v>
      </c>
      <c r="B298" t="s">
        <v>3229</v>
      </c>
      <c r="C298" t="s">
        <v>3246</v>
      </c>
      <c r="D298" t="s">
        <v>3247</v>
      </c>
      <c r="E298" s="16">
        <v>0</v>
      </c>
      <c r="F298" s="4">
        <v>0</v>
      </c>
      <c r="G298" s="17">
        <v>1.0487500000000001</v>
      </c>
      <c r="H298" s="4">
        <v>0</v>
      </c>
      <c r="I298" s="4">
        <v>1.0487500000000001</v>
      </c>
      <c r="J298" s="4">
        <v>0</v>
      </c>
      <c r="K298" s="4">
        <v>0</v>
      </c>
      <c r="L298" s="4">
        <f t="shared" si="4"/>
        <v>1.0487500000000001</v>
      </c>
      <c r="M298" s="4"/>
      <c r="N298" s="5" t="s">
        <v>3372</v>
      </c>
      <c r="P298" s="29" t="s">
        <v>3372</v>
      </c>
      <c r="Q298" s="19">
        <v>0</v>
      </c>
      <c r="R298" t="s">
        <v>2008</v>
      </c>
      <c r="S298" t="e">
        <v>#N/A</v>
      </c>
      <c r="T298" t="e">
        <f>VLOOKUP(C298,'Legal &amp; Wrt.off'!C:C,1,0)</f>
        <v>#N/A</v>
      </c>
    </row>
    <row r="299" spans="1:20" hidden="1" x14ac:dyDescent="0.35">
      <c r="A299" t="s">
        <v>3509</v>
      </c>
      <c r="B299" t="s">
        <v>3248</v>
      </c>
      <c r="C299" t="s">
        <v>3249</v>
      </c>
      <c r="D299" t="s">
        <v>3250</v>
      </c>
      <c r="E299" s="16">
        <v>0</v>
      </c>
      <c r="F299" s="4">
        <v>0</v>
      </c>
      <c r="G299" s="17">
        <v>5.9965799999999998</v>
      </c>
      <c r="H299" s="4">
        <v>0</v>
      </c>
      <c r="I299" s="4">
        <v>5.9965799999999998</v>
      </c>
      <c r="J299" s="4">
        <v>0</v>
      </c>
      <c r="K299" s="4">
        <v>0</v>
      </c>
      <c r="L299" s="4">
        <f t="shared" si="4"/>
        <v>5.9965799999999998</v>
      </c>
      <c r="M299" s="4"/>
      <c r="N299" s="5" t="s">
        <v>3373</v>
      </c>
      <c r="O299" s="19">
        <v>46168</v>
      </c>
      <c r="P299" s="29" t="s">
        <v>3772</v>
      </c>
      <c r="Q299" s="19">
        <v>46183</v>
      </c>
      <c r="R299" t="s">
        <v>2007</v>
      </c>
      <c r="S299" t="e">
        <v>#N/A</v>
      </c>
      <c r="T299" t="e">
        <f>VLOOKUP(C299,'Legal &amp; Wrt.off'!C:C,1,0)</f>
        <v>#N/A</v>
      </c>
    </row>
    <row r="300" spans="1:20" x14ac:dyDescent="0.35">
      <c r="A300" t="s">
        <v>3509</v>
      </c>
      <c r="B300" t="s">
        <v>3251</v>
      </c>
      <c r="C300" t="s">
        <v>3252</v>
      </c>
      <c r="D300" t="s">
        <v>3253</v>
      </c>
      <c r="E300" s="16">
        <v>0</v>
      </c>
      <c r="F300" s="4">
        <v>0</v>
      </c>
      <c r="G300" s="17">
        <v>2.0268199999999998</v>
      </c>
      <c r="H300" s="4">
        <v>0.78258000000000005</v>
      </c>
      <c r="I300" s="4">
        <v>1.24424</v>
      </c>
      <c r="J300" s="4">
        <v>0</v>
      </c>
      <c r="K300" s="4">
        <v>0</v>
      </c>
      <c r="L300" s="4">
        <f t="shared" si="4"/>
        <v>1.24424</v>
      </c>
      <c r="M300" s="4"/>
      <c r="N300" s="5" t="s">
        <v>3374</v>
      </c>
      <c r="O300" s="19">
        <v>46165</v>
      </c>
      <c r="P300" s="29" t="s">
        <v>3773</v>
      </c>
      <c r="Q300" s="19">
        <v>46188</v>
      </c>
      <c r="R300" t="s">
        <v>2007</v>
      </c>
      <c r="S300" t="e">
        <v>#N/A</v>
      </c>
      <c r="T300" t="e">
        <f>VLOOKUP(C300,'Legal &amp; Wrt.off'!C:C,1,0)</f>
        <v>#N/A</v>
      </c>
    </row>
    <row r="301" spans="1:20" hidden="1" x14ac:dyDescent="0.35">
      <c r="A301" t="s">
        <v>3509</v>
      </c>
      <c r="B301" t="s">
        <v>3251</v>
      </c>
      <c r="C301" t="s">
        <v>3254</v>
      </c>
      <c r="D301" t="s">
        <v>3255</v>
      </c>
      <c r="E301" s="16">
        <v>0</v>
      </c>
      <c r="F301" s="4">
        <v>0</v>
      </c>
      <c r="G301" s="17">
        <v>1.1140099000000001</v>
      </c>
      <c r="H301" s="4">
        <v>0</v>
      </c>
      <c r="I301" s="4">
        <v>0</v>
      </c>
      <c r="J301" s="4">
        <v>0</v>
      </c>
      <c r="K301" s="4">
        <v>1.1140099000000001</v>
      </c>
      <c r="L301" s="4">
        <f t="shared" si="4"/>
        <v>1.1140099000000001</v>
      </c>
      <c r="M301" s="4"/>
      <c r="N301" s="5" t="s">
        <v>3418</v>
      </c>
      <c r="P301" s="29">
        <v>0</v>
      </c>
      <c r="Q301" s="19">
        <v>0</v>
      </c>
      <c r="R301" t="s">
        <v>3117</v>
      </c>
      <c r="S301" t="e">
        <v>#N/A</v>
      </c>
      <c r="T301" t="e">
        <f>VLOOKUP(C301,'Legal &amp; Wrt.off'!C:C,1,0)</f>
        <v>#N/A</v>
      </c>
    </row>
    <row r="302" spans="1:20" x14ac:dyDescent="0.35">
      <c r="A302" t="s">
        <v>3509</v>
      </c>
      <c r="B302" t="s">
        <v>3251</v>
      </c>
      <c r="C302" t="s">
        <v>3258</v>
      </c>
      <c r="D302" t="s">
        <v>3259</v>
      </c>
      <c r="E302" s="16">
        <v>0</v>
      </c>
      <c r="F302" s="4">
        <v>0</v>
      </c>
      <c r="G302" s="17">
        <v>8.9450000000000002E-2</v>
      </c>
      <c r="H302" s="4">
        <v>0</v>
      </c>
      <c r="I302" s="4">
        <v>0</v>
      </c>
      <c r="J302" s="4">
        <v>0</v>
      </c>
      <c r="K302" s="4">
        <v>8.9450000000000002E-2</v>
      </c>
      <c r="L302" s="4">
        <f t="shared" si="4"/>
        <v>8.9450000000000002E-2</v>
      </c>
      <c r="M302" s="4"/>
      <c r="N302" s="5">
        <v>0</v>
      </c>
      <c r="P302" s="29">
        <v>0</v>
      </c>
      <c r="Q302" s="19">
        <v>0</v>
      </c>
      <c r="R302" t="s">
        <v>3118</v>
      </c>
      <c r="S302" t="e">
        <v>#N/A</v>
      </c>
      <c r="T302" t="e">
        <f>VLOOKUP(C302,'Legal &amp; Wrt.off'!C:C,1,0)</f>
        <v>#N/A</v>
      </c>
    </row>
    <row r="303" spans="1:20" hidden="1" x14ac:dyDescent="0.35">
      <c r="A303" t="s">
        <v>3509</v>
      </c>
      <c r="B303" t="s">
        <v>3251</v>
      </c>
      <c r="C303" t="s">
        <v>3260</v>
      </c>
      <c r="D303" t="s">
        <v>3261</v>
      </c>
      <c r="E303" s="16">
        <v>0</v>
      </c>
      <c r="F303" s="4">
        <v>0</v>
      </c>
      <c r="G303" s="17">
        <v>1.78416</v>
      </c>
      <c r="H303" s="4">
        <v>0</v>
      </c>
      <c r="I303" s="4">
        <v>0</v>
      </c>
      <c r="J303" s="4">
        <v>0</v>
      </c>
      <c r="K303" s="4">
        <v>1.78416</v>
      </c>
      <c r="L303" s="4">
        <f t="shared" si="4"/>
        <v>1.78416</v>
      </c>
      <c r="M303" s="4"/>
      <c r="N303" s="5" t="s">
        <v>3376</v>
      </c>
      <c r="O303" s="19">
        <v>46183</v>
      </c>
      <c r="P303" s="29" t="s">
        <v>3376</v>
      </c>
      <c r="Q303" s="19">
        <v>46183</v>
      </c>
      <c r="R303" t="s">
        <v>2013</v>
      </c>
      <c r="S303" t="e">
        <v>#N/A</v>
      </c>
      <c r="T303" t="e">
        <f>VLOOKUP(C303,'Legal &amp; Wrt.off'!C:C,1,0)</f>
        <v>#N/A</v>
      </c>
    </row>
    <row r="304" spans="1:20" hidden="1" x14ac:dyDescent="0.35">
      <c r="A304" t="s">
        <v>3509</v>
      </c>
      <c r="B304" t="s">
        <v>3251</v>
      </c>
      <c r="C304" t="s">
        <v>3262</v>
      </c>
      <c r="D304" t="s">
        <v>3263</v>
      </c>
      <c r="E304" s="16">
        <v>0</v>
      </c>
      <c r="F304" s="4">
        <v>0</v>
      </c>
      <c r="G304" s="17">
        <v>0.38901999999999998</v>
      </c>
      <c r="H304" s="4">
        <v>0</v>
      </c>
      <c r="I304" s="4">
        <v>0</v>
      </c>
      <c r="J304" s="4">
        <v>0.38901999999999998</v>
      </c>
      <c r="K304" s="4">
        <v>0</v>
      </c>
      <c r="L304" s="4">
        <f t="shared" si="4"/>
        <v>0.38901999999999998</v>
      </c>
      <c r="M304" s="4"/>
      <c r="N304" s="5" t="s">
        <v>3375</v>
      </c>
      <c r="O304" s="19">
        <v>46167</v>
      </c>
      <c r="P304" s="29" t="s">
        <v>3774</v>
      </c>
      <c r="Q304" s="19">
        <v>46182</v>
      </c>
      <c r="R304" t="s">
        <v>2007</v>
      </c>
      <c r="S304" t="e">
        <v>#N/A</v>
      </c>
      <c r="T304" t="e">
        <f>VLOOKUP(C304,'Legal &amp; Wrt.off'!C:C,1,0)</f>
        <v>#N/A</v>
      </c>
    </row>
    <row r="305" spans="1:20" hidden="1" x14ac:dyDescent="0.35">
      <c r="A305" t="s">
        <v>3509</v>
      </c>
      <c r="B305" t="s">
        <v>3251</v>
      </c>
      <c r="C305" t="s">
        <v>3264</v>
      </c>
      <c r="D305" t="s">
        <v>3265</v>
      </c>
      <c r="E305" s="16">
        <v>0</v>
      </c>
      <c r="F305" s="4">
        <v>0</v>
      </c>
      <c r="G305" s="17">
        <v>6.1086899999999993E-2</v>
      </c>
      <c r="H305" s="4">
        <v>0</v>
      </c>
      <c r="I305" s="4">
        <v>0</v>
      </c>
      <c r="J305" s="4">
        <v>0</v>
      </c>
      <c r="K305" s="4">
        <v>6.1086899999999986E-2</v>
      </c>
      <c r="L305" s="4">
        <f t="shared" si="4"/>
        <v>6.1086899999999986E-2</v>
      </c>
      <c r="M305" s="4"/>
      <c r="N305" s="5" t="s">
        <v>3377</v>
      </c>
      <c r="P305" s="29" t="s">
        <v>3377</v>
      </c>
      <c r="Q305" s="19">
        <v>0</v>
      </c>
      <c r="R305" t="s">
        <v>3117</v>
      </c>
      <c r="S305" t="s">
        <v>3366</v>
      </c>
      <c r="T305" t="e">
        <f>VLOOKUP(C305,'Legal &amp; Wrt.off'!C:C,1,0)</f>
        <v>#N/A</v>
      </c>
    </row>
    <row r="306" spans="1:20" hidden="1" x14ac:dyDescent="0.35">
      <c r="A306" t="s">
        <v>3509</v>
      </c>
      <c r="B306" t="s">
        <v>3251</v>
      </c>
      <c r="C306" t="s">
        <v>3270</v>
      </c>
      <c r="D306" t="s">
        <v>3271</v>
      </c>
      <c r="E306" s="16">
        <v>0</v>
      </c>
      <c r="F306" s="4">
        <v>0</v>
      </c>
      <c r="G306" s="17">
        <v>1.5452699999999999</v>
      </c>
      <c r="H306" s="4">
        <v>0</v>
      </c>
      <c r="I306" s="4">
        <v>0.61733000000000005</v>
      </c>
      <c r="J306" s="4">
        <v>0.92793999999999999</v>
      </c>
      <c r="K306" s="4">
        <v>0</v>
      </c>
      <c r="L306" s="4">
        <f t="shared" si="4"/>
        <v>1.5452699999999999</v>
      </c>
      <c r="M306" s="4"/>
      <c r="N306" s="5" t="s">
        <v>3378</v>
      </c>
      <c r="O306" s="19">
        <v>46168</v>
      </c>
      <c r="P306" s="29" t="s">
        <v>3772</v>
      </c>
      <c r="Q306" s="19">
        <v>46183</v>
      </c>
      <c r="R306" t="s">
        <v>2007</v>
      </c>
      <c r="S306" t="e">
        <v>#N/A</v>
      </c>
      <c r="T306" t="e">
        <f>VLOOKUP(C306,'Legal &amp; Wrt.off'!C:C,1,0)</f>
        <v>#N/A</v>
      </c>
    </row>
    <row r="307" spans="1:20" hidden="1" x14ac:dyDescent="0.35">
      <c r="A307" t="s">
        <v>3509</v>
      </c>
      <c r="B307" t="s">
        <v>3272</v>
      </c>
      <c r="C307" t="s">
        <v>3273</v>
      </c>
      <c r="D307" t="s">
        <v>3274</v>
      </c>
      <c r="E307" s="16">
        <v>0</v>
      </c>
      <c r="F307" s="4">
        <v>0</v>
      </c>
      <c r="G307" s="17">
        <v>1.31271</v>
      </c>
      <c r="H307" s="4">
        <v>0</v>
      </c>
      <c r="I307" s="4">
        <v>0</v>
      </c>
      <c r="J307" s="4">
        <v>0</v>
      </c>
      <c r="K307" s="4">
        <v>1.31271</v>
      </c>
      <c r="L307" s="4">
        <f t="shared" si="4"/>
        <v>1.31271</v>
      </c>
      <c r="M307" s="4"/>
      <c r="N307" s="5" t="s">
        <v>3379</v>
      </c>
      <c r="O307" s="19">
        <v>46183</v>
      </c>
      <c r="P307" s="29" t="s">
        <v>3379</v>
      </c>
      <c r="Q307" s="19">
        <v>46183</v>
      </c>
      <c r="R307" t="s">
        <v>3118</v>
      </c>
      <c r="S307" t="e">
        <v>#N/A</v>
      </c>
      <c r="T307" t="e">
        <f>VLOOKUP(C307,'Legal &amp; Wrt.off'!C:C,1,0)</f>
        <v>#N/A</v>
      </c>
    </row>
    <row r="308" spans="1:20" hidden="1" x14ac:dyDescent="0.35">
      <c r="A308" t="s">
        <v>3509</v>
      </c>
      <c r="B308" t="s">
        <v>3272</v>
      </c>
      <c r="C308" t="s">
        <v>3275</v>
      </c>
      <c r="D308" t="s">
        <v>3276</v>
      </c>
      <c r="E308" s="16">
        <v>0</v>
      </c>
      <c r="F308" s="4">
        <v>0</v>
      </c>
      <c r="G308" s="17">
        <v>7.3790399999999998</v>
      </c>
      <c r="H308" s="4">
        <v>0</v>
      </c>
      <c r="I308" s="4">
        <v>0</v>
      </c>
      <c r="J308" s="4">
        <v>0</v>
      </c>
      <c r="K308" s="4">
        <v>7.3790399999999998</v>
      </c>
      <c r="L308" s="4">
        <f t="shared" si="4"/>
        <v>7.3790399999999998</v>
      </c>
      <c r="M308" s="4"/>
      <c r="N308" s="5" t="s">
        <v>3380</v>
      </c>
      <c r="O308" s="19">
        <v>46183</v>
      </c>
      <c r="P308" s="29" t="s">
        <v>3380</v>
      </c>
      <c r="Q308" s="19">
        <v>46183</v>
      </c>
      <c r="R308" t="s">
        <v>3408</v>
      </c>
      <c r="S308" t="s">
        <v>3408</v>
      </c>
      <c r="T308" t="e">
        <f>VLOOKUP(C308,'Legal &amp; Wrt.off'!C:C,1,0)</f>
        <v>#N/A</v>
      </c>
    </row>
    <row r="309" spans="1:20" hidden="1" x14ac:dyDescent="0.35">
      <c r="A309" t="s">
        <v>3509</v>
      </c>
      <c r="B309" t="s">
        <v>3272</v>
      </c>
      <c r="C309" t="s">
        <v>3277</v>
      </c>
      <c r="D309" t="s">
        <v>3278</v>
      </c>
      <c r="E309" s="16">
        <v>0</v>
      </c>
      <c r="F309" s="4">
        <v>0</v>
      </c>
      <c r="G309" s="17">
        <v>0.32496919999999996</v>
      </c>
      <c r="H309" s="4">
        <v>0</v>
      </c>
      <c r="I309" s="4">
        <v>0</v>
      </c>
      <c r="J309" s="4">
        <v>0</v>
      </c>
      <c r="K309" s="4">
        <v>0.32496919999999996</v>
      </c>
      <c r="L309" s="4">
        <f t="shared" si="4"/>
        <v>0.32496919999999996</v>
      </c>
      <c r="M309" s="4"/>
      <c r="N309" s="5" t="s">
        <v>3381</v>
      </c>
      <c r="O309" s="19">
        <v>46168</v>
      </c>
      <c r="P309" s="29" t="s">
        <v>3381</v>
      </c>
      <c r="Q309" s="19">
        <v>0</v>
      </c>
      <c r="R309" t="s">
        <v>3187</v>
      </c>
      <c r="S309" t="e">
        <v>#N/A</v>
      </c>
      <c r="T309" t="e">
        <f>VLOOKUP(C309,'Legal &amp; Wrt.off'!C:C,1,0)</f>
        <v>#N/A</v>
      </c>
    </row>
    <row r="310" spans="1:20" hidden="1" x14ac:dyDescent="0.35">
      <c r="A310" t="s">
        <v>3509</v>
      </c>
      <c r="B310" t="s">
        <v>3272</v>
      </c>
      <c r="C310" t="s">
        <v>3279</v>
      </c>
      <c r="D310" t="s">
        <v>3280</v>
      </c>
      <c r="E310" s="16">
        <v>0</v>
      </c>
      <c r="F310" s="4">
        <v>0</v>
      </c>
      <c r="G310" s="17">
        <v>0.41973099999999997</v>
      </c>
      <c r="H310" s="4">
        <v>0</v>
      </c>
      <c r="I310" s="4">
        <v>0</v>
      </c>
      <c r="J310" s="4">
        <v>0</v>
      </c>
      <c r="K310" s="4">
        <v>0.41973099999999997</v>
      </c>
      <c r="L310" s="4">
        <f t="shared" si="4"/>
        <v>0.41973099999999997</v>
      </c>
      <c r="M310" s="4"/>
      <c r="N310" s="5" t="s">
        <v>3382</v>
      </c>
      <c r="O310" s="19">
        <v>46172</v>
      </c>
      <c r="P310" s="29" t="s">
        <v>3382</v>
      </c>
      <c r="Q310" s="19">
        <v>0</v>
      </c>
      <c r="R310" t="s">
        <v>2013</v>
      </c>
      <c r="S310" t="e">
        <v>#N/A</v>
      </c>
      <c r="T310" t="e">
        <f>VLOOKUP(C310,'Legal &amp; Wrt.off'!C:C,1,0)</f>
        <v>#N/A</v>
      </c>
    </row>
    <row r="311" spans="1:20" hidden="1" x14ac:dyDescent="0.35">
      <c r="A311" t="s">
        <v>3509</v>
      </c>
      <c r="B311" t="s">
        <v>3272</v>
      </c>
      <c r="C311" t="s">
        <v>3281</v>
      </c>
      <c r="D311" t="s">
        <v>3282</v>
      </c>
      <c r="E311" s="16">
        <v>0</v>
      </c>
      <c r="F311" s="4">
        <v>0</v>
      </c>
      <c r="G311" s="17">
        <v>6.3092499999999996</v>
      </c>
      <c r="H311" s="4">
        <v>0</v>
      </c>
      <c r="I311" s="4">
        <v>6.3092499999999996</v>
      </c>
      <c r="J311" s="4">
        <v>0</v>
      </c>
      <c r="K311" s="4">
        <v>0</v>
      </c>
      <c r="L311" s="4">
        <f t="shared" si="4"/>
        <v>6.3092499999999996</v>
      </c>
      <c r="M311" s="4"/>
      <c r="N311" s="5" t="s">
        <v>3383</v>
      </c>
      <c r="O311" s="19">
        <v>46178</v>
      </c>
      <c r="P311" s="29" t="s">
        <v>3775</v>
      </c>
      <c r="Q311" s="19">
        <v>46188</v>
      </c>
      <c r="R311" t="s">
        <v>2007</v>
      </c>
      <c r="S311" t="e">
        <v>#N/A</v>
      </c>
      <c r="T311" t="e">
        <f>VLOOKUP(C311,'Legal &amp; Wrt.off'!C:C,1,0)</f>
        <v>#N/A</v>
      </c>
    </row>
    <row r="312" spans="1:20" hidden="1" x14ac:dyDescent="0.35">
      <c r="A312" t="s">
        <v>3509</v>
      </c>
      <c r="B312" t="s">
        <v>3272</v>
      </c>
      <c r="C312" t="s">
        <v>3285</v>
      </c>
      <c r="D312" t="s">
        <v>3286</v>
      </c>
      <c r="E312" s="16">
        <v>0</v>
      </c>
      <c r="F312" s="4">
        <v>0</v>
      </c>
      <c r="G312" s="17">
        <v>0.67703999999999998</v>
      </c>
      <c r="H312" s="4">
        <v>0</v>
      </c>
      <c r="I312" s="4">
        <v>0</v>
      </c>
      <c r="J312" s="4">
        <v>0.67703999999999998</v>
      </c>
      <c r="K312" s="4">
        <v>0</v>
      </c>
      <c r="L312" s="4">
        <f t="shared" si="4"/>
        <v>0.67703999999999998</v>
      </c>
      <c r="M312" s="4"/>
      <c r="N312" s="5" t="s">
        <v>3384</v>
      </c>
      <c r="O312" s="19">
        <v>46171</v>
      </c>
      <c r="P312" s="29" t="s">
        <v>3776</v>
      </c>
      <c r="Q312" s="19">
        <v>46183</v>
      </c>
      <c r="R312" t="s">
        <v>3187</v>
      </c>
      <c r="S312" t="e">
        <v>#N/A</v>
      </c>
      <c r="T312" t="e">
        <f>VLOOKUP(C312,'Legal &amp; Wrt.off'!C:C,1,0)</f>
        <v>#N/A</v>
      </c>
    </row>
    <row r="313" spans="1:20" hidden="1" x14ac:dyDescent="0.35">
      <c r="A313" t="s">
        <v>3509</v>
      </c>
      <c r="B313" t="s">
        <v>3287</v>
      </c>
      <c r="C313" t="s">
        <v>3288</v>
      </c>
      <c r="D313" t="s">
        <v>3289</v>
      </c>
      <c r="E313" s="16">
        <v>0</v>
      </c>
      <c r="F313" s="4">
        <v>0</v>
      </c>
      <c r="G313" s="17">
        <v>7.1892800000000001</v>
      </c>
      <c r="H313" s="4">
        <v>0</v>
      </c>
      <c r="I313" s="4">
        <v>7.1892800000000001</v>
      </c>
      <c r="J313" s="4">
        <v>0</v>
      </c>
      <c r="K313" s="4">
        <v>0</v>
      </c>
      <c r="L313" s="4">
        <f t="shared" si="4"/>
        <v>7.1892800000000001</v>
      </c>
      <c r="M313" s="4"/>
      <c r="N313" s="5" t="s">
        <v>3370</v>
      </c>
      <c r="O313" s="19">
        <v>46170</v>
      </c>
      <c r="P313" s="29" t="s">
        <v>3775</v>
      </c>
      <c r="Q313" s="19">
        <v>46188</v>
      </c>
      <c r="R313" t="s">
        <v>2007</v>
      </c>
      <c r="S313" t="e">
        <v>#N/A</v>
      </c>
      <c r="T313" t="e">
        <f>VLOOKUP(C313,'Legal &amp; Wrt.off'!C:C,1,0)</f>
        <v>#N/A</v>
      </c>
    </row>
    <row r="314" spans="1:20" hidden="1" x14ac:dyDescent="0.35">
      <c r="A314" t="s">
        <v>3509</v>
      </c>
      <c r="B314" t="s">
        <v>3287</v>
      </c>
      <c r="C314" t="s">
        <v>3290</v>
      </c>
      <c r="D314" t="s">
        <v>3291</v>
      </c>
      <c r="E314" s="16">
        <v>0</v>
      </c>
      <c r="F314" s="4">
        <v>0</v>
      </c>
      <c r="G314" s="17">
        <v>3.2191399999999999</v>
      </c>
      <c r="H314" s="4">
        <v>0</v>
      </c>
      <c r="I314" s="4">
        <v>3.2191399999999999</v>
      </c>
      <c r="J314" s="4">
        <v>0</v>
      </c>
      <c r="K314" s="4">
        <v>0</v>
      </c>
      <c r="L314" s="4">
        <f t="shared" si="4"/>
        <v>3.2191399999999999</v>
      </c>
      <c r="M314" s="4"/>
      <c r="N314" s="5" t="s">
        <v>3385</v>
      </c>
      <c r="O314" s="19">
        <v>46171</v>
      </c>
      <c r="P314" s="29" t="s">
        <v>3777</v>
      </c>
      <c r="Q314" s="19">
        <v>46181</v>
      </c>
      <c r="R314" t="s">
        <v>2007</v>
      </c>
      <c r="S314" t="e">
        <v>#N/A</v>
      </c>
      <c r="T314" t="e">
        <f>VLOOKUP(C314,'Legal &amp; Wrt.off'!C:C,1,0)</f>
        <v>#N/A</v>
      </c>
    </row>
    <row r="315" spans="1:20" hidden="1" x14ac:dyDescent="0.35">
      <c r="A315" t="s">
        <v>3509</v>
      </c>
      <c r="B315" t="s">
        <v>3287</v>
      </c>
      <c r="C315" t="s">
        <v>3292</v>
      </c>
      <c r="D315" t="s">
        <v>3293</v>
      </c>
      <c r="E315" s="16">
        <v>0</v>
      </c>
      <c r="F315" s="4">
        <v>0</v>
      </c>
      <c r="G315" s="17">
        <v>2.2314099999999999</v>
      </c>
      <c r="H315" s="4">
        <v>0</v>
      </c>
      <c r="I315" s="4">
        <v>0</v>
      </c>
      <c r="J315" s="4">
        <v>0</v>
      </c>
      <c r="K315" s="4">
        <v>2.2314099999999999</v>
      </c>
      <c r="L315" s="4">
        <f t="shared" si="4"/>
        <v>2.2314099999999999</v>
      </c>
      <c r="M315" s="4"/>
      <c r="N315" s="5" t="s">
        <v>3386</v>
      </c>
      <c r="O315" s="19">
        <v>46172</v>
      </c>
      <c r="P315" s="29">
        <v>0</v>
      </c>
      <c r="Q315" s="19">
        <v>0</v>
      </c>
      <c r="R315" t="s">
        <v>2007</v>
      </c>
      <c r="S315" t="s">
        <v>3366</v>
      </c>
      <c r="T315" t="e">
        <f>VLOOKUP(C315,'Legal &amp; Wrt.off'!C:C,1,0)</f>
        <v>#N/A</v>
      </c>
    </row>
    <row r="316" spans="1:20" hidden="1" x14ac:dyDescent="0.35">
      <c r="A316" t="s">
        <v>3509</v>
      </c>
      <c r="B316" t="s">
        <v>3287</v>
      </c>
      <c r="C316" t="s">
        <v>3294</v>
      </c>
      <c r="D316" t="s">
        <v>3295</v>
      </c>
      <c r="E316" s="16">
        <v>0</v>
      </c>
      <c r="F316" s="4">
        <v>0</v>
      </c>
      <c r="G316" s="17">
        <v>0.57803000000000004</v>
      </c>
      <c r="H316" s="4">
        <v>0</v>
      </c>
      <c r="I316" s="4">
        <v>0</v>
      </c>
      <c r="J316" s="4">
        <v>0</v>
      </c>
      <c r="K316" s="4">
        <v>0.57803000000000004</v>
      </c>
      <c r="L316" s="4">
        <f t="shared" si="4"/>
        <v>0.57803000000000004</v>
      </c>
      <c r="M316" s="4"/>
      <c r="N316" s="5" t="s">
        <v>3387</v>
      </c>
      <c r="P316" s="29" t="s">
        <v>3387</v>
      </c>
      <c r="Q316" s="19">
        <v>0</v>
      </c>
      <c r="R316" t="s">
        <v>3118</v>
      </c>
      <c r="S316" t="e">
        <v>#N/A</v>
      </c>
      <c r="T316" t="e">
        <f>VLOOKUP(C316,'Legal &amp; Wrt.off'!C:C,1,0)</f>
        <v>#N/A</v>
      </c>
    </row>
    <row r="317" spans="1:20" hidden="1" x14ac:dyDescent="0.35">
      <c r="A317" t="s">
        <v>3509</v>
      </c>
      <c r="B317" t="s">
        <v>3287</v>
      </c>
      <c r="C317" t="s">
        <v>3296</v>
      </c>
      <c r="D317" t="s">
        <v>3297</v>
      </c>
      <c r="E317" s="16">
        <v>0</v>
      </c>
      <c r="F317" s="4">
        <v>0</v>
      </c>
      <c r="G317" s="17">
        <v>2.3737499999999998</v>
      </c>
      <c r="H317" s="4">
        <v>0</v>
      </c>
      <c r="I317" s="4">
        <v>2.3737499999999998</v>
      </c>
      <c r="J317" s="4">
        <v>0</v>
      </c>
      <c r="K317" s="4">
        <v>0</v>
      </c>
      <c r="L317" s="4">
        <f t="shared" si="4"/>
        <v>2.3737499999999998</v>
      </c>
      <c r="M317" s="4"/>
      <c r="N317" s="5" t="s">
        <v>3388</v>
      </c>
      <c r="O317" s="19">
        <v>46183</v>
      </c>
      <c r="P317" s="29" t="s">
        <v>3388</v>
      </c>
      <c r="Q317" s="19">
        <v>46183</v>
      </c>
      <c r="R317" t="s">
        <v>2007</v>
      </c>
      <c r="S317" t="e">
        <v>#N/A</v>
      </c>
      <c r="T317" t="e">
        <f>VLOOKUP(C317,'Legal &amp; Wrt.off'!C:C,1,0)</f>
        <v>#N/A</v>
      </c>
    </row>
    <row r="318" spans="1:20" hidden="1" x14ac:dyDescent="0.35">
      <c r="A318" t="s">
        <v>3509</v>
      </c>
      <c r="B318" t="s">
        <v>3287</v>
      </c>
      <c r="C318" t="s">
        <v>3302</v>
      </c>
      <c r="D318" t="s">
        <v>3303</v>
      </c>
      <c r="E318" s="16">
        <v>0</v>
      </c>
      <c r="F318" s="4">
        <v>0</v>
      </c>
      <c r="G318" s="17">
        <v>0.31875999999999999</v>
      </c>
      <c r="H318" s="4">
        <v>0</v>
      </c>
      <c r="I318" s="4">
        <v>0</v>
      </c>
      <c r="J318" s="4">
        <v>0.31875999999999999</v>
      </c>
      <c r="K318" s="4">
        <v>0</v>
      </c>
      <c r="L318" s="4">
        <f t="shared" si="4"/>
        <v>0.31875999999999999</v>
      </c>
      <c r="M318" s="4"/>
      <c r="N318" s="5" t="s">
        <v>3389</v>
      </c>
      <c r="O318" s="19">
        <v>46170</v>
      </c>
      <c r="P318" s="29" t="s">
        <v>3778</v>
      </c>
      <c r="Q318" s="19">
        <v>46183</v>
      </c>
      <c r="R318" t="s">
        <v>2007</v>
      </c>
      <c r="S318" t="e">
        <v>#N/A</v>
      </c>
      <c r="T318" t="e">
        <f>VLOOKUP(C318,'Legal &amp; Wrt.off'!C:C,1,0)</f>
        <v>#N/A</v>
      </c>
    </row>
    <row r="319" spans="1:20" hidden="1" x14ac:dyDescent="0.35">
      <c r="A319" t="s">
        <v>3509</v>
      </c>
      <c r="B319" t="s">
        <v>3287</v>
      </c>
      <c r="C319" t="s">
        <v>3306</v>
      </c>
      <c r="D319" t="s">
        <v>3307</v>
      </c>
      <c r="E319" s="16">
        <v>0</v>
      </c>
      <c r="F319" s="4">
        <v>0</v>
      </c>
      <c r="G319" s="17">
        <v>2.51281</v>
      </c>
      <c r="H319" s="4">
        <v>0</v>
      </c>
      <c r="I319" s="4">
        <v>2.51281</v>
      </c>
      <c r="J319" s="4">
        <v>0</v>
      </c>
      <c r="K319" s="4">
        <v>0</v>
      </c>
      <c r="L319" s="4">
        <f t="shared" si="4"/>
        <v>2.51281</v>
      </c>
      <c r="M319" s="4"/>
      <c r="N319" s="5" t="s">
        <v>3385</v>
      </c>
      <c r="O319" s="19">
        <v>46171</v>
      </c>
      <c r="P319" s="29" t="s">
        <v>3779</v>
      </c>
      <c r="Q319" s="19">
        <v>46188</v>
      </c>
      <c r="R319" t="s">
        <v>2007</v>
      </c>
      <c r="S319" t="e">
        <v>#N/A</v>
      </c>
      <c r="T319" t="e">
        <f>VLOOKUP(C319,'Legal &amp; Wrt.off'!C:C,1,0)</f>
        <v>#N/A</v>
      </c>
    </row>
    <row r="320" spans="1:20" hidden="1" x14ac:dyDescent="0.35">
      <c r="A320" t="s">
        <v>3509</v>
      </c>
      <c r="B320" t="s">
        <v>3287</v>
      </c>
      <c r="C320" t="s">
        <v>3308</v>
      </c>
      <c r="D320" t="s">
        <v>3309</v>
      </c>
      <c r="E320" s="16">
        <v>0</v>
      </c>
      <c r="F320" s="4">
        <v>0</v>
      </c>
      <c r="G320" s="17">
        <v>0.11271780000000001</v>
      </c>
      <c r="H320" s="4">
        <v>0</v>
      </c>
      <c r="I320" s="4">
        <v>0</v>
      </c>
      <c r="J320" s="4">
        <v>0</v>
      </c>
      <c r="K320" s="4">
        <v>0.11271779999999999</v>
      </c>
      <c r="L320" s="4">
        <f t="shared" si="4"/>
        <v>0.11271779999999999</v>
      </c>
      <c r="M320" s="4"/>
      <c r="N320" s="5">
        <v>0</v>
      </c>
      <c r="P320" s="29">
        <v>0</v>
      </c>
      <c r="Q320" s="19">
        <v>0</v>
      </c>
      <c r="R320" t="s">
        <v>3118</v>
      </c>
      <c r="S320" t="e">
        <v>#N/A</v>
      </c>
      <c r="T320" t="e">
        <f>VLOOKUP(C320,'Legal &amp; Wrt.off'!C:C,1,0)</f>
        <v>#N/A</v>
      </c>
    </row>
    <row r="321" spans="1:20" hidden="1" x14ac:dyDescent="0.35">
      <c r="A321" t="s">
        <v>3509</v>
      </c>
      <c r="B321" t="s">
        <v>3287</v>
      </c>
      <c r="C321" t="s">
        <v>3310</v>
      </c>
      <c r="D321" t="s">
        <v>3311</v>
      </c>
      <c r="E321" s="16">
        <v>0</v>
      </c>
      <c r="F321" s="4">
        <v>0</v>
      </c>
      <c r="G321" s="17">
        <v>1.9469000000000001</v>
      </c>
      <c r="H321" s="4">
        <v>0</v>
      </c>
      <c r="I321" s="4">
        <v>0.76693999999999996</v>
      </c>
      <c r="J321" s="4">
        <v>1.1799599999999999</v>
      </c>
      <c r="K321" s="4">
        <v>0</v>
      </c>
      <c r="L321" s="4">
        <f t="shared" si="4"/>
        <v>1.9468999999999999</v>
      </c>
      <c r="M321" s="4"/>
      <c r="N321" s="5" t="s">
        <v>3370</v>
      </c>
      <c r="O321" s="19">
        <v>46170</v>
      </c>
      <c r="P321" s="29" t="s">
        <v>3780</v>
      </c>
      <c r="Q321" s="19">
        <v>46182</v>
      </c>
      <c r="R321" t="s">
        <v>2007</v>
      </c>
      <c r="S321" t="e">
        <v>#N/A</v>
      </c>
      <c r="T321" t="e">
        <f>VLOOKUP(C321,'Legal &amp; Wrt.off'!C:C,1,0)</f>
        <v>#N/A</v>
      </c>
    </row>
    <row r="322" spans="1:20" hidden="1" x14ac:dyDescent="0.35">
      <c r="A322" t="s">
        <v>3509</v>
      </c>
      <c r="B322" t="s">
        <v>3312</v>
      </c>
      <c r="C322" t="s">
        <v>3313</v>
      </c>
      <c r="D322" t="s">
        <v>3314</v>
      </c>
      <c r="E322" s="16">
        <v>0</v>
      </c>
      <c r="F322" s="4">
        <v>0</v>
      </c>
      <c r="G322" s="17">
        <v>2.6627100000000001</v>
      </c>
      <c r="H322" s="4">
        <v>0</v>
      </c>
      <c r="I322" s="4">
        <v>2.6627100000000001</v>
      </c>
      <c r="J322" s="4">
        <v>0</v>
      </c>
      <c r="K322" s="4">
        <v>0</v>
      </c>
      <c r="L322" s="4">
        <f t="shared" si="4"/>
        <v>2.6627100000000001</v>
      </c>
      <c r="M322" s="4"/>
      <c r="N322" s="5" t="s">
        <v>3370</v>
      </c>
      <c r="O322" s="19">
        <v>46170</v>
      </c>
      <c r="P322" s="29" t="s">
        <v>3781</v>
      </c>
      <c r="Q322" s="19">
        <v>46202</v>
      </c>
      <c r="R322" t="s">
        <v>2007</v>
      </c>
      <c r="S322" t="e">
        <v>#N/A</v>
      </c>
      <c r="T322" t="e">
        <f>VLOOKUP(C322,'Legal &amp; Wrt.off'!C:C,1,0)</f>
        <v>#N/A</v>
      </c>
    </row>
    <row r="323" spans="1:20" x14ac:dyDescent="0.35">
      <c r="A323" t="s">
        <v>3509</v>
      </c>
      <c r="B323" t="s">
        <v>3312</v>
      </c>
      <c r="C323" t="s">
        <v>3317</v>
      </c>
      <c r="D323" t="s">
        <v>3318</v>
      </c>
      <c r="E323" s="16">
        <v>0</v>
      </c>
      <c r="F323" s="4">
        <v>0</v>
      </c>
      <c r="G323" s="17">
        <v>0.9</v>
      </c>
      <c r="H323" s="4">
        <v>0</v>
      </c>
      <c r="I323" s="4">
        <v>0.9</v>
      </c>
      <c r="J323" s="4">
        <v>0</v>
      </c>
      <c r="K323" s="4">
        <v>0</v>
      </c>
      <c r="L323" s="4">
        <f t="shared" si="4"/>
        <v>0.9</v>
      </c>
      <c r="M323" s="4"/>
      <c r="N323" s="5" t="s">
        <v>3390</v>
      </c>
      <c r="O323" s="19">
        <v>46167</v>
      </c>
      <c r="P323" s="29" t="s">
        <v>3782</v>
      </c>
      <c r="Q323" s="19">
        <v>46183</v>
      </c>
      <c r="R323" t="s">
        <v>2007</v>
      </c>
      <c r="S323" t="e">
        <v>#N/A</v>
      </c>
      <c r="T323" t="e">
        <f>VLOOKUP(C323,'Legal &amp; Wrt.off'!C:C,1,0)</f>
        <v>#N/A</v>
      </c>
    </row>
    <row r="324" spans="1:20" hidden="1" x14ac:dyDescent="0.35">
      <c r="A324" t="s">
        <v>3509</v>
      </c>
      <c r="B324" t="s">
        <v>3312</v>
      </c>
      <c r="C324" t="s">
        <v>3319</v>
      </c>
      <c r="D324" t="s">
        <v>3320</v>
      </c>
      <c r="E324" s="16">
        <v>0</v>
      </c>
      <c r="F324" s="4">
        <v>0</v>
      </c>
      <c r="G324" s="17">
        <v>0.53985890000000003</v>
      </c>
      <c r="H324" s="4">
        <v>0</v>
      </c>
      <c r="I324" s="4">
        <v>0</v>
      </c>
      <c r="J324" s="4">
        <v>0.53985890000000003</v>
      </c>
      <c r="K324" s="4">
        <v>0</v>
      </c>
      <c r="L324" s="4">
        <f t="shared" si="4"/>
        <v>0.53985890000000003</v>
      </c>
      <c r="M324" s="4"/>
      <c r="N324" s="5" t="s">
        <v>3417</v>
      </c>
      <c r="P324" s="29" t="s">
        <v>3387</v>
      </c>
      <c r="Q324" s="19">
        <v>0</v>
      </c>
      <c r="R324" t="s">
        <v>3117</v>
      </c>
      <c r="S324" t="e">
        <v>#N/A</v>
      </c>
      <c r="T324" t="e">
        <f>VLOOKUP(C324,'Legal &amp; Wrt.off'!C:C,1,0)</f>
        <v>#N/A</v>
      </c>
    </row>
    <row r="325" spans="1:20" hidden="1" x14ac:dyDescent="0.35">
      <c r="A325" t="s">
        <v>3509</v>
      </c>
      <c r="B325" t="s">
        <v>3312</v>
      </c>
      <c r="C325" t="s">
        <v>3323</v>
      </c>
      <c r="D325" t="s">
        <v>3324</v>
      </c>
      <c r="E325" s="16">
        <v>0</v>
      </c>
      <c r="F325" s="4">
        <v>0</v>
      </c>
      <c r="G325" s="17">
        <v>12.661809999999999</v>
      </c>
      <c r="H325" s="4">
        <v>0</v>
      </c>
      <c r="I325" s="4">
        <v>0</v>
      </c>
      <c r="J325" s="4">
        <v>6.8341599999999998</v>
      </c>
      <c r="K325" s="4">
        <v>5.8276500000000002</v>
      </c>
      <c r="L325" s="4">
        <f t="shared" si="4"/>
        <v>12.661809999999999</v>
      </c>
      <c r="M325" s="4"/>
      <c r="N325" s="5" t="s">
        <v>3391</v>
      </c>
      <c r="O325" s="19">
        <v>46183</v>
      </c>
      <c r="P325" s="29" t="s">
        <v>3391</v>
      </c>
      <c r="Q325" s="19">
        <v>46183</v>
      </c>
      <c r="R325" t="s">
        <v>3187</v>
      </c>
      <c r="S325" t="e">
        <v>#N/A</v>
      </c>
      <c r="T325" t="e">
        <f>VLOOKUP(C325,'Legal &amp; Wrt.off'!C:C,1,0)</f>
        <v>#N/A</v>
      </c>
    </row>
    <row r="326" spans="1:20" hidden="1" x14ac:dyDescent="0.35">
      <c r="A326" t="s">
        <v>3509</v>
      </c>
      <c r="B326" t="s">
        <v>3325</v>
      </c>
      <c r="C326" t="s">
        <v>3326</v>
      </c>
      <c r="D326" t="s">
        <v>3327</v>
      </c>
      <c r="E326" s="16">
        <v>0</v>
      </c>
      <c r="F326" s="4">
        <v>0</v>
      </c>
      <c r="G326" s="17">
        <v>2.8908900000000002</v>
      </c>
      <c r="H326" s="4">
        <v>0</v>
      </c>
      <c r="I326" s="4">
        <v>0</v>
      </c>
      <c r="J326" s="4">
        <v>0.64802999999999999</v>
      </c>
      <c r="K326" s="4">
        <v>2.2428599999999999</v>
      </c>
      <c r="L326" s="4">
        <f t="shared" ref="L326:L389" si="5">SUM(I326:K326)</f>
        <v>2.8908899999999997</v>
      </c>
      <c r="M326" s="4"/>
      <c r="N326" s="5" t="s">
        <v>3392</v>
      </c>
      <c r="O326" s="19">
        <v>46170</v>
      </c>
      <c r="P326" s="29" t="s">
        <v>3392</v>
      </c>
      <c r="Q326" s="19">
        <v>0</v>
      </c>
      <c r="R326" t="s">
        <v>3187</v>
      </c>
      <c r="S326" t="e">
        <v>#N/A</v>
      </c>
      <c r="T326" t="e">
        <f>VLOOKUP(C326,'Legal &amp; Wrt.off'!C:C,1,0)</f>
        <v>#N/A</v>
      </c>
    </row>
    <row r="327" spans="1:20" hidden="1" x14ac:dyDescent="0.35">
      <c r="A327" t="s">
        <v>3509</v>
      </c>
      <c r="B327" t="s">
        <v>3325</v>
      </c>
      <c r="C327" t="s">
        <v>3328</v>
      </c>
      <c r="D327" t="s">
        <v>3329</v>
      </c>
      <c r="E327" s="16">
        <v>0</v>
      </c>
      <c r="F327" s="4">
        <v>0</v>
      </c>
      <c r="G327" s="17">
        <v>3.8255102000000001</v>
      </c>
      <c r="H327" s="4">
        <v>0</v>
      </c>
      <c r="I327" s="4">
        <v>0</v>
      </c>
      <c r="J327" s="4">
        <v>0</v>
      </c>
      <c r="K327" s="4">
        <v>3.8255102000000001</v>
      </c>
      <c r="L327" s="4">
        <f t="shared" si="5"/>
        <v>3.8255102000000001</v>
      </c>
      <c r="M327" s="4"/>
      <c r="N327" s="5" t="s">
        <v>3394</v>
      </c>
      <c r="O327" s="19">
        <v>46178</v>
      </c>
      <c r="P327" s="29" t="s">
        <v>3394</v>
      </c>
      <c r="Q327" s="19">
        <v>46183</v>
      </c>
      <c r="R327" t="s">
        <v>3117</v>
      </c>
      <c r="S327" t="s">
        <v>2008</v>
      </c>
      <c r="T327" t="e">
        <f>VLOOKUP(C327,'Legal &amp; Wrt.off'!C:C,1,0)</f>
        <v>#N/A</v>
      </c>
    </row>
    <row r="328" spans="1:20" hidden="1" x14ac:dyDescent="0.35">
      <c r="A328" t="s">
        <v>3509</v>
      </c>
      <c r="B328" t="s">
        <v>3325</v>
      </c>
      <c r="C328" t="s">
        <v>3330</v>
      </c>
      <c r="D328" t="s">
        <v>3331</v>
      </c>
      <c r="E328" s="16">
        <v>0</v>
      </c>
      <c r="F328" s="4">
        <v>0</v>
      </c>
      <c r="G328" s="17">
        <v>2.0236900000000002</v>
      </c>
      <c r="H328" s="4">
        <v>0</v>
      </c>
      <c r="I328" s="4">
        <v>0</v>
      </c>
      <c r="J328" s="4">
        <v>0</v>
      </c>
      <c r="K328" s="4">
        <v>2.0236900000000002</v>
      </c>
      <c r="L328" s="4">
        <f t="shared" si="5"/>
        <v>2.0236900000000002</v>
      </c>
      <c r="M328" s="4"/>
      <c r="N328" s="5" t="s">
        <v>3396</v>
      </c>
      <c r="O328" s="19">
        <v>46170</v>
      </c>
      <c r="P328" s="29" t="s">
        <v>3396</v>
      </c>
      <c r="Q328" s="19">
        <v>0</v>
      </c>
      <c r="R328" t="s">
        <v>3117</v>
      </c>
      <c r="S328" t="s">
        <v>3366</v>
      </c>
      <c r="T328" t="e">
        <f>VLOOKUP(C328,'Legal &amp; Wrt.off'!C:C,1,0)</f>
        <v>#N/A</v>
      </c>
    </row>
    <row r="329" spans="1:20" hidden="1" x14ac:dyDescent="0.35">
      <c r="A329" t="s">
        <v>3509</v>
      </c>
      <c r="B329" t="s">
        <v>3325</v>
      </c>
      <c r="C329" t="s">
        <v>3332</v>
      </c>
      <c r="D329" t="s">
        <v>3333</v>
      </c>
      <c r="E329" s="16">
        <v>0</v>
      </c>
      <c r="F329" s="4">
        <v>0</v>
      </c>
      <c r="G329" s="17">
        <v>7.9521563999999998</v>
      </c>
      <c r="H329" s="4">
        <v>0</v>
      </c>
      <c r="I329" s="4">
        <v>3.0272100000000002</v>
      </c>
      <c r="J329" s="4">
        <v>4.9249464000000005</v>
      </c>
      <c r="K329" s="4">
        <v>0</v>
      </c>
      <c r="L329" s="4">
        <f t="shared" si="5"/>
        <v>7.9521564000000007</v>
      </c>
      <c r="M329" s="4"/>
      <c r="N329" s="5" t="s">
        <v>3393</v>
      </c>
      <c r="O329" s="19">
        <v>46167</v>
      </c>
      <c r="P329" s="29" t="s">
        <v>3783</v>
      </c>
      <c r="Q329" s="19">
        <v>46188</v>
      </c>
      <c r="R329" t="s">
        <v>2007</v>
      </c>
      <c r="S329" t="s">
        <v>2008</v>
      </c>
      <c r="T329" t="e">
        <f>VLOOKUP(C329,'Legal &amp; Wrt.off'!C:C,1,0)</f>
        <v>#N/A</v>
      </c>
    </row>
    <row r="330" spans="1:20" hidden="1" x14ac:dyDescent="0.35">
      <c r="A330" t="s">
        <v>3509</v>
      </c>
      <c r="B330" t="s">
        <v>3325</v>
      </c>
      <c r="C330" t="s">
        <v>3334</v>
      </c>
      <c r="D330" t="s">
        <v>3335</v>
      </c>
      <c r="E330" s="16">
        <v>0</v>
      </c>
      <c r="F330" s="4">
        <v>0</v>
      </c>
      <c r="G330" s="17">
        <v>4.8767269000000004</v>
      </c>
      <c r="H330" s="4">
        <v>0</v>
      </c>
      <c r="I330" s="4">
        <v>1.35432</v>
      </c>
      <c r="J330" s="4">
        <v>3.5224069</v>
      </c>
      <c r="K330" s="4">
        <v>0</v>
      </c>
      <c r="L330" s="4">
        <f t="shared" si="5"/>
        <v>4.8767268999999995</v>
      </c>
      <c r="M330" s="4"/>
      <c r="N330" s="5" t="s">
        <v>3393</v>
      </c>
      <c r="O330" s="19">
        <v>46167</v>
      </c>
      <c r="P330" s="29" t="s">
        <v>3784</v>
      </c>
      <c r="Q330" s="19">
        <v>46190</v>
      </c>
      <c r="R330" t="s">
        <v>2007</v>
      </c>
      <c r="S330" t="s">
        <v>3366</v>
      </c>
      <c r="T330" t="e">
        <f>VLOOKUP(C330,'Legal &amp; Wrt.off'!C:C,1,0)</f>
        <v>#N/A</v>
      </c>
    </row>
    <row r="331" spans="1:20" hidden="1" x14ac:dyDescent="0.35">
      <c r="A331" t="s">
        <v>3509</v>
      </c>
      <c r="B331" t="s">
        <v>3325</v>
      </c>
      <c r="C331" t="s">
        <v>3336</v>
      </c>
      <c r="D331" t="s">
        <v>3337</v>
      </c>
      <c r="E331" s="16">
        <v>0</v>
      </c>
      <c r="F331" s="4">
        <v>0</v>
      </c>
      <c r="G331" s="17">
        <v>12.98673</v>
      </c>
      <c r="H331" s="4">
        <v>0</v>
      </c>
      <c r="I331" s="4">
        <v>0</v>
      </c>
      <c r="J331" s="4">
        <v>12.98673</v>
      </c>
      <c r="K331" s="4">
        <v>0</v>
      </c>
      <c r="L331" s="4">
        <f t="shared" si="5"/>
        <v>12.98673</v>
      </c>
      <c r="M331" s="4"/>
      <c r="N331" s="5" t="s">
        <v>3397</v>
      </c>
      <c r="O331" s="19">
        <v>46172</v>
      </c>
      <c r="P331" s="29" t="s">
        <v>3785</v>
      </c>
      <c r="Q331" s="19">
        <v>46198</v>
      </c>
      <c r="R331" t="s">
        <v>2007</v>
      </c>
      <c r="S331" t="e">
        <v>#N/A</v>
      </c>
      <c r="T331" t="e">
        <f>VLOOKUP(C331,'Legal &amp; Wrt.off'!C:C,1,0)</f>
        <v>#N/A</v>
      </c>
    </row>
    <row r="332" spans="1:20" hidden="1" x14ac:dyDescent="0.35">
      <c r="A332" t="s">
        <v>3509</v>
      </c>
      <c r="B332" t="s">
        <v>3325</v>
      </c>
      <c r="C332" t="s">
        <v>3338</v>
      </c>
      <c r="D332" t="s">
        <v>3339</v>
      </c>
      <c r="E332" s="16">
        <v>0</v>
      </c>
      <c r="F332" s="4">
        <v>0</v>
      </c>
      <c r="G332" s="17">
        <v>2.2744E-2</v>
      </c>
      <c r="H332" s="4">
        <v>0</v>
      </c>
      <c r="I332" s="4">
        <v>0</v>
      </c>
      <c r="J332" s="4">
        <v>0</v>
      </c>
      <c r="K332" s="4">
        <v>2.2744000000000014E-2</v>
      </c>
      <c r="L332" s="4">
        <f t="shared" si="5"/>
        <v>2.2744000000000014E-2</v>
      </c>
      <c r="M332" s="4"/>
      <c r="N332" s="5" t="s">
        <v>3398</v>
      </c>
      <c r="O332" s="19">
        <v>46172</v>
      </c>
      <c r="P332" s="29" t="s">
        <v>3398</v>
      </c>
      <c r="Q332" s="19">
        <v>0</v>
      </c>
      <c r="R332" t="s">
        <v>2012</v>
      </c>
      <c r="S332" t="s">
        <v>3366</v>
      </c>
      <c r="T332" t="e">
        <f>VLOOKUP(C332,'Legal &amp; Wrt.off'!C:C,1,0)</f>
        <v>#N/A</v>
      </c>
    </row>
    <row r="333" spans="1:20" hidden="1" x14ac:dyDescent="0.35">
      <c r="A333" t="s">
        <v>3509</v>
      </c>
      <c r="B333" t="s">
        <v>3325</v>
      </c>
      <c r="C333" t="s">
        <v>3340</v>
      </c>
      <c r="D333" t="s">
        <v>3341</v>
      </c>
      <c r="E333" s="16">
        <v>0</v>
      </c>
      <c r="F333" s="4">
        <v>0</v>
      </c>
      <c r="G333" s="17">
        <v>2.9232999999999998</v>
      </c>
      <c r="H333" s="4">
        <v>1.4989699999999999</v>
      </c>
      <c r="I333" s="4">
        <v>1.4243300000000001</v>
      </c>
      <c r="J333" s="4">
        <v>0</v>
      </c>
      <c r="K333" s="4">
        <v>0</v>
      </c>
      <c r="L333" s="4">
        <f t="shared" si="5"/>
        <v>1.4243300000000001</v>
      </c>
      <c r="M333" s="4"/>
      <c r="N333" s="5" t="s">
        <v>3399</v>
      </c>
      <c r="O333" s="19">
        <v>46172</v>
      </c>
      <c r="P333" s="29" t="s">
        <v>3786</v>
      </c>
      <c r="Q333" s="19">
        <v>46183</v>
      </c>
      <c r="R333" t="s">
        <v>2007</v>
      </c>
      <c r="S333" t="e">
        <v>#N/A</v>
      </c>
      <c r="T333" t="e">
        <f>VLOOKUP(C333,'Legal &amp; Wrt.off'!C:C,1,0)</f>
        <v>#N/A</v>
      </c>
    </row>
    <row r="334" spans="1:20" hidden="1" x14ac:dyDescent="0.35">
      <c r="A334" t="s">
        <v>3509</v>
      </c>
      <c r="B334" t="s">
        <v>3325</v>
      </c>
      <c r="C334" t="s">
        <v>3342</v>
      </c>
      <c r="D334" t="s">
        <v>3343</v>
      </c>
      <c r="E334" s="16">
        <v>0</v>
      </c>
      <c r="F334" s="4">
        <v>0</v>
      </c>
      <c r="G334" s="17">
        <v>2.9307020000000001</v>
      </c>
      <c r="H334" s="4">
        <v>0</v>
      </c>
      <c r="I334" s="4">
        <v>0</v>
      </c>
      <c r="J334" s="4">
        <v>0</v>
      </c>
      <c r="K334" s="4">
        <v>2.9307020000000001</v>
      </c>
      <c r="L334" s="4">
        <f t="shared" si="5"/>
        <v>2.9307020000000001</v>
      </c>
      <c r="M334" s="4"/>
      <c r="N334" s="5" t="s">
        <v>3400</v>
      </c>
      <c r="O334" s="19">
        <v>46164</v>
      </c>
      <c r="P334" s="29" t="s">
        <v>3400</v>
      </c>
      <c r="Q334" s="19">
        <v>0</v>
      </c>
      <c r="R334" t="s">
        <v>2008</v>
      </c>
      <c r="S334" t="e">
        <v>#N/A</v>
      </c>
      <c r="T334" t="e">
        <f>VLOOKUP(C334,'Legal &amp; Wrt.off'!C:C,1,0)</f>
        <v>#N/A</v>
      </c>
    </row>
    <row r="335" spans="1:20" hidden="1" x14ac:dyDescent="0.35">
      <c r="A335" t="s">
        <v>3509</v>
      </c>
      <c r="B335" t="s">
        <v>3325</v>
      </c>
      <c r="C335" t="s">
        <v>3344</v>
      </c>
      <c r="D335" t="s">
        <v>3345</v>
      </c>
      <c r="E335" s="16">
        <v>0</v>
      </c>
      <c r="F335" s="4">
        <v>0</v>
      </c>
      <c r="G335" s="17">
        <v>1.2677</v>
      </c>
      <c r="H335" s="4">
        <v>0</v>
      </c>
      <c r="I335" s="4">
        <v>1.2677</v>
      </c>
      <c r="J335" s="4">
        <v>0</v>
      </c>
      <c r="K335" s="4">
        <v>0</v>
      </c>
      <c r="L335" s="4">
        <f t="shared" si="5"/>
        <v>1.2677</v>
      </c>
      <c r="M335" s="4"/>
      <c r="N335" s="5" t="s">
        <v>3393</v>
      </c>
      <c r="O335" s="19">
        <v>46167</v>
      </c>
      <c r="P335" s="29" t="s">
        <v>3787</v>
      </c>
      <c r="Q335" s="19">
        <v>46182</v>
      </c>
      <c r="R335" t="s">
        <v>2007</v>
      </c>
      <c r="S335" t="e">
        <v>#N/A</v>
      </c>
      <c r="T335" t="e">
        <f>VLOOKUP(C335,'Legal &amp; Wrt.off'!C:C,1,0)</f>
        <v>#N/A</v>
      </c>
    </row>
    <row r="336" spans="1:20" hidden="1" x14ac:dyDescent="0.35">
      <c r="A336" t="s">
        <v>3509</v>
      </c>
      <c r="B336" t="s">
        <v>3325</v>
      </c>
      <c r="C336" t="s">
        <v>3346</v>
      </c>
      <c r="D336" t="s">
        <v>3347</v>
      </c>
      <c r="E336" s="16">
        <v>0</v>
      </c>
      <c r="F336" s="4">
        <v>0</v>
      </c>
      <c r="G336" s="17">
        <v>1.09937</v>
      </c>
      <c r="H336" s="4">
        <v>0</v>
      </c>
      <c r="I336" s="4">
        <v>0</v>
      </c>
      <c r="J336" s="4">
        <v>0</v>
      </c>
      <c r="K336" s="4">
        <v>1.09937</v>
      </c>
      <c r="L336" s="4">
        <f t="shared" si="5"/>
        <v>1.09937</v>
      </c>
      <c r="M336" s="4"/>
      <c r="N336" s="5" t="s">
        <v>3401</v>
      </c>
      <c r="O336" s="19">
        <v>46167</v>
      </c>
      <c r="P336" s="29" t="s">
        <v>3401</v>
      </c>
      <c r="Q336" s="19">
        <v>46167</v>
      </c>
      <c r="R336" t="s">
        <v>2014</v>
      </c>
      <c r="S336" t="e">
        <v>#N/A</v>
      </c>
      <c r="T336" t="e">
        <f>VLOOKUP(C336,'Legal &amp; Wrt.off'!C:C,1,0)</f>
        <v>#N/A</v>
      </c>
    </row>
    <row r="337" spans="1:20" x14ac:dyDescent="0.35">
      <c r="A337" t="s">
        <v>3509</v>
      </c>
      <c r="B337" t="s">
        <v>3325</v>
      </c>
      <c r="C337" t="s">
        <v>3348</v>
      </c>
      <c r="D337" t="s">
        <v>3349</v>
      </c>
      <c r="E337" s="16">
        <v>0</v>
      </c>
      <c r="F337" s="4">
        <v>0</v>
      </c>
      <c r="G337" s="17">
        <v>0.87166999999999994</v>
      </c>
      <c r="H337" s="4">
        <v>0</v>
      </c>
      <c r="I337" s="4">
        <v>0</v>
      </c>
      <c r="J337" s="4">
        <v>0</v>
      </c>
      <c r="K337" s="4">
        <v>0.87166999999999994</v>
      </c>
      <c r="L337" s="4">
        <f t="shared" si="5"/>
        <v>0.87166999999999994</v>
      </c>
      <c r="M337" s="4"/>
      <c r="N337" s="5" t="s">
        <v>3370</v>
      </c>
      <c r="O337" s="19">
        <v>46170</v>
      </c>
      <c r="P337" s="29" t="s">
        <v>3788</v>
      </c>
      <c r="Q337" s="19">
        <v>46183</v>
      </c>
      <c r="R337" t="s">
        <v>2007</v>
      </c>
      <c r="S337" t="e">
        <v>#N/A</v>
      </c>
      <c r="T337" t="e">
        <f>VLOOKUP(C337,'Legal &amp; Wrt.off'!C:C,1,0)</f>
        <v>#N/A</v>
      </c>
    </row>
    <row r="338" spans="1:20" hidden="1" x14ac:dyDescent="0.35">
      <c r="A338" t="s">
        <v>3509</v>
      </c>
      <c r="B338" t="s">
        <v>3325</v>
      </c>
      <c r="C338" t="s">
        <v>3350</v>
      </c>
      <c r="D338" t="s">
        <v>3351</v>
      </c>
      <c r="E338" s="16">
        <v>0</v>
      </c>
      <c r="F338" s="4">
        <v>0</v>
      </c>
      <c r="G338" s="17">
        <v>5.5049200000000003</v>
      </c>
      <c r="H338" s="4">
        <v>0</v>
      </c>
      <c r="I338" s="4">
        <v>0</v>
      </c>
      <c r="J338" s="4">
        <v>5.5049200000000003</v>
      </c>
      <c r="K338" s="4">
        <v>0</v>
      </c>
      <c r="L338" s="4">
        <f t="shared" si="5"/>
        <v>5.5049200000000003</v>
      </c>
      <c r="M338" s="4"/>
      <c r="N338" s="5" t="s">
        <v>3367</v>
      </c>
      <c r="O338" s="19">
        <v>46167</v>
      </c>
      <c r="P338" s="29" t="s">
        <v>3789</v>
      </c>
      <c r="Q338" s="19">
        <v>46185</v>
      </c>
      <c r="R338" t="s">
        <v>2007</v>
      </c>
      <c r="S338" t="e">
        <v>#N/A</v>
      </c>
      <c r="T338" t="e">
        <f>VLOOKUP(C338,'Legal &amp; Wrt.off'!C:C,1,0)</f>
        <v>#N/A</v>
      </c>
    </row>
    <row r="339" spans="1:20" hidden="1" x14ac:dyDescent="0.35">
      <c r="A339" t="s">
        <v>3509</v>
      </c>
      <c r="B339" t="s">
        <v>3325</v>
      </c>
      <c r="C339" t="s">
        <v>3352</v>
      </c>
      <c r="D339" t="s">
        <v>3353</v>
      </c>
      <c r="E339" s="16">
        <v>0</v>
      </c>
      <c r="F339" s="4">
        <v>0</v>
      </c>
      <c r="G339" s="17">
        <v>3.09185</v>
      </c>
      <c r="H339" s="4">
        <v>0</v>
      </c>
      <c r="I339" s="4">
        <v>0</v>
      </c>
      <c r="J339" s="4">
        <v>3.09185</v>
      </c>
      <c r="K339" s="4">
        <v>0</v>
      </c>
      <c r="L339" s="4">
        <f t="shared" si="5"/>
        <v>3.09185</v>
      </c>
      <c r="M339" s="4"/>
      <c r="N339" s="5" t="s">
        <v>3402</v>
      </c>
      <c r="O339" s="19">
        <v>46178</v>
      </c>
      <c r="P339" s="29" t="s">
        <v>3402</v>
      </c>
      <c r="Q339" s="19">
        <v>46183</v>
      </c>
      <c r="R339" t="s">
        <v>3118</v>
      </c>
      <c r="S339" t="e">
        <v>#N/A</v>
      </c>
      <c r="T339" t="e">
        <f>VLOOKUP(C339,'Legal &amp; Wrt.off'!C:C,1,0)</f>
        <v>#N/A</v>
      </c>
    </row>
    <row r="340" spans="1:20" hidden="1" x14ac:dyDescent="0.35">
      <c r="A340" t="s">
        <v>3509</v>
      </c>
      <c r="B340" t="s">
        <v>3325</v>
      </c>
      <c r="C340" t="s">
        <v>3354</v>
      </c>
      <c r="D340" t="s">
        <v>3355</v>
      </c>
      <c r="E340" s="16">
        <v>0</v>
      </c>
      <c r="F340" s="4">
        <v>0</v>
      </c>
      <c r="G340" s="17">
        <v>1.79112</v>
      </c>
      <c r="H340" s="4">
        <v>0</v>
      </c>
      <c r="I340" s="4">
        <v>1.79112</v>
      </c>
      <c r="J340" s="4">
        <v>0</v>
      </c>
      <c r="K340" s="4">
        <v>0</v>
      </c>
      <c r="L340" s="4">
        <f t="shared" si="5"/>
        <v>1.79112</v>
      </c>
      <c r="M340" s="4"/>
      <c r="N340" s="5" t="s">
        <v>3395</v>
      </c>
      <c r="O340" s="19">
        <v>46165</v>
      </c>
      <c r="P340" s="29" t="s">
        <v>3788</v>
      </c>
      <c r="Q340" s="19">
        <v>46183</v>
      </c>
      <c r="R340" t="s">
        <v>2007</v>
      </c>
      <c r="S340" t="e">
        <v>#N/A</v>
      </c>
      <c r="T340" t="e">
        <f>VLOOKUP(C340,'Legal &amp; Wrt.off'!C:C,1,0)</f>
        <v>#N/A</v>
      </c>
    </row>
    <row r="341" spans="1:20" hidden="1" x14ac:dyDescent="0.35">
      <c r="A341" t="s">
        <v>3509</v>
      </c>
      <c r="B341" t="s">
        <v>3356</v>
      </c>
      <c r="C341" t="s">
        <v>3357</v>
      </c>
      <c r="D341" t="s">
        <v>3358</v>
      </c>
      <c r="E341" s="16">
        <v>0</v>
      </c>
      <c r="F341" s="4">
        <v>0</v>
      </c>
      <c r="G341" s="17">
        <v>0.43341000000000002</v>
      </c>
      <c r="H341" s="4">
        <v>0</v>
      </c>
      <c r="I341" s="4">
        <v>0.43341000000000002</v>
      </c>
      <c r="J341" s="4">
        <v>0</v>
      </c>
      <c r="K341" s="4">
        <v>0</v>
      </c>
      <c r="L341" s="4">
        <f t="shared" si="5"/>
        <v>0.43341000000000002</v>
      </c>
      <c r="M341" s="4"/>
      <c r="N341" s="5" t="s">
        <v>3403</v>
      </c>
      <c r="O341" s="19">
        <v>46167</v>
      </c>
      <c r="P341" s="29" t="s">
        <v>3770</v>
      </c>
      <c r="Q341" s="19">
        <v>46181</v>
      </c>
      <c r="R341" t="s">
        <v>2007</v>
      </c>
      <c r="S341" t="e">
        <v>#N/A</v>
      </c>
      <c r="T341" t="e">
        <f>VLOOKUP(C341,'Legal &amp; Wrt.off'!C:C,1,0)</f>
        <v>#N/A</v>
      </c>
    </row>
    <row r="342" spans="1:20" hidden="1" x14ac:dyDescent="0.35">
      <c r="A342" t="s">
        <v>3509</v>
      </c>
      <c r="B342" t="s">
        <v>3356</v>
      </c>
      <c r="C342" t="s">
        <v>3359</v>
      </c>
      <c r="D342" t="s">
        <v>3360</v>
      </c>
      <c r="E342" s="16">
        <v>0</v>
      </c>
      <c r="F342" s="4">
        <v>0</v>
      </c>
      <c r="G342" s="17">
        <v>0.61563000000000001</v>
      </c>
      <c r="H342" s="4">
        <v>0</v>
      </c>
      <c r="I342" s="4">
        <v>0</v>
      </c>
      <c r="J342" s="4">
        <v>0</v>
      </c>
      <c r="K342" s="4">
        <v>0.61563000000000001</v>
      </c>
      <c r="L342" s="4">
        <f t="shared" si="5"/>
        <v>0.61563000000000001</v>
      </c>
      <c r="M342" s="4"/>
      <c r="N342" s="5" t="s">
        <v>3404</v>
      </c>
      <c r="O342" s="19">
        <v>46167</v>
      </c>
      <c r="P342" s="29" t="s">
        <v>3404</v>
      </c>
      <c r="Q342" s="19">
        <v>46181</v>
      </c>
      <c r="R342" t="s">
        <v>3187</v>
      </c>
      <c r="S342" t="s">
        <v>3366</v>
      </c>
      <c r="T342" t="e">
        <f>VLOOKUP(C342,'Legal &amp; Wrt.off'!C:C,1,0)</f>
        <v>#N/A</v>
      </c>
    </row>
    <row r="343" spans="1:20" hidden="1" x14ac:dyDescent="0.35">
      <c r="A343" t="s">
        <v>3509</v>
      </c>
      <c r="B343" t="s">
        <v>3361</v>
      </c>
      <c r="C343" t="s">
        <v>3362</v>
      </c>
      <c r="D343" t="s">
        <v>3363</v>
      </c>
      <c r="E343" s="16">
        <v>0</v>
      </c>
      <c r="F343" s="4">
        <v>0</v>
      </c>
      <c r="G343" s="17">
        <v>4.2757199999999997</v>
      </c>
      <c r="H343" s="4">
        <v>0</v>
      </c>
      <c r="I343" s="4">
        <v>4.2757199999999997</v>
      </c>
      <c r="J343" s="4">
        <v>0</v>
      </c>
      <c r="K343" s="4">
        <v>0</v>
      </c>
      <c r="L343" s="4">
        <f t="shared" si="5"/>
        <v>4.2757199999999997</v>
      </c>
      <c r="M343" s="4"/>
      <c r="N343" s="5" t="s">
        <v>3405</v>
      </c>
      <c r="O343" s="19">
        <v>46167</v>
      </c>
      <c r="P343" s="29" t="s">
        <v>3790</v>
      </c>
      <c r="Q343" s="19">
        <v>46182</v>
      </c>
      <c r="R343" t="s">
        <v>2007</v>
      </c>
      <c r="S343" t="s">
        <v>3366</v>
      </c>
      <c r="T343" t="e">
        <f>VLOOKUP(C343,'Legal &amp; Wrt.off'!C:C,1,0)</f>
        <v>#N/A</v>
      </c>
    </row>
    <row r="344" spans="1:20" hidden="1" x14ac:dyDescent="0.35">
      <c r="A344" t="s">
        <v>3509</v>
      </c>
      <c r="B344" t="s">
        <v>3361</v>
      </c>
      <c r="C344" t="s">
        <v>3364</v>
      </c>
      <c r="D344" t="s">
        <v>3365</v>
      </c>
      <c r="E344" s="16">
        <v>0</v>
      </c>
      <c r="F344" s="4">
        <v>0</v>
      </c>
      <c r="G344" s="17">
        <v>1.07534</v>
      </c>
      <c r="H344" s="4">
        <v>0</v>
      </c>
      <c r="I344" s="4">
        <v>0</v>
      </c>
      <c r="J344" s="4">
        <v>1.07534</v>
      </c>
      <c r="K344" s="4">
        <v>0</v>
      </c>
      <c r="L344" s="4">
        <f t="shared" si="5"/>
        <v>1.07534</v>
      </c>
      <c r="M344" s="4"/>
      <c r="N344" s="5" t="s">
        <v>3406</v>
      </c>
      <c r="P344" s="29" t="s">
        <v>3406</v>
      </c>
      <c r="Q344" s="19">
        <v>0</v>
      </c>
      <c r="R344" t="s">
        <v>3117</v>
      </c>
      <c r="S344" t="e">
        <v>#N/A</v>
      </c>
      <c r="T344" t="e">
        <f>VLOOKUP(C344,'Legal &amp; Wrt.off'!C:C,1,0)</f>
        <v>#N/A</v>
      </c>
    </row>
    <row r="345" spans="1:20" hidden="1" x14ac:dyDescent="0.35">
      <c r="A345" t="s">
        <v>2019</v>
      </c>
      <c r="B345" t="s">
        <v>24</v>
      </c>
      <c r="C345" t="s">
        <v>619</v>
      </c>
      <c r="D345" t="s">
        <v>620</v>
      </c>
      <c r="E345" s="16">
        <v>6.7553314000000002</v>
      </c>
      <c r="F345" s="4">
        <v>6.6373664000000003</v>
      </c>
      <c r="G345" s="17">
        <v>0.117965</v>
      </c>
      <c r="H345" s="4">
        <v>0.117965</v>
      </c>
      <c r="I345" s="4">
        <v>0</v>
      </c>
      <c r="J345" s="4">
        <v>0</v>
      </c>
      <c r="K345" s="4">
        <v>0</v>
      </c>
      <c r="L345" s="4">
        <f t="shared" si="5"/>
        <v>0</v>
      </c>
      <c r="M345" s="4"/>
      <c r="T345" t="e">
        <f>VLOOKUP(C345,'Legal &amp; Wrt.off'!C:C,1,0)</f>
        <v>#N/A</v>
      </c>
    </row>
    <row r="346" spans="1:20" hidden="1" x14ac:dyDescent="0.35">
      <c r="A346" t="s">
        <v>2016</v>
      </c>
      <c r="B346" t="s">
        <v>164</v>
      </c>
      <c r="C346" t="s">
        <v>165</v>
      </c>
      <c r="D346" t="s">
        <v>166</v>
      </c>
      <c r="E346" s="16">
        <v>4.3508275000000003</v>
      </c>
      <c r="F346" s="4">
        <v>4.3201027999999999</v>
      </c>
      <c r="G346" s="17">
        <v>3.0724699999999997E-2</v>
      </c>
      <c r="H346" s="4">
        <v>3.0724699999999997E-2</v>
      </c>
      <c r="I346" s="4">
        <v>0</v>
      </c>
      <c r="J346" s="4">
        <v>0</v>
      </c>
      <c r="K346" s="4">
        <v>0</v>
      </c>
      <c r="L346" s="4">
        <f t="shared" si="5"/>
        <v>0</v>
      </c>
      <c r="M346" s="4"/>
      <c r="P346" s="29" t="s">
        <v>3177</v>
      </c>
      <c r="T346" t="e">
        <f>VLOOKUP(C346,'Legal &amp; Wrt.off'!C:C,1,0)</f>
        <v>#N/A</v>
      </c>
    </row>
    <row r="347" spans="1:20" hidden="1" x14ac:dyDescent="0.35">
      <c r="A347" t="s">
        <v>2017</v>
      </c>
      <c r="B347" t="s">
        <v>36</v>
      </c>
      <c r="C347" t="s">
        <v>206</v>
      </c>
      <c r="D347" t="s">
        <v>207</v>
      </c>
      <c r="E347" s="16">
        <v>2.3070373000000002</v>
      </c>
      <c r="F347" s="4">
        <v>1.6182204</v>
      </c>
      <c r="G347" s="17">
        <v>0.68881690000000007</v>
      </c>
      <c r="H347" s="4">
        <v>0.68881690000000007</v>
      </c>
      <c r="I347" s="4">
        <v>0</v>
      </c>
      <c r="J347" s="4">
        <v>0</v>
      </c>
      <c r="K347" s="4">
        <v>0</v>
      </c>
      <c r="L347" s="4">
        <f t="shared" si="5"/>
        <v>0</v>
      </c>
      <c r="M347" s="4"/>
      <c r="P347" s="29" t="s">
        <v>3717</v>
      </c>
      <c r="T347" t="e">
        <f>VLOOKUP(C347,'Legal &amp; Wrt.off'!C:C,1,0)</f>
        <v>#N/A</v>
      </c>
    </row>
    <row r="348" spans="1:20" hidden="1" x14ac:dyDescent="0.35">
      <c r="A348" t="s">
        <v>2017</v>
      </c>
      <c r="B348" t="s">
        <v>36</v>
      </c>
      <c r="C348" t="s">
        <v>517</v>
      </c>
      <c r="D348" t="s">
        <v>518</v>
      </c>
      <c r="E348" s="16">
        <v>3.7098628999999996</v>
      </c>
      <c r="F348" s="4">
        <v>2.5134922</v>
      </c>
      <c r="G348" s="17">
        <v>1.1963707000000001</v>
      </c>
      <c r="H348" s="4">
        <v>1.1963707000000001</v>
      </c>
      <c r="I348" s="4">
        <v>0</v>
      </c>
      <c r="J348" s="4">
        <v>0</v>
      </c>
      <c r="K348" s="4">
        <v>0</v>
      </c>
      <c r="L348" s="4">
        <f t="shared" si="5"/>
        <v>0</v>
      </c>
      <c r="M348" s="4"/>
      <c r="P348" s="29" t="s">
        <v>3705</v>
      </c>
      <c r="Q348" s="19">
        <v>46183</v>
      </c>
      <c r="T348" t="e">
        <f>VLOOKUP(C348,'Legal &amp; Wrt.off'!C:C,1,0)</f>
        <v>#N/A</v>
      </c>
    </row>
    <row r="349" spans="1:20" hidden="1" x14ac:dyDescent="0.35">
      <c r="A349" t="s">
        <v>2017</v>
      </c>
      <c r="B349" t="s">
        <v>36</v>
      </c>
      <c r="C349" t="s">
        <v>425</v>
      </c>
      <c r="D349" t="s">
        <v>426</v>
      </c>
      <c r="E349" s="16">
        <v>8.8287423999999994</v>
      </c>
      <c r="F349" s="4">
        <v>7.0636080000000003</v>
      </c>
      <c r="G349" s="17">
        <v>1.7651344</v>
      </c>
      <c r="H349" s="4">
        <v>1.7651344</v>
      </c>
      <c r="I349" s="4">
        <v>0</v>
      </c>
      <c r="J349" s="4">
        <v>0</v>
      </c>
      <c r="K349" s="4">
        <v>0</v>
      </c>
      <c r="L349" s="4">
        <f t="shared" si="5"/>
        <v>0</v>
      </c>
      <c r="M349" s="4"/>
      <c r="P349" s="29" t="s">
        <v>3705</v>
      </c>
      <c r="Q349" s="19">
        <v>46188</v>
      </c>
      <c r="T349" t="e">
        <f>VLOOKUP(C349,'Legal &amp; Wrt.off'!C:C,1,0)</f>
        <v>#N/A</v>
      </c>
    </row>
    <row r="350" spans="1:20" hidden="1" x14ac:dyDescent="0.35">
      <c r="A350" t="s">
        <v>2018</v>
      </c>
      <c r="B350" t="s">
        <v>275</v>
      </c>
      <c r="C350" t="s">
        <v>276</v>
      </c>
      <c r="D350" t="s">
        <v>277</v>
      </c>
      <c r="E350" s="16">
        <v>4.1478875000000004</v>
      </c>
      <c r="F350" s="4">
        <v>2.8369796000000003</v>
      </c>
      <c r="G350" s="17">
        <v>1.3109079000000001</v>
      </c>
      <c r="H350" s="4">
        <v>1.3109079000000001</v>
      </c>
      <c r="I350" s="4">
        <v>0</v>
      </c>
      <c r="J350" s="4">
        <v>0</v>
      </c>
      <c r="K350" s="4">
        <v>0</v>
      </c>
      <c r="L350" s="4">
        <f t="shared" si="5"/>
        <v>0</v>
      </c>
      <c r="M350" s="4"/>
      <c r="T350" t="e">
        <f>VLOOKUP(C350,'Legal &amp; Wrt.off'!C:C,1,0)</f>
        <v>#N/A</v>
      </c>
    </row>
    <row r="351" spans="1:20" hidden="1" x14ac:dyDescent="0.35">
      <c r="A351" t="s">
        <v>2016</v>
      </c>
      <c r="B351" t="s">
        <v>93</v>
      </c>
      <c r="C351" t="s">
        <v>365</v>
      </c>
      <c r="D351" t="s">
        <v>366</v>
      </c>
      <c r="E351" s="16">
        <v>10.346079399999999</v>
      </c>
      <c r="F351" s="4">
        <v>6.4010942000000002</v>
      </c>
      <c r="G351" s="17">
        <v>3.9449852000000001</v>
      </c>
      <c r="H351" s="4">
        <v>3.9449852000000001</v>
      </c>
      <c r="I351" s="4">
        <v>0</v>
      </c>
      <c r="J351" s="4">
        <v>0</v>
      </c>
      <c r="K351" s="4">
        <v>0</v>
      </c>
      <c r="L351" s="4">
        <f t="shared" si="5"/>
        <v>0</v>
      </c>
      <c r="M351" s="4"/>
      <c r="P351" s="29" t="s">
        <v>3702</v>
      </c>
      <c r="T351" t="e">
        <f>VLOOKUP(C351,'Legal &amp; Wrt.off'!C:C,1,0)</f>
        <v>#N/A</v>
      </c>
    </row>
    <row r="352" spans="1:20" hidden="1" x14ac:dyDescent="0.35">
      <c r="A352" t="s">
        <v>2017</v>
      </c>
      <c r="B352" t="s">
        <v>55</v>
      </c>
      <c r="C352" t="s">
        <v>793</v>
      </c>
      <c r="D352" t="s">
        <v>794</v>
      </c>
      <c r="E352" s="16">
        <v>2.4129160999999999</v>
      </c>
      <c r="F352" s="4">
        <v>2.1484495999999997</v>
      </c>
      <c r="G352" s="17">
        <v>0.26446649999999999</v>
      </c>
      <c r="H352" s="4">
        <v>0.26446649999999999</v>
      </c>
      <c r="I352" s="4">
        <v>0</v>
      </c>
      <c r="J352" s="4">
        <v>0</v>
      </c>
      <c r="K352" s="4">
        <v>0</v>
      </c>
      <c r="L352" s="4">
        <f t="shared" si="5"/>
        <v>0</v>
      </c>
      <c r="M352" s="4"/>
      <c r="P352" s="29" t="s">
        <v>3705</v>
      </c>
      <c r="Q352" s="19">
        <v>46185</v>
      </c>
      <c r="T352" t="e">
        <f>VLOOKUP(C352,'Legal &amp; Wrt.off'!C:C,1,0)</f>
        <v>#N/A</v>
      </c>
    </row>
    <row r="353" spans="1:20" hidden="1" x14ac:dyDescent="0.35">
      <c r="A353" t="s">
        <v>2017</v>
      </c>
      <c r="B353" t="s">
        <v>19</v>
      </c>
      <c r="C353" t="s">
        <v>703</v>
      </c>
      <c r="D353" t="s">
        <v>704</v>
      </c>
      <c r="E353" s="16">
        <v>2.0572523</v>
      </c>
      <c r="F353" s="4">
        <v>2.0388446</v>
      </c>
      <c r="G353" s="17">
        <v>1.8407699999999999E-2</v>
      </c>
      <c r="H353" s="4">
        <v>1.8407699999999999E-2</v>
      </c>
      <c r="I353" s="4">
        <v>0</v>
      </c>
      <c r="J353" s="4">
        <v>0</v>
      </c>
      <c r="K353" s="4">
        <v>0</v>
      </c>
      <c r="L353" s="4">
        <f t="shared" si="5"/>
        <v>0</v>
      </c>
      <c r="M353" s="4"/>
      <c r="P353" s="29" t="s">
        <v>3705</v>
      </c>
      <c r="Q353" s="19">
        <v>46188</v>
      </c>
      <c r="T353" t="e">
        <f>VLOOKUP(C353,'Legal &amp; Wrt.off'!C:C,1,0)</f>
        <v>#N/A</v>
      </c>
    </row>
    <row r="354" spans="1:20" hidden="1" x14ac:dyDescent="0.35">
      <c r="A354" t="s">
        <v>2016</v>
      </c>
      <c r="B354" t="s">
        <v>100</v>
      </c>
      <c r="C354" t="s">
        <v>955</v>
      </c>
      <c r="D354" t="s">
        <v>956</v>
      </c>
      <c r="E354" s="16">
        <v>3.3753496999999997</v>
      </c>
      <c r="F354" s="4">
        <v>3.1134396999999998</v>
      </c>
      <c r="G354" s="17">
        <v>0.26190999999999998</v>
      </c>
      <c r="H354" s="4">
        <v>0.26190999999999998</v>
      </c>
      <c r="I354" s="4">
        <v>0</v>
      </c>
      <c r="J354" s="4">
        <v>0</v>
      </c>
      <c r="K354" s="4">
        <v>0</v>
      </c>
      <c r="L354" s="4">
        <f t="shared" si="5"/>
        <v>0</v>
      </c>
      <c r="M354" s="4"/>
      <c r="P354" s="29" t="s">
        <v>3699</v>
      </c>
      <c r="T354" t="e">
        <f>VLOOKUP(C354,'Legal &amp; Wrt.off'!C:C,1,0)</f>
        <v>#N/A</v>
      </c>
    </row>
    <row r="355" spans="1:20" hidden="1" x14ac:dyDescent="0.35">
      <c r="A355" t="s">
        <v>2016</v>
      </c>
      <c r="B355" t="s">
        <v>100</v>
      </c>
      <c r="C355" t="s">
        <v>3516</v>
      </c>
      <c r="D355" t="s">
        <v>3517</v>
      </c>
      <c r="E355" s="16">
        <v>4.7230603999999996</v>
      </c>
      <c r="F355" s="4">
        <v>3.7570263000000002</v>
      </c>
      <c r="G355" s="17">
        <v>0.96603410000000001</v>
      </c>
      <c r="H355" s="4">
        <v>0.96603410000000001</v>
      </c>
      <c r="I355" s="4">
        <v>0</v>
      </c>
      <c r="J355" s="4">
        <v>0</v>
      </c>
      <c r="K355" s="4">
        <v>0</v>
      </c>
      <c r="L355" s="4">
        <f t="shared" si="5"/>
        <v>0</v>
      </c>
      <c r="M355" s="4"/>
      <c r="T355" t="e">
        <f>VLOOKUP(C355,'Legal &amp; Wrt.off'!C:C,1,0)</f>
        <v>#N/A</v>
      </c>
    </row>
    <row r="356" spans="1:20" hidden="1" x14ac:dyDescent="0.35">
      <c r="A356" t="s">
        <v>2018</v>
      </c>
      <c r="B356" t="s">
        <v>275</v>
      </c>
      <c r="C356" t="s">
        <v>407</v>
      </c>
      <c r="D356" t="s">
        <v>408</v>
      </c>
      <c r="E356" s="16">
        <v>10.256743699999999</v>
      </c>
      <c r="F356" s="4">
        <v>5.3427872000000001</v>
      </c>
      <c r="G356" s="17">
        <v>4.9139565000000003</v>
      </c>
      <c r="H356" s="4">
        <v>4.9139565000000003</v>
      </c>
      <c r="I356" s="4">
        <v>0</v>
      </c>
      <c r="J356" s="4">
        <v>0</v>
      </c>
      <c r="K356" s="4">
        <v>0</v>
      </c>
      <c r="L356" s="4">
        <f t="shared" si="5"/>
        <v>0</v>
      </c>
      <c r="M356" s="4"/>
      <c r="T356" t="e">
        <f>VLOOKUP(C356,'Legal &amp; Wrt.off'!C:C,1,0)</f>
        <v>#N/A</v>
      </c>
    </row>
    <row r="357" spans="1:20" hidden="1" x14ac:dyDescent="0.35">
      <c r="A357" t="s">
        <v>2016</v>
      </c>
      <c r="B357" t="s">
        <v>100</v>
      </c>
      <c r="C357" t="s">
        <v>3520</v>
      </c>
      <c r="D357" t="s">
        <v>3521</v>
      </c>
      <c r="E357" s="16">
        <v>7.4837351000000005</v>
      </c>
      <c r="F357" s="4">
        <v>7.4786039999999998</v>
      </c>
      <c r="G357" s="17">
        <v>5.1310999999998599E-3</v>
      </c>
      <c r="H357" s="4">
        <v>5.1310999999998599E-3</v>
      </c>
      <c r="I357" s="4">
        <v>0</v>
      </c>
      <c r="J357" s="4">
        <v>0</v>
      </c>
      <c r="K357" s="4">
        <v>0</v>
      </c>
      <c r="L357" s="4">
        <f t="shared" si="5"/>
        <v>0</v>
      </c>
      <c r="M357" s="4"/>
      <c r="P357" s="29" t="s">
        <v>3177</v>
      </c>
      <c r="T357" t="e">
        <f>VLOOKUP(C357,'Legal &amp; Wrt.off'!C:C,1,0)</f>
        <v>#N/A</v>
      </c>
    </row>
    <row r="358" spans="1:20" hidden="1" x14ac:dyDescent="0.35">
      <c r="A358" t="s">
        <v>2017</v>
      </c>
      <c r="B358" t="s">
        <v>19</v>
      </c>
      <c r="C358" t="s">
        <v>1009</v>
      </c>
      <c r="D358" t="s">
        <v>1010</v>
      </c>
      <c r="E358" s="16">
        <v>2.5509371999999999</v>
      </c>
      <c r="F358" s="4">
        <v>2.474488</v>
      </c>
      <c r="G358" s="17">
        <v>7.6449199999999995E-2</v>
      </c>
      <c r="H358" s="4">
        <v>7.6449199999999995E-2</v>
      </c>
      <c r="I358" s="4">
        <v>0</v>
      </c>
      <c r="J358" s="4">
        <v>0</v>
      </c>
      <c r="K358" s="4">
        <v>0</v>
      </c>
      <c r="L358" s="4">
        <f t="shared" si="5"/>
        <v>0</v>
      </c>
      <c r="M358" s="4"/>
      <c r="P358" s="29" t="s">
        <v>3736</v>
      </c>
      <c r="Q358" s="19">
        <v>46188</v>
      </c>
      <c r="T358" t="e">
        <f>VLOOKUP(C358,'Legal &amp; Wrt.off'!C:C,1,0)</f>
        <v>#N/A</v>
      </c>
    </row>
    <row r="359" spans="1:20" hidden="1" x14ac:dyDescent="0.35">
      <c r="A359" t="s">
        <v>2017</v>
      </c>
      <c r="B359" t="s">
        <v>19</v>
      </c>
      <c r="C359" t="s">
        <v>609</v>
      </c>
      <c r="D359" t="s">
        <v>610</v>
      </c>
      <c r="E359" s="16">
        <v>10.0196305</v>
      </c>
      <c r="F359" s="4">
        <v>7.6726018000000007</v>
      </c>
      <c r="G359" s="17">
        <v>2.3470287000000001</v>
      </c>
      <c r="H359" s="4">
        <v>2.3470287000000001</v>
      </c>
      <c r="I359" s="4">
        <v>0</v>
      </c>
      <c r="J359" s="4">
        <v>0</v>
      </c>
      <c r="K359" s="4">
        <v>0</v>
      </c>
      <c r="L359" s="4">
        <f t="shared" si="5"/>
        <v>0</v>
      </c>
      <c r="M359" s="4"/>
      <c r="T359" t="e">
        <f>VLOOKUP(C359,'Legal &amp; Wrt.off'!C:C,1,0)</f>
        <v>#N/A</v>
      </c>
    </row>
    <row r="360" spans="1:20" hidden="1" x14ac:dyDescent="0.35">
      <c r="A360" t="s">
        <v>2019</v>
      </c>
      <c r="B360" t="s">
        <v>46</v>
      </c>
      <c r="C360" t="s">
        <v>89</v>
      </c>
      <c r="D360" t="s">
        <v>90</v>
      </c>
      <c r="E360" s="16">
        <v>36.464361000000004</v>
      </c>
      <c r="F360" s="4">
        <v>36.316838199999999</v>
      </c>
      <c r="G360" s="17">
        <v>0.14752280000000001</v>
      </c>
      <c r="H360" s="4">
        <v>0.14752280000000001</v>
      </c>
      <c r="I360" s="4">
        <v>0</v>
      </c>
      <c r="J360" s="4">
        <v>0</v>
      </c>
      <c r="K360" s="4">
        <v>0</v>
      </c>
      <c r="L360" s="4">
        <f t="shared" si="5"/>
        <v>0</v>
      </c>
      <c r="M360" s="4"/>
      <c r="P360" s="29" t="s">
        <v>3751</v>
      </c>
      <c r="Q360" s="19">
        <v>46181</v>
      </c>
      <c r="T360" t="e">
        <f>VLOOKUP(C360,'Legal &amp; Wrt.off'!C:C,1,0)</f>
        <v>#N/A</v>
      </c>
    </row>
    <row r="361" spans="1:20" hidden="1" x14ac:dyDescent="0.35">
      <c r="A361" t="s">
        <v>2017</v>
      </c>
      <c r="B361" t="s">
        <v>36</v>
      </c>
      <c r="C361" t="s">
        <v>103</v>
      </c>
      <c r="D361" t="s">
        <v>104</v>
      </c>
      <c r="E361" s="16">
        <v>17.5171052</v>
      </c>
      <c r="F361" s="4">
        <v>13.9413214</v>
      </c>
      <c r="G361" s="17">
        <v>3.5757838</v>
      </c>
      <c r="H361" s="4">
        <v>3.5757838</v>
      </c>
      <c r="I361" s="4">
        <v>0</v>
      </c>
      <c r="J361" s="4">
        <v>0</v>
      </c>
      <c r="K361" s="4">
        <v>0</v>
      </c>
      <c r="L361" s="4">
        <f t="shared" si="5"/>
        <v>0</v>
      </c>
      <c r="M361" s="4"/>
      <c r="T361" t="e">
        <f>VLOOKUP(C361,'Legal &amp; Wrt.off'!C:C,1,0)</f>
        <v>#N/A</v>
      </c>
    </row>
    <row r="362" spans="1:20" hidden="1" x14ac:dyDescent="0.35">
      <c r="A362" t="s">
        <v>2019</v>
      </c>
      <c r="B362" t="s">
        <v>30</v>
      </c>
      <c r="C362" t="s">
        <v>427</v>
      </c>
      <c r="D362" t="s">
        <v>428</v>
      </c>
      <c r="E362" s="16">
        <v>4.5603632000000003</v>
      </c>
      <c r="F362" s="4">
        <v>4.1381215999999998</v>
      </c>
      <c r="G362" s="17">
        <v>0.42224160000000005</v>
      </c>
      <c r="H362" s="4">
        <v>0.42224160000000005</v>
      </c>
      <c r="I362" s="4">
        <v>0</v>
      </c>
      <c r="J362" s="4">
        <v>0</v>
      </c>
      <c r="K362" s="4">
        <v>0</v>
      </c>
      <c r="L362" s="4">
        <f t="shared" si="5"/>
        <v>0</v>
      </c>
      <c r="M362" s="4"/>
      <c r="P362" s="29" t="s">
        <v>3188</v>
      </c>
      <c r="T362" t="e">
        <f>VLOOKUP(C362,'Legal &amp; Wrt.off'!C:C,1,0)</f>
        <v>#N/A</v>
      </c>
    </row>
    <row r="363" spans="1:20" hidden="1" x14ac:dyDescent="0.35">
      <c r="A363" t="s">
        <v>2017</v>
      </c>
      <c r="B363" t="s">
        <v>55</v>
      </c>
      <c r="C363" t="s">
        <v>665</v>
      </c>
      <c r="D363" t="s">
        <v>666</v>
      </c>
      <c r="E363" s="16">
        <v>0.73762369999999999</v>
      </c>
      <c r="F363" s="4">
        <v>0.66188559999999996</v>
      </c>
      <c r="G363" s="17">
        <v>7.5738100000000003E-2</v>
      </c>
      <c r="H363" s="4">
        <v>7.5738100000000003E-2</v>
      </c>
      <c r="I363" s="4">
        <v>0</v>
      </c>
      <c r="J363" s="4">
        <v>0</v>
      </c>
      <c r="K363" s="4">
        <v>0</v>
      </c>
      <c r="L363" s="4">
        <f t="shared" si="5"/>
        <v>0</v>
      </c>
      <c r="M363" s="4"/>
      <c r="T363" t="e">
        <f>VLOOKUP(C363,'Legal &amp; Wrt.off'!C:C,1,0)</f>
        <v>#N/A</v>
      </c>
    </row>
    <row r="364" spans="1:20" hidden="1" x14ac:dyDescent="0.35">
      <c r="A364" t="s">
        <v>2019</v>
      </c>
      <c r="B364" t="s">
        <v>46</v>
      </c>
      <c r="C364" t="s">
        <v>483</v>
      </c>
      <c r="D364" t="s">
        <v>484</v>
      </c>
      <c r="E364" s="16">
        <v>4.1286173000000002</v>
      </c>
      <c r="F364" s="4">
        <v>3.8469763000000001</v>
      </c>
      <c r="G364" s="17">
        <v>0.28164099999999997</v>
      </c>
      <c r="H364" s="4">
        <v>0.28164099999999997</v>
      </c>
      <c r="I364" s="4">
        <v>0</v>
      </c>
      <c r="J364" s="4">
        <v>0</v>
      </c>
      <c r="K364" s="4">
        <v>0</v>
      </c>
      <c r="L364" s="4">
        <f t="shared" si="5"/>
        <v>0</v>
      </c>
      <c r="M364" s="4"/>
      <c r="T364" t="e">
        <f>VLOOKUP(C364,'Legal &amp; Wrt.off'!C:C,1,0)</f>
        <v>#N/A</v>
      </c>
    </row>
    <row r="365" spans="1:20" hidden="1" x14ac:dyDescent="0.35">
      <c r="A365" t="s">
        <v>2019</v>
      </c>
      <c r="B365" t="s">
        <v>46</v>
      </c>
      <c r="C365" t="s">
        <v>681</v>
      </c>
      <c r="D365" t="s">
        <v>682</v>
      </c>
      <c r="E365" s="16">
        <v>5.7391993999999995</v>
      </c>
      <c r="F365" s="4">
        <v>5.0224554000000001</v>
      </c>
      <c r="G365" s="17">
        <v>0.71674399999999994</v>
      </c>
      <c r="H365" s="4">
        <v>0.71674399999999994</v>
      </c>
      <c r="I365" s="4">
        <v>0</v>
      </c>
      <c r="J365" s="4">
        <v>0</v>
      </c>
      <c r="K365" s="4">
        <v>0</v>
      </c>
      <c r="L365" s="4">
        <f t="shared" si="5"/>
        <v>0</v>
      </c>
      <c r="M365" s="4"/>
      <c r="T365" t="e">
        <f>VLOOKUP(C365,'Legal &amp; Wrt.off'!C:C,1,0)</f>
        <v>#N/A</v>
      </c>
    </row>
    <row r="366" spans="1:20" hidden="1" x14ac:dyDescent="0.35">
      <c r="A366" t="s">
        <v>2017</v>
      </c>
      <c r="B366" t="s">
        <v>55</v>
      </c>
      <c r="C366" t="s">
        <v>3543</v>
      </c>
      <c r="D366" t="s">
        <v>3544</v>
      </c>
      <c r="E366" s="16">
        <v>2.0385299999999999E-2</v>
      </c>
      <c r="F366" s="4">
        <v>0</v>
      </c>
      <c r="G366" s="17">
        <v>2.0385299999999999E-2</v>
      </c>
      <c r="H366" s="4">
        <v>2.0385299999999999E-2</v>
      </c>
      <c r="I366" s="4">
        <v>0</v>
      </c>
      <c r="J366" s="4">
        <v>0</v>
      </c>
      <c r="K366" s="4">
        <v>0</v>
      </c>
      <c r="L366" s="4">
        <f t="shared" si="5"/>
        <v>0</v>
      </c>
      <c r="M366" s="4"/>
      <c r="P366" s="29" t="s">
        <v>3122</v>
      </c>
      <c r="T366" t="e">
        <f>VLOOKUP(C366,'Legal &amp; Wrt.off'!C:C,1,0)</f>
        <v>#N/A</v>
      </c>
    </row>
    <row r="367" spans="1:20" hidden="1" x14ac:dyDescent="0.35">
      <c r="A367" t="s">
        <v>2017</v>
      </c>
      <c r="B367" t="s">
        <v>111</v>
      </c>
      <c r="C367" t="s">
        <v>419</v>
      </c>
      <c r="D367" t="s">
        <v>420</v>
      </c>
      <c r="E367" s="16">
        <v>2.2708242000000003</v>
      </c>
      <c r="F367" s="4">
        <v>1.7198652999999999</v>
      </c>
      <c r="G367" s="17">
        <v>0.55095890000000003</v>
      </c>
      <c r="H367" s="4">
        <v>0.55095890000000003</v>
      </c>
      <c r="I367" s="4">
        <v>0</v>
      </c>
      <c r="J367" s="4">
        <v>0</v>
      </c>
      <c r="K367" s="4">
        <v>0</v>
      </c>
      <c r="L367" s="4">
        <f t="shared" si="5"/>
        <v>0</v>
      </c>
      <c r="M367" s="4"/>
      <c r="P367" s="29" t="s">
        <v>3705</v>
      </c>
      <c r="Q367" s="19">
        <v>46188</v>
      </c>
      <c r="T367" t="e">
        <f>VLOOKUP(C367,'Legal &amp; Wrt.off'!C:C,1,0)</f>
        <v>#N/A</v>
      </c>
    </row>
    <row r="368" spans="1:20" hidden="1" x14ac:dyDescent="0.35">
      <c r="A368" t="s">
        <v>2017</v>
      </c>
      <c r="B368" t="s">
        <v>19</v>
      </c>
      <c r="C368" t="s">
        <v>877</v>
      </c>
      <c r="D368" t="s">
        <v>878</v>
      </c>
      <c r="E368" s="16">
        <v>3.8257040000000004</v>
      </c>
      <c r="F368" s="4">
        <v>3.8139020000000001</v>
      </c>
      <c r="G368" s="17">
        <v>1.1802E-2</v>
      </c>
      <c r="H368" s="4">
        <v>1.1802E-2</v>
      </c>
      <c r="I368" s="4">
        <v>0</v>
      </c>
      <c r="J368" s="4">
        <v>0</v>
      </c>
      <c r="K368" s="4">
        <v>0</v>
      </c>
      <c r="L368" s="4">
        <f t="shared" si="5"/>
        <v>0</v>
      </c>
      <c r="M368" s="4"/>
      <c r="P368" s="29" t="s">
        <v>3737</v>
      </c>
      <c r="T368" t="e">
        <f>VLOOKUP(C368,'Legal &amp; Wrt.off'!C:C,1,0)</f>
        <v>#N/A</v>
      </c>
    </row>
    <row r="369" spans="1:20" hidden="1" x14ac:dyDescent="0.35">
      <c r="A369" t="s">
        <v>2016</v>
      </c>
      <c r="B369" t="s">
        <v>164</v>
      </c>
      <c r="C369" t="s">
        <v>735</v>
      </c>
      <c r="D369" t="s">
        <v>736</v>
      </c>
      <c r="E369" s="16">
        <v>7.5491270999999998</v>
      </c>
      <c r="F369" s="4">
        <v>5.3836319999999995</v>
      </c>
      <c r="G369" s="17">
        <v>2.1654951000000002</v>
      </c>
      <c r="H369" s="4">
        <v>2.1654951000000002</v>
      </c>
      <c r="I369" s="4">
        <v>0</v>
      </c>
      <c r="J369" s="4">
        <v>0</v>
      </c>
      <c r="K369" s="4">
        <v>0</v>
      </c>
      <c r="L369" s="4">
        <f t="shared" si="5"/>
        <v>0</v>
      </c>
      <c r="M369" s="4"/>
      <c r="T369" t="e">
        <f>VLOOKUP(C369,'Legal &amp; Wrt.off'!C:C,1,0)</f>
        <v>#N/A</v>
      </c>
    </row>
    <row r="370" spans="1:20" hidden="1" x14ac:dyDescent="0.35">
      <c r="A370" t="s">
        <v>2019</v>
      </c>
      <c r="B370" t="s">
        <v>16</v>
      </c>
      <c r="C370" t="s">
        <v>575</v>
      </c>
      <c r="D370" t="s">
        <v>576</v>
      </c>
      <c r="E370" s="16">
        <v>3.9140049000000001</v>
      </c>
      <c r="F370" s="4">
        <v>3.8923109999999999</v>
      </c>
      <c r="G370" s="17">
        <v>2.1693899999999999E-2</v>
      </c>
      <c r="H370" s="4">
        <v>2.1693899999999999E-2</v>
      </c>
      <c r="I370" s="4">
        <v>0</v>
      </c>
      <c r="J370" s="4">
        <v>0</v>
      </c>
      <c r="K370" s="4">
        <v>0</v>
      </c>
      <c r="L370" s="4">
        <f t="shared" si="5"/>
        <v>0</v>
      </c>
      <c r="M370" s="4"/>
      <c r="T370" t="e">
        <f>VLOOKUP(C370,'Legal &amp; Wrt.off'!C:C,1,0)</f>
        <v>#N/A</v>
      </c>
    </row>
    <row r="371" spans="1:20" hidden="1" x14ac:dyDescent="0.35">
      <c r="A371" t="s">
        <v>2017</v>
      </c>
      <c r="B371" t="s">
        <v>210</v>
      </c>
      <c r="C371" t="s">
        <v>573</v>
      </c>
      <c r="D371" t="s">
        <v>574</v>
      </c>
      <c r="E371" s="16">
        <v>4.6016335999999995</v>
      </c>
      <c r="F371" s="4">
        <v>4.5400803999999999</v>
      </c>
      <c r="G371" s="17">
        <v>6.1553199999999995E-2</v>
      </c>
      <c r="H371" s="4">
        <v>6.1553199999999995E-2</v>
      </c>
      <c r="I371" s="4">
        <v>0</v>
      </c>
      <c r="J371" s="4">
        <v>0</v>
      </c>
      <c r="K371" s="4">
        <v>0</v>
      </c>
      <c r="L371" s="4">
        <f t="shared" si="5"/>
        <v>0</v>
      </c>
      <c r="M371" s="4"/>
      <c r="T371" t="e">
        <f>VLOOKUP(C371,'Legal &amp; Wrt.off'!C:C,1,0)</f>
        <v>#N/A</v>
      </c>
    </row>
    <row r="372" spans="1:20" hidden="1" x14ac:dyDescent="0.35">
      <c r="A372" t="s">
        <v>2017</v>
      </c>
      <c r="B372" t="s">
        <v>19</v>
      </c>
      <c r="C372" t="s">
        <v>3547</v>
      </c>
      <c r="D372" t="s">
        <v>3548</v>
      </c>
      <c r="E372" s="16">
        <v>4.2899600000000003E-2</v>
      </c>
      <c r="F372" s="4">
        <v>0</v>
      </c>
      <c r="G372" s="17">
        <v>4.2899600000000003E-2</v>
      </c>
      <c r="H372" s="4">
        <v>4.2899600000000003E-2</v>
      </c>
      <c r="I372" s="4">
        <v>0</v>
      </c>
      <c r="J372" s="4">
        <v>0</v>
      </c>
      <c r="K372" s="4">
        <v>0</v>
      </c>
      <c r="L372" s="4">
        <f t="shared" si="5"/>
        <v>0</v>
      </c>
      <c r="M372" s="4"/>
      <c r="P372" s="29" t="s">
        <v>3737</v>
      </c>
      <c r="T372" t="e">
        <f>VLOOKUP(C372,'Legal &amp; Wrt.off'!C:C,1,0)</f>
        <v>#N/A</v>
      </c>
    </row>
    <row r="373" spans="1:20" hidden="1" x14ac:dyDescent="0.35">
      <c r="A373" t="s">
        <v>2017</v>
      </c>
      <c r="B373" t="s">
        <v>210</v>
      </c>
      <c r="C373" t="s">
        <v>931</v>
      </c>
      <c r="D373" t="s">
        <v>932</v>
      </c>
      <c r="E373" s="16">
        <v>6.0590428000000003</v>
      </c>
      <c r="F373" s="4">
        <v>5.7874407999999997</v>
      </c>
      <c r="G373" s="17">
        <v>0.27160200000000001</v>
      </c>
      <c r="H373" s="4">
        <v>0.27160200000000001</v>
      </c>
      <c r="I373" s="4">
        <v>0</v>
      </c>
      <c r="J373" s="4">
        <v>0</v>
      </c>
      <c r="K373" s="4">
        <v>0</v>
      </c>
      <c r="L373" s="4">
        <f t="shared" si="5"/>
        <v>0</v>
      </c>
      <c r="M373" s="4"/>
      <c r="T373" t="e">
        <f>VLOOKUP(C373,'Legal &amp; Wrt.off'!C:C,1,0)</f>
        <v>#N/A</v>
      </c>
    </row>
    <row r="374" spans="1:20" hidden="1" x14ac:dyDescent="0.35">
      <c r="A374" t="s">
        <v>2016</v>
      </c>
      <c r="B374" t="s">
        <v>93</v>
      </c>
      <c r="C374" t="s">
        <v>3549</v>
      </c>
      <c r="D374" t="s">
        <v>3550</v>
      </c>
      <c r="E374" s="16">
        <v>8.3738000000000007E-3</v>
      </c>
      <c r="F374" s="4">
        <v>0</v>
      </c>
      <c r="G374" s="17">
        <v>8.3738000000000007E-3</v>
      </c>
      <c r="H374" s="4">
        <v>8.3738000000000007E-3</v>
      </c>
      <c r="I374" s="4">
        <v>0</v>
      </c>
      <c r="J374" s="4">
        <v>0</v>
      </c>
      <c r="K374" s="4">
        <v>0</v>
      </c>
      <c r="L374" s="4">
        <f t="shared" si="5"/>
        <v>0</v>
      </c>
      <c r="M374" s="4"/>
      <c r="P374" s="29" t="s">
        <v>3177</v>
      </c>
      <c r="T374" t="e">
        <f>VLOOKUP(C374,'Legal &amp; Wrt.off'!C:C,1,0)</f>
        <v>#N/A</v>
      </c>
    </row>
    <row r="375" spans="1:20" hidden="1" x14ac:dyDescent="0.35">
      <c r="A375" t="s">
        <v>2019</v>
      </c>
      <c r="B375" t="s">
        <v>46</v>
      </c>
      <c r="C375" t="s">
        <v>3551</v>
      </c>
      <c r="D375" t="s">
        <v>3552</v>
      </c>
      <c r="E375" s="16">
        <v>10.2717165</v>
      </c>
      <c r="F375" s="4">
        <v>8.2220150000000007</v>
      </c>
      <c r="G375" s="17">
        <v>2.0497014999999998</v>
      </c>
      <c r="H375" s="4">
        <v>2.0497014999999998</v>
      </c>
      <c r="I375" s="4">
        <v>0</v>
      </c>
      <c r="J375" s="4">
        <v>0</v>
      </c>
      <c r="K375" s="4">
        <v>0</v>
      </c>
      <c r="L375" s="4">
        <f t="shared" si="5"/>
        <v>0</v>
      </c>
      <c r="M375" s="4"/>
      <c r="T375" t="e">
        <f>VLOOKUP(C375,'Legal &amp; Wrt.off'!C:C,1,0)</f>
        <v>#N/A</v>
      </c>
    </row>
    <row r="376" spans="1:20" hidden="1" x14ac:dyDescent="0.35">
      <c r="A376" t="s">
        <v>2017</v>
      </c>
      <c r="B376" t="s">
        <v>36</v>
      </c>
      <c r="C376" t="s">
        <v>124</v>
      </c>
      <c r="D376" t="s">
        <v>125</v>
      </c>
      <c r="E376" s="16">
        <v>6.4405328000000006</v>
      </c>
      <c r="F376" s="4">
        <v>4.814381</v>
      </c>
      <c r="G376" s="17">
        <v>1.6261517999999999</v>
      </c>
      <c r="H376" s="4">
        <v>1.6261517999999999</v>
      </c>
      <c r="I376" s="4">
        <v>0</v>
      </c>
      <c r="J376" s="4">
        <v>0</v>
      </c>
      <c r="K376" s="4">
        <v>0</v>
      </c>
      <c r="L376" s="4">
        <f t="shared" si="5"/>
        <v>0</v>
      </c>
      <c r="M376" s="4"/>
      <c r="T376" t="e">
        <f>VLOOKUP(C376,'Legal &amp; Wrt.off'!C:C,1,0)</f>
        <v>#N/A</v>
      </c>
    </row>
    <row r="377" spans="1:20" hidden="1" x14ac:dyDescent="0.35">
      <c r="A377" t="s">
        <v>2018</v>
      </c>
      <c r="B377" t="s">
        <v>275</v>
      </c>
      <c r="C377" t="s">
        <v>1101</v>
      </c>
      <c r="D377" t="s">
        <v>1102</v>
      </c>
      <c r="E377" s="16">
        <v>0.13179640000000001</v>
      </c>
      <c r="F377" s="4">
        <v>0</v>
      </c>
      <c r="G377" s="17">
        <v>0.13179640000000001</v>
      </c>
      <c r="H377" s="4">
        <v>0.13179640000000001</v>
      </c>
      <c r="I377" s="4">
        <v>0</v>
      </c>
      <c r="J377" s="4">
        <v>0</v>
      </c>
      <c r="K377" s="4">
        <v>0</v>
      </c>
      <c r="L377" s="4">
        <f t="shared" si="5"/>
        <v>0</v>
      </c>
      <c r="M377" s="4"/>
      <c r="T377" t="e">
        <f>VLOOKUP(C377,'Legal &amp; Wrt.off'!C:C,1,0)</f>
        <v>#N/A</v>
      </c>
    </row>
    <row r="378" spans="1:20" hidden="1" x14ac:dyDescent="0.35">
      <c r="A378" t="s">
        <v>2019</v>
      </c>
      <c r="B378" t="s">
        <v>27</v>
      </c>
      <c r="C378" t="s">
        <v>28</v>
      </c>
      <c r="D378" t="s">
        <v>29</v>
      </c>
      <c r="E378" s="16">
        <v>6.8949957999999993</v>
      </c>
      <c r="F378" s="4">
        <v>6.6487299999999996</v>
      </c>
      <c r="G378" s="17">
        <v>0.24626580000000001</v>
      </c>
      <c r="H378" s="4">
        <v>0.24626580000000001</v>
      </c>
      <c r="I378" s="4">
        <v>0</v>
      </c>
      <c r="J378" s="4">
        <v>0</v>
      </c>
      <c r="K378" s="4">
        <v>0</v>
      </c>
      <c r="L378" s="4">
        <f t="shared" si="5"/>
        <v>0</v>
      </c>
      <c r="M378" s="4"/>
      <c r="P378" s="29" t="s">
        <v>3746</v>
      </c>
      <c r="Q378" s="19">
        <v>46181</v>
      </c>
      <c r="T378" t="e">
        <f>VLOOKUP(C378,'Legal &amp; Wrt.off'!C:C,1,0)</f>
        <v>#N/A</v>
      </c>
    </row>
    <row r="379" spans="1:20" hidden="1" x14ac:dyDescent="0.35">
      <c r="A379" t="s">
        <v>2019</v>
      </c>
      <c r="B379" t="s">
        <v>27</v>
      </c>
      <c r="C379" t="s">
        <v>767</v>
      </c>
      <c r="D379" t="s">
        <v>768</v>
      </c>
      <c r="E379" s="16">
        <v>28.6432042</v>
      </c>
      <c r="F379" s="4">
        <v>25.3326654</v>
      </c>
      <c r="G379" s="17">
        <v>3.3105388000000002</v>
      </c>
      <c r="H379" s="4">
        <v>3.3105388000000002</v>
      </c>
      <c r="I379" s="4">
        <v>0</v>
      </c>
      <c r="J379" s="4">
        <v>0</v>
      </c>
      <c r="K379" s="4">
        <v>0</v>
      </c>
      <c r="L379" s="4">
        <f t="shared" si="5"/>
        <v>0</v>
      </c>
      <c r="M379" s="4"/>
      <c r="P379" s="29" t="s">
        <v>3746</v>
      </c>
      <c r="Q379" s="19">
        <v>46181</v>
      </c>
      <c r="T379" t="e">
        <f>VLOOKUP(C379,'Legal &amp; Wrt.off'!C:C,1,0)</f>
        <v>#N/A</v>
      </c>
    </row>
    <row r="380" spans="1:20" hidden="1" x14ac:dyDescent="0.35">
      <c r="A380" t="s">
        <v>2017</v>
      </c>
      <c r="B380" t="s">
        <v>36</v>
      </c>
      <c r="C380" t="s">
        <v>725</v>
      </c>
      <c r="D380" t="s">
        <v>726</v>
      </c>
      <c r="E380" s="16">
        <v>5.1325873</v>
      </c>
      <c r="F380" s="4">
        <v>4.3638719999999998</v>
      </c>
      <c r="G380" s="17">
        <v>0.76871529999999999</v>
      </c>
      <c r="H380" s="4">
        <v>0.76871529999999999</v>
      </c>
      <c r="I380" s="4">
        <v>0</v>
      </c>
      <c r="J380" s="4">
        <v>0</v>
      </c>
      <c r="K380" s="4">
        <v>0</v>
      </c>
      <c r="L380" s="4">
        <f t="shared" si="5"/>
        <v>0</v>
      </c>
      <c r="M380" s="4"/>
      <c r="P380" s="29" t="s">
        <v>3705</v>
      </c>
      <c r="Q380" s="19">
        <v>46188</v>
      </c>
      <c r="T380" t="e">
        <f>VLOOKUP(C380,'Legal &amp; Wrt.off'!C:C,1,0)</f>
        <v>#N/A</v>
      </c>
    </row>
    <row r="381" spans="1:20" hidden="1" x14ac:dyDescent="0.35">
      <c r="A381" t="s">
        <v>2017</v>
      </c>
      <c r="B381" t="s">
        <v>33</v>
      </c>
      <c r="C381" t="s">
        <v>857</v>
      </c>
      <c r="D381" t="s">
        <v>858</v>
      </c>
      <c r="E381" s="16">
        <v>4.3735464000000004</v>
      </c>
      <c r="F381" s="4">
        <v>4.3118897999999994</v>
      </c>
      <c r="G381" s="17">
        <v>6.1656599999999999E-2</v>
      </c>
      <c r="H381" s="4">
        <v>6.1656599999999999E-2</v>
      </c>
      <c r="I381" s="4">
        <v>0</v>
      </c>
      <c r="J381" s="4">
        <v>0</v>
      </c>
      <c r="K381" s="4">
        <v>0</v>
      </c>
      <c r="L381" s="4">
        <f t="shared" si="5"/>
        <v>0</v>
      </c>
      <c r="M381" s="4"/>
      <c r="T381" t="e">
        <f>VLOOKUP(C381,'Legal &amp; Wrt.off'!C:C,1,0)</f>
        <v>#N/A</v>
      </c>
    </row>
    <row r="382" spans="1:20" hidden="1" x14ac:dyDescent="0.35">
      <c r="A382" t="s">
        <v>2018</v>
      </c>
      <c r="B382" t="s">
        <v>169</v>
      </c>
      <c r="C382" t="s">
        <v>3561</v>
      </c>
      <c r="D382" t="s">
        <v>3562</v>
      </c>
      <c r="E382" s="16">
        <v>10.9315775</v>
      </c>
      <c r="F382" s="4">
        <v>10.90615</v>
      </c>
      <c r="G382" s="17">
        <v>2.5427499999999999E-2</v>
      </c>
      <c r="H382" s="4">
        <v>2.5427499999999999E-2</v>
      </c>
      <c r="I382" s="4">
        <v>0</v>
      </c>
      <c r="J382" s="4">
        <v>0</v>
      </c>
      <c r="K382" s="4">
        <v>0</v>
      </c>
      <c r="L382" s="4">
        <f t="shared" si="5"/>
        <v>0</v>
      </c>
      <c r="M382" s="4"/>
      <c r="T382" t="e">
        <f>VLOOKUP(C382,'Legal &amp; Wrt.off'!C:C,1,0)</f>
        <v>#N/A</v>
      </c>
    </row>
    <row r="383" spans="1:20" hidden="1" x14ac:dyDescent="0.35">
      <c r="A383" t="s">
        <v>2019</v>
      </c>
      <c r="B383" t="s">
        <v>24</v>
      </c>
      <c r="C383" t="s">
        <v>717</v>
      </c>
      <c r="D383" t="s">
        <v>718</v>
      </c>
      <c r="E383" s="16">
        <v>3.3506357000000002</v>
      </c>
      <c r="F383" s="4">
        <v>3.3130106000000001</v>
      </c>
      <c r="G383" s="17">
        <v>3.7625100000000002E-2</v>
      </c>
      <c r="H383" s="4">
        <v>3.7625100000000002E-2</v>
      </c>
      <c r="I383" s="4">
        <v>0</v>
      </c>
      <c r="J383" s="4">
        <v>0</v>
      </c>
      <c r="K383" s="4">
        <v>0</v>
      </c>
      <c r="L383" s="4">
        <f t="shared" si="5"/>
        <v>0</v>
      </c>
      <c r="M383" s="4"/>
      <c r="P383" s="29" t="s">
        <v>3749</v>
      </c>
      <c r="Q383" s="19">
        <v>46181</v>
      </c>
      <c r="T383" t="e">
        <f>VLOOKUP(C383,'Legal &amp; Wrt.off'!C:C,1,0)</f>
        <v>#N/A</v>
      </c>
    </row>
    <row r="384" spans="1:20" hidden="1" x14ac:dyDescent="0.35">
      <c r="A384" t="s">
        <v>2017</v>
      </c>
      <c r="B384" t="s">
        <v>36</v>
      </c>
      <c r="C384" t="s">
        <v>158</v>
      </c>
      <c r="D384" t="s">
        <v>159</v>
      </c>
      <c r="E384" s="16">
        <v>4.3134429000000001</v>
      </c>
      <c r="F384" s="4">
        <v>3.5654958000000003</v>
      </c>
      <c r="G384" s="17">
        <v>0.74794710000000009</v>
      </c>
      <c r="H384" s="4">
        <v>0.74794710000000009</v>
      </c>
      <c r="I384" s="4">
        <v>0</v>
      </c>
      <c r="J384" s="4">
        <v>0</v>
      </c>
      <c r="K384" s="4">
        <v>0</v>
      </c>
      <c r="L384" s="4">
        <f t="shared" si="5"/>
        <v>0</v>
      </c>
      <c r="M384" s="4"/>
      <c r="T384" t="e">
        <f>VLOOKUP(C384,'Legal &amp; Wrt.off'!C:C,1,0)</f>
        <v>#N/A</v>
      </c>
    </row>
    <row r="385" spans="1:20" hidden="1" x14ac:dyDescent="0.35">
      <c r="A385" t="s">
        <v>2017</v>
      </c>
      <c r="B385" t="s">
        <v>36</v>
      </c>
      <c r="C385" t="s">
        <v>3565</v>
      </c>
      <c r="D385" t="s">
        <v>3566</v>
      </c>
      <c r="E385" s="16">
        <v>1.4995987</v>
      </c>
      <c r="F385" s="4">
        <v>0.57628619999999997</v>
      </c>
      <c r="G385" s="17">
        <v>0.92331249999999998</v>
      </c>
      <c r="H385" s="4">
        <v>0.92331249999999998</v>
      </c>
      <c r="I385" s="4">
        <v>0</v>
      </c>
      <c r="J385" s="4">
        <v>0</v>
      </c>
      <c r="K385" s="4">
        <v>0</v>
      </c>
      <c r="L385" s="4">
        <f t="shared" si="5"/>
        <v>0</v>
      </c>
      <c r="M385" s="4"/>
      <c r="T385" t="e">
        <f>VLOOKUP(C385,'Legal &amp; Wrt.off'!C:C,1,0)</f>
        <v>#N/A</v>
      </c>
    </row>
    <row r="386" spans="1:20" hidden="1" x14ac:dyDescent="0.35">
      <c r="A386" t="s">
        <v>2017</v>
      </c>
      <c r="B386" t="s">
        <v>88</v>
      </c>
      <c r="C386" t="s">
        <v>943</v>
      </c>
      <c r="D386" t="s">
        <v>944</v>
      </c>
      <c r="E386" s="16">
        <v>1.01247E-2</v>
      </c>
      <c r="F386" s="4">
        <v>0</v>
      </c>
      <c r="G386" s="17">
        <v>1.01247E-2</v>
      </c>
      <c r="H386" s="4">
        <v>1.01247E-2</v>
      </c>
      <c r="I386" s="4">
        <v>0</v>
      </c>
      <c r="J386" s="4">
        <v>0</v>
      </c>
      <c r="K386" s="4">
        <v>0</v>
      </c>
      <c r="L386" s="4">
        <f t="shared" si="5"/>
        <v>0</v>
      </c>
      <c r="M386" s="4"/>
      <c r="P386" s="29" t="s">
        <v>3738</v>
      </c>
      <c r="T386" t="e">
        <f>VLOOKUP(C386,'Legal &amp; Wrt.off'!C:C,1,0)</f>
        <v>#N/A</v>
      </c>
    </row>
    <row r="387" spans="1:20" hidden="1" x14ac:dyDescent="0.35">
      <c r="A387" t="s">
        <v>2016</v>
      </c>
      <c r="B387" t="s">
        <v>100</v>
      </c>
      <c r="C387" t="s">
        <v>3571</v>
      </c>
      <c r="D387" t="s">
        <v>3572</v>
      </c>
      <c r="E387" s="16">
        <v>0.54348800000000008</v>
      </c>
      <c r="F387" s="4">
        <v>0.53040050000000005</v>
      </c>
      <c r="G387" s="17">
        <v>1.30875E-2</v>
      </c>
      <c r="H387" s="4">
        <v>1.30875E-2</v>
      </c>
      <c r="I387" s="4">
        <v>0</v>
      </c>
      <c r="J387" s="4">
        <v>0</v>
      </c>
      <c r="K387" s="4">
        <v>0</v>
      </c>
      <c r="L387" s="4">
        <f t="shared" si="5"/>
        <v>0</v>
      </c>
      <c r="M387" s="4"/>
      <c r="P387" s="29" t="s">
        <v>3177</v>
      </c>
      <c r="T387" t="e">
        <f>VLOOKUP(C387,'Legal &amp; Wrt.off'!C:C,1,0)</f>
        <v>#N/A</v>
      </c>
    </row>
    <row r="388" spans="1:20" hidden="1" x14ac:dyDescent="0.35">
      <c r="A388" t="s">
        <v>2017</v>
      </c>
      <c r="B388" t="s">
        <v>55</v>
      </c>
      <c r="C388" t="s">
        <v>196</v>
      </c>
      <c r="D388" t="s">
        <v>197</v>
      </c>
      <c r="E388" s="16">
        <v>7.0296187999999997</v>
      </c>
      <c r="F388" s="4">
        <v>7.0210681000000008</v>
      </c>
      <c r="G388" s="17">
        <v>8.5507000000000014E-3</v>
      </c>
      <c r="H388" s="4">
        <v>8.5507000000000014E-3</v>
      </c>
      <c r="I388" s="4">
        <v>0</v>
      </c>
      <c r="J388" s="4">
        <v>0</v>
      </c>
      <c r="K388" s="4">
        <v>0</v>
      </c>
      <c r="L388" s="4">
        <f t="shared" si="5"/>
        <v>0</v>
      </c>
      <c r="M388" s="4"/>
      <c r="T388" t="e">
        <f>VLOOKUP(C388,'Legal &amp; Wrt.off'!C:C,1,0)</f>
        <v>#N/A</v>
      </c>
    </row>
    <row r="389" spans="1:20" hidden="1" x14ac:dyDescent="0.35">
      <c r="A389" t="s">
        <v>2017</v>
      </c>
      <c r="B389" t="s">
        <v>36</v>
      </c>
      <c r="C389" t="s">
        <v>603</v>
      </c>
      <c r="D389" t="s">
        <v>604</v>
      </c>
      <c r="E389" s="16">
        <v>1.0222643</v>
      </c>
      <c r="F389" s="4">
        <v>1.0168014000000001</v>
      </c>
      <c r="G389" s="17">
        <v>5.4628999999999407E-3</v>
      </c>
      <c r="H389" s="4">
        <v>5.9000000000000003E-4</v>
      </c>
      <c r="I389" s="4">
        <v>0</v>
      </c>
      <c r="J389" s="4">
        <v>4.8728999999999396E-3</v>
      </c>
      <c r="K389" s="4">
        <v>0</v>
      </c>
      <c r="L389" s="4">
        <f t="shared" si="5"/>
        <v>4.8728999999999396E-3</v>
      </c>
      <c r="M389" s="4"/>
      <c r="P389" s="29" t="s">
        <v>3737</v>
      </c>
      <c r="T389" t="e">
        <f>VLOOKUP(C389,'Legal &amp; Wrt.off'!C:C,1,0)</f>
        <v>#N/A</v>
      </c>
    </row>
    <row r="390" spans="1:20" hidden="1" x14ac:dyDescent="0.35">
      <c r="A390" t="s">
        <v>2019</v>
      </c>
      <c r="B390" t="s">
        <v>16</v>
      </c>
      <c r="C390" t="s">
        <v>567</v>
      </c>
      <c r="D390" t="s">
        <v>568</v>
      </c>
      <c r="E390" s="16">
        <v>2.9003902000000004</v>
      </c>
      <c r="F390" s="4">
        <v>2.8938697999999996</v>
      </c>
      <c r="G390" s="17">
        <v>6.5204000000000806E-3</v>
      </c>
      <c r="H390" s="4">
        <v>6.5204000000000806E-3</v>
      </c>
      <c r="I390" s="4">
        <v>0</v>
      </c>
      <c r="J390" s="4">
        <v>0</v>
      </c>
      <c r="K390" s="4">
        <v>0</v>
      </c>
      <c r="L390" s="4">
        <f t="shared" ref="L390:L449" si="6">SUM(I390:K390)</f>
        <v>0</v>
      </c>
      <c r="M390" s="4"/>
      <c r="P390" s="29" t="s">
        <v>3742</v>
      </c>
      <c r="T390" t="e">
        <f>VLOOKUP(C390,'Legal &amp; Wrt.off'!C:C,1,0)</f>
        <v>#N/A</v>
      </c>
    </row>
    <row r="391" spans="1:20" hidden="1" x14ac:dyDescent="0.35">
      <c r="A391" t="s">
        <v>2017</v>
      </c>
      <c r="B391" t="s">
        <v>36</v>
      </c>
      <c r="C391" t="s">
        <v>449</v>
      </c>
      <c r="D391" t="s">
        <v>450</v>
      </c>
      <c r="E391" s="16">
        <v>4.1881019000000004</v>
      </c>
      <c r="F391" s="4">
        <v>3.7980215999999998</v>
      </c>
      <c r="G391" s="17">
        <v>0.39008029999999999</v>
      </c>
      <c r="H391" s="4">
        <v>0.39008029999999999</v>
      </c>
      <c r="I391" s="4">
        <v>0</v>
      </c>
      <c r="J391" s="4">
        <v>0</v>
      </c>
      <c r="K391" s="4">
        <v>0</v>
      </c>
      <c r="L391" s="4">
        <f t="shared" si="6"/>
        <v>0</v>
      </c>
      <c r="M391" s="4"/>
      <c r="T391" t="e">
        <f>VLOOKUP(C391,'Legal &amp; Wrt.off'!C:C,1,0)</f>
        <v>#N/A</v>
      </c>
    </row>
    <row r="392" spans="1:20" hidden="1" x14ac:dyDescent="0.35">
      <c r="A392" t="s">
        <v>2016</v>
      </c>
      <c r="B392" t="s">
        <v>93</v>
      </c>
      <c r="C392" t="s">
        <v>581</v>
      </c>
      <c r="D392" t="s">
        <v>582</v>
      </c>
      <c r="E392" s="16">
        <v>1.0267501999999999</v>
      </c>
      <c r="F392" s="4">
        <v>0.73950720000000003</v>
      </c>
      <c r="G392" s="17">
        <v>0.28724299999999997</v>
      </c>
      <c r="H392" s="4">
        <v>0.28724299999999997</v>
      </c>
      <c r="I392" s="4">
        <v>0</v>
      </c>
      <c r="J392" s="4">
        <v>0</v>
      </c>
      <c r="K392" s="4">
        <v>0</v>
      </c>
      <c r="L392" s="4">
        <f t="shared" si="6"/>
        <v>0</v>
      </c>
      <c r="M392" s="4"/>
      <c r="P392" s="29" t="s">
        <v>3177</v>
      </c>
      <c r="T392" t="e">
        <f>VLOOKUP(C392,'Legal &amp; Wrt.off'!C:C,1,0)</f>
        <v>#N/A</v>
      </c>
    </row>
    <row r="393" spans="1:20" hidden="1" x14ac:dyDescent="0.35">
      <c r="A393" t="s">
        <v>2016</v>
      </c>
      <c r="B393" t="s">
        <v>100</v>
      </c>
      <c r="C393" t="s">
        <v>3581</v>
      </c>
      <c r="D393" t="s">
        <v>3582</v>
      </c>
      <c r="E393" s="16">
        <v>9.174500000000009E-3</v>
      </c>
      <c r="F393" s="4">
        <v>0</v>
      </c>
      <c r="G393" s="17">
        <v>9.174500000000009E-3</v>
      </c>
      <c r="H393" s="4">
        <v>9.174500000000009E-3</v>
      </c>
      <c r="I393" s="4">
        <v>0</v>
      </c>
      <c r="J393" s="4">
        <v>0</v>
      </c>
      <c r="K393" s="4">
        <v>0</v>
      </c>
      <c r="L393" s="4">
        <f t="shared" si="6"/>
        <v>0</v>
      </c>
      <c r="M393" s="4"/>
      <c r="P393" s="29" t="s">
        <v>3177</v>
      </c>
      <c r="T393" t="e">
        <f>VLOOKUP(C393,'Legal &amp; Wrt.off'!C:C,1,0)</f>
        <v>#N/A</v>
      </c>
    </row>
    <row r="394" spans="1:20" hidden="1" x14ac:dyDescent="0.35">
      <c r="A394" t="s">
        <v>2019</v>
      </c>
      <c r="B394" t="s">
        <v>16</v>
      </c>
      <c r="C394" t="s">
        <v>941</v>
      </c>
      <c r="D394" t="s">
        <v>942</v>
      </c>
      <c r="E394" s="16">
        <v>2.8131718999999999</v>
      </c>
      <c r="F394" s="4">
        <v>1.6380620000000001</v>
      </c>
      <c r="G394" s="17">
        <v>1.1751099</v>
      </c>
      <c r="H394" s="4">
        <v>1.1751099</v>
      </c>
      <c r="I394" s="4">
        <v>0</v>
      </c>
      <c r="J394" s="4">
        <v>0</v>
      </c>
      <c r="K394" s="4">
        <v>0</v>
      </c>
      <c r="L394" s="4">
        <f t="shared" si="6"/>
        <v>0</v>
      </c>
      <c r="M394" s="4"/>
      <c r="T394" t="e">
        <f>VLOOKUP(C394,'Legal &amp; Wrt.off'!C:C,1,0)</f>
        <v>#N/A</v>
      </c>
    </row>
    <row r="395" spans="1:20" hidden="1" x14ac:dyDescent="0.35">
      <c r="A395" t="s">
        <v>2017</v>
      </c>
      <c r="B395" t="s">
        <v>36</v>
      </c>
      <c r="C395" t="s">
        <v>98</v>
      </c>
      <c r="D395" t="s">
        <v>99</v>
      </c>
      <c r="E395" s="16">
        <v>1.5965063000000002</v>
      </c>
      <c r="F395" s="4">
        <v>1.4699732000000001</v>
      </c>
      <c r="G395" s="17">
        <v>0.12653309999999998</v>
      </c>
      <c r="H395" s="4">
        <v>0.12653309999999998</v>
      </c>
      <c r="I395" s="4">
        <v>0</v>
      </c>
      <c r="J395" s="4">
        <v>0</v>
      </c>
      <c r="K395" s="4">
        <v>0</v>
      </c>
      <c r="L395" s="4">
        <f t="shared" si="6"/>
        <v>0</v>
      </c>
      <c r="M395" s="4"/>
      <c r="T395" t="e">
        <f>VLOOKUP(C395,'Legal &amp; Wrt.off'!C:C,1,0)</f>
        <v>#N/A</v>
      </c>
    </row>
    <row r="396" spans="1:20" hidden="1" x14ac:dyDescent="0.35">
      <c r="A396" t="s">
        <v>2019</v>
      </c>
      <c r="B396" t="s">
        <v>30</v>
      </c>
      <c r="C396" t="s">
        <v>1195</v>
      </c>
      <c r="D396" t="s">
        <v>1196</v>
      </c>
      <c r="E396" s="16">
        <v>0.4763117</v>
      </c>
      <c r="F396" s="4">
        <v>0.39270539999999998</v>
      </c>
      <c r="G396" s="17">
        <v>8.3606299999999995E-2</v>
      </c>
      <c r="H396" s="4">
        <v>8.3606299999999995E-2</v>
      </c>
      <c r="I396" s="4">
        <v>0</v>
      </c>
      <c r="J396" s="4">
        <v>0</v>
      </c>
      <c r="K396" s="4">
        <v>0</v>
      </c>
      <c r="L396" s="4">
        <f t="shared" si="6"/>
        <v>0</v>
      </c>
      <c r="M396" s="4"/>
      <c r="T396" t="e">
        <f>VLOOKUP(C396,'Legal &amp; Wrt.off'!C:C,1,0)</f>
        <v>#N/A</v>
      </c>
    </row>
    <row r="397" spans="1:20" hidden="1" x14ac:dyDescent="0.35">
      <c r="A397" t="s">
        <v>2016</v>
      </c>
      <c r="B397" t="s">
        <v>164</v>
      </c>
      <c r="C397" t="s">
        <v>3587</v>
      </c>
      <c r="D397" t="s">
        <v>3588</v>
      </c>
      <c r="E397" s="16">
        <v>2.17819E-2</v>
      </c>
      <c r="F397" s="4">
        <v>0</v>
      </c>
      <c r="G397" s="17">
        <v>2.17819E-2</v>
      </c>
      <c r="H397" s="4">
        <v>2.17819E-2</v>
      </c>
      <c r="I397" s="4">
        <v>0</v>
      </c>
      <c r="J397" s="4">
        <v>0</v>
      </c>
      <c r="K397" s="4">
        <v>0</v>
      </c>
      <c r="L397" s="4">
        <f t="shared" si="6"/>
        <v>0</v>
      </c>
      <c r="M397" s="4"/>
      <c r="P397" s="29" t="s">
        <v>3177</v>
      </c>
      <c r="T397" t="e">
        <f>VLOOKUP(C397,'Legal &amp; Wrt.off'!C:C,1,0)</f>
        <v>#N/A</v>
      </c>
    </row>
    <row r="398" spans="1:20" hidden="1" x14ac:dyDescent="0.35">
      <c r="A398" t="s">
        <v>2017</v>
      </c>
      <c r="B398" t="s">
        <v>111</v>
      </c>
      <c r="C398" t="s">
        <v>813</v>
      </c>
      <c r="D398" t="s">
        <v>814</v>
      </c>
      <c r="E398" s="16">
        <v>2.0305529</v>
      </c>
      <c r="F398" s="4">
        <v>1.4726117000000001</v>
      </c>
      <c r="G398" s="17">
        <v>0.55794120000000003</v>
      </c>
      <c r="H398" s="4">
        <v>0.55793470000000001</v>
      </c>
      <c r="I398" s="4">
        <v>6.4999999999417898E-6</v>
      </c>
      <c r="J398" s="4">
        <v>0</v>
      </c>
      <c r="K398" s="4">
        <v>0</v>
      </c>
      <c r="L398" s="4">
        <f t="shared" si="6"/>
        <v>6.4999999999417898E-6</v>
      </c>
      <c r="M398" s="4"/>
      <c r="T398" t="e">
        <f>VLOOKUP(C398,'Legal &amp; Wrt.off'!C:C,1,0)</f>
        <v>#N/A</v>
      </c>
    </row>
    <row r="399" spans="1:20" hidden="1" x14ac:dyDescent="0.35">
      <c r="A399" t="s">
        <v>2017</v>
      </c>
      <c r="B399" t="s">
        <v>36</v>
      </c>
      <c r="C399" t="s">
        <v>439</v>
      </c>
      <c r="D399" t="s">
        <v>440</v>
      </c>
      <c r="E399" s="16">
        <v>17.6766246</v>
      </c>
      <c r="F399" s="4">
        <v>15.6374242</v>
      </c>
      <c r="G399" s="17">
        <v>2.0392003999999999</v>
      </c>
      <c r="H399" s="4">
        <v>2.0392003999999999</v>
      </c>
      <c r="I399" s="4">
        <v>0</v>
      </c>
      <c r="J399" s="4">
        <v>0</v>
      </c>
      <c r="K399" s="4">
        <v>0</v>
      </c>
      <c r="L399" s="4">
        <f t="shared" si="6"/>
        <v>0</v>
      </c>
      <c r="M399" s="4"/>
      <c r="P399" s="29" t="s">
        <v>3717</v>
      </c>
      <c r="T399" t="e">
        <f>VLOOKUP(C399,'Legal &amp; Wrt.off'!C:C,1,0)</f>
        <v>#N/A</v>
      </c>
    </row>
    <row r="400" spans="1:20" hidden="1" x14ac:dyDescent="0.35">
      <c r="A400" t="s">
        <v>2016</v>
      </c>
      <c r="B400" t="s">
        <v>41</v>
      </c>
      <c r="C400" t="s">
        <v>255</v>
      </c>
      <c r="D400" t="s">
        <v>256</v>
      </c>
      <c r="E400" s="16">
        <v>4.3804815000000001</v>
      </c>
      <c r="F400" s="4">
        <v>4.2476843999999998</v>
      </c>
      <c r="G400" s="17">
        <v>0.1327971</v>
      </c>
      <c r="H400" s="4">
        <v>0.1327971</v>
      </c>
      <c r="I400" s="4">
        <v>0</v>
      </c>
      <c r="J400" s="4">
        <v>0</v>
      </c>
      <c r="K400" s="4">
        <v>0</v>
      </c>
      <c r="L400" s="4">
        <f t="shared" si="6"/>
        <v>0</v>
      </c>
      <c r="M400" s="4"/>
      <c r="T400" t="e">
        <f>VLOOKUP(C400,'Legal &amp; Wrt.off'!C:C,1,0)</f>
        <v>#N/A</v>
      </c>
    </row>
    <row r="401" spans="1:20" hidden="1" x14ac:dyDescent="0.35">
      <c r="A401" t="s">
        <v>2017</v>
      </c>
      <c r="B401" t="s">
        <v>55</v>
      </c>
      <c r="C401" t="s">
        <v>515</v>
      </c>
      <c r="D401" t="s">
        <v>516</v>
      </c>
      <c r="E401" s="16">
        <v>3.4056555999999998</v>
      </c>
      <c r="F401" s="4">
        <v>3.1981641999999999</v>
      </c>
      <c r="G401" s="17">
        <v>0.20749139999999999</v>
      </c>
      <c r="H401" s="4">
        <v>0.20749139999999999</v>
      </c>
      <c r="I401" s="4">
        <v>0</v>
      </c>
      <c r="J401" s="4">
        <v>0</v>
      </c>
      <c r="K401" s="4">
        <v>0</v>
      </c>
      <c r="L401" s="4">
        <f t="shared" si="6"/>
        <v>0</v>
      </c>
      <c r="M401" s="4"/>
      <c r="T401" t="e">
        <f>VLOOKUP(C401,'Legal &amp; Wrt.off'!C:C,1,0)</f>
        <v>#N/A</v>
      </c>
    </row>
    <row r="402" spans="1:20" hidden="1" x14ac:dyDescent="0.35">
      <c r="A402" t="s">
        <v>2019</v>
      </c>
      <c r="B402" t="s">
        <v>16</v>
      </c>
      <c r="C402" t="s">
        <v>22</v>
      </c>
      <c r="D402" t="s">
        <v>23</v>
      </c>
      <c r="E402" s="16">
        <v>3.6911615999999996</v>
      </c>
      <c r="F402" s="4">
        <v>3.5113458</v>
      </c>
      <c r="G402" s="17">
        <v>0.17981580000000003</v>
      </c>
      <c r="H402" s="4">
        <v>0.17981580000000003</v>
      </c>
      <c r="I402" s="4">
        <v>0</v>
      </c>
      <c r="J402" s="4">
        <v>0</v>
      </c>
      <c r="K402" s="4">
        <v>0</v>
      </c>
      <c r="L402" s="4">
        <f t="shared" si="6"/>
        <v>0</v>
      </c>
      <c r="M402" s="4"/>
      <c r="T402" t="e">
        <f>VLOOKUP(C402,'Legal &amp; Wrt.off'!C:C,1,0)</f>
        <v>#N/A</v>
      </c>
    </row>
    <row r="403" spans="1:20" hidden="1" x14ac:dyDescent="0.35">
      <c r="A403" t="s">
        <v>2017</v>
      </c>
      <c r="B403" t="s">
        <v>19</v>
      </c>
      <c r="C403" t="s">
        <v>445</v>
      </c>
      <c r="D403" t="s">
        <v>446</v>
      </c>
      <c r="E403" s="16">
        <v>1.9124177</v>
      </c>
      <c r="F403" s="4">
        <v>1.6861273999999999</v>
      </c>
      <c r="G403" s="17">
        <v>0.2262903</v>
      </c>
      <c r="H403" s="4">
        <v>0.2262903</v>
      </c>
      <c r="I403" s="4">
        <v>0</v>
      </c>
      <c r="J403" s="4">
        <v>0</v>
      </c>
      <c r="K403" s="4">
        <v>0</v>
      </c>
      <c r="L403" s="4">
        <f t="shared" si="6"/>
        <v>0</v>
      </c>
      <c r="M403" s="4"/>
      <c r="T403" t="e">
        <f>VLOOKUP(C403,'Legal &amp; Wrt.off'!C:C,1,0)</f>
        <v>#N/A</v>
      </c>
    </row>
    <row r="404" spans="1:20" hidden="1" x14ac:dyDescent="0.35">
      <c r="A404" t="s">
        <v>2019</v>
      </c>
      <c r="B404" t="s">
        <v>30</v>
      </c>
      <c r="C404" t="s">
        <v>31</v>
      </c>
      <c r="D404" t="s">
        <v>32</v>
      </c>
      <c r="E404" s="16">
        <v>0.99411939999999999</v>
      </c>
      <c r="F404" s="4">
        <v>0.82005660000000002</v>
      </c>
      <c r="G404" s="17">
        <v>0.17406279999999999</v>
      </c>
      <c r="H404" s="4">
        <v>0.17406279999999999</v>
      </c>
      <c r="I404" s="4">
        <v>0</v>
      </c>
      <c r="J404" s="4">
        <v>0</v>
      </c>
      <c r="K404" s="4">
        <v>0</v>
      </c>
      <c r="L404" s="4">
        <f t="shared" si="6"/>
        <v>0</v>
      </c>
      <c r="M404" s="4"/>
      <c r="P404" s="29" t="s">
        <v>3758</v>
      </c>
      <c r="Q404" s="19">
        <v>46181</v>
      </c>
      <c r="T404" t="e">
        <f>VLOOKUP(C404,'Legal &amp; Wrt.off'!C:C,1,0)</f>
        <v>#N/A</v>
      </c>
    </row>
    <row r="405" spans="1:20" hidden="1" x14ac:dyDescent="0.35">
      <c r="A405" t="s">
        <v>2019</v>
      </c>
      <c r="B405" t="s">
        <v>16</v>
      </c>
      <c r="C405" t="s">
        <v>3597</v>
      </c>
      <c r="D405" t="s">
        <v>3598</v>
      </c>
      <c r="E405" s="16">
        <v>0.1</v>
      </c>
      <c r="F405" s="4">
        <v>0</v>
      </c>
      <c r="G405" s="17">
        <v>0.1</v>
      </c>
      <c r="H405" s="4">
        <v>0.1</v>
      </c>
      <c r="I405" s="4">
        <v>0</v>
      </c>
      <c r="J405" s="4">
        <v>0</v>
      </c>
      <c r="K405" s="4">
        <v>0</v>
      </c>
      <c r="L405" s="4">
        <f t="shared" si="6"/>
        <v>0</v>
      </c>
      <c r="M405" s="4"/>
      <c r="P405" s="29" t="s">
        <v>3744</v>
      </c>
      <c r="Q405" s="19">
        <v>46186</v>
      </c>
      <c r="T405" t="e">
        <f>VLOOKUP(C405,'Legal &amp; Wrt.off'!C:C,1,0)</f>
        <v>#N/A</v>
      </c>
    </row>
    <row r="406" spans="1:20" hidden="1" x14ac:dyDescent="0.35">
      <c r="A406" t="s">
        <v>2017</v>
      </c>
      <c r="B406" t="s">
        <v>55</v>
      </c>
      <c r="C406" t="s">
        <v>3599</v>
      </c>
      <c r="D406" t="s">
        <v>3600</v>
      </c>
      <c r="E406" s="16">
        <v>5.74889999999999E-3</v>
      </c>
      <c r="F406" s="4">
        <v>0</v>
      </c>
      <c r="G406" s="17">
        <v>5.74889999999999E-3</v>
      </c>
      <c r="H406" s="4">
        <v>5.74889999999999E-3</v>
      </c>
      <c r="I406" s="4">
        <v>0</v>
      </c>
      <c r="J406" s="4">
        <v>0</v>
      </c>
      <c r="K406" s="4">
        <v>0</v>
      </c>
      <c r="L406" s="4">
        <f t="shared" si="6"/>
        <v>0</v>
      </c>
      <c r="M406" s="4"/>
      <c r="P406" s="29" t="s">
        <v>3737</v>
      </c>
      <c r="T406" t="e">
        <f>VLOOKUP(C406,'Legal &amp; Wrt.off'!C:C,1,0)</f>
        <v>#N/A</v>
      </c>
    </row>
    <row r="407" spans="1:20" hidden="1" x14ac:dyDescent="0.35">
      <c r="A407" t="s">
        <v>2017</v>
      </c>
      <c r="B407" t="s">
        <v>111</v>
      </c>
      <c r="C407" t="s">
        <v>3603</v>
      </c>
      <c r="D407" t="s">
        <v>3604</v>
      </c>
      <c r="E407" s="16">
        <v>2.9361801000000001</v>
      </c>
      <c r="F407" s="4">
        <v>2.5149820000000003</v>
      </c>
      <c r="G407" s="17">
        <v>0.42119809999999996</v>
      </c>
      <c r="H407" s="4">
        <v>0</v>
      </c>
      <c r="I407" s="4">
        <v>0.42119809999999996</v>
      </c>
      <c r="J407" s="4">
        <v>0</v>
      </c>
      <c r="K407" s="4">
        <v>0</v>
      </c>
      <c r="L407" s="4">
        <f t="shared" si="6"/>
        <v>0.42119809999999996</v>
      </c>
      <c r="M407" s="4"/>
      <c r="P407" s="29" t="s">
        <v>3739</v>
      </c>
      <c r="T407" t="e">
        <f>VLOOKUP(C407,'Legal &amp; Wrt.off'!C:C,1,0)</f>
        <v>#N/A</v>
      </c>
    </row>
    <row r="408" spans="1:20" hidden="1" x14ac:dyDescent="0.35">
      <c r="A408" t="s">
        <v>2017</v>
      </c>
      <c r="B408" t="s">
        <v>88</v>
      </c>
      <c r="C408" t="s">
        <v>551</v>
      </c>
      <c r="D408" t="s">
        <v>552</v>
      </c>
      <c r="E408" s="16">
        <v>1.9737899999999999E-2</v>
      </c>
      <c r="F408" s="4">
        <v>0</v>
      </c>
      <c r="G408" s="17">
        <v>1.9737899999999999E-2</v>
      </c>
      <c r="H408" s="4">
        <v>1.9737899999999999E-2</v>
      </c>
      <c r="I408" s="4">
        <v>0</v>
      </c>
      <c r="J408" s="4">
        <v>0</v>
      </c>
      <c r="K408" s="4">
        <v>0</v>
      </c>
      <c r="L408" s="4">
        <f t="shared" si="6"/>
        <v>0</v>
      </c>
      <c r="M408" s="4"/>
      <c r="P408" s="29" t="s">
        <v>3738</v>
      </c>
      <c r="T408" t="e">
        <f>VLOOKUP(C408,'Legal &amp; Wrt.off'!C:C,1,0)</f>
        <v>#N/A</v>
      </c>
    </row>
    <row r="409" spans="1:20" hidden="1" x14ac:dyDescent="0.35">
      <c r="A409" t="s">
        <v>2017</v>
      </c>
      <c r="B409" t="s">
        <v>111</v>
      </c>
      <c r="C409" t="s">
        <v>409</v>
      </c>
      <c r="D409" t="s">
        <v>410</v>
      </c>
      <c r="E409" s="16">
        <v>8.2351999999998992E-3</v>
      </c>
      <c r="F409" s="4">
        <v>0</v>
      </c>
      <c r="G409" s="17">
        <v>8.2351999999998992E-3</v>
      </c>
      <c r="H409" s="4">
        <v>8.2351999999998992E-3</v>
      </c>
      <c r="I409" s="4">
        <v>0</v>
      </c>
      <c r="J409" s="4">
        <v>0</v>
      </c>
      <c r="K409" s="4">
        <v>0</v>
      </c>
      <c r="L409" s="4">
        <f t="shared" si="6"/>
        <v>0</v>
      </c>
      <c r="M409" s="4"/>
      <c r="P409" s="29" t="s">
        <v>3737</v>
      </c>
      <c r="T409" t="e">
        <f>VLOOKUP(C409,'Legal &amp; Wrt.off'!C:C,1,0)</f>
        <v>#N/A</v>
      </c>
    </row>
    <row r="410" spans="1:20" hidden="1" x14ac:dyDescent="0.35">
      <c r="A410" t="s">
        <v>2019</v>
      </c>
      <c r="B410" t="s">
        <v>27</v>
      </c>
      <c r="C410" t="s">
        <v>599</v>
      </c>
      <c r="D410" t="s">
        <v>600</v>
      </c>
      <c r="E410" s="16">
        <v>0.29880020000000002</v>
      </c>
      <c r="F410" s="4">
        <v>0.24390119999999998</v>
      </c>
      <c r="G410" s="17">
        <v>5.4898999999999996E-2</v>
      </c>
      <c r="H410" s="4">
        <v>5.4898999999999996E-2</v>
      </c>
      <c r="I410" s="4">
        <v>0</v>
      </c>
      <c r="J410" s="4">
        <v>0</v>
      </c>
      <c r="K410" s="4">
        <v>0</v>
      </c>
      <c r="L410" s="4">
        <f t="shared" si="6"/>
        <v>0</v>
      </c>
      <c r="M410" s="4"/>
      <c r="P410" s="29" t="s">
        <v>3746</v>
      </c>
      <c r="Q410" s="19">
        <v>46181</v>
      </c>
      <c r="T410" t="e">
        <f>VLOOKUP(C410,'Legal &amp; Wrt.off'!C:C,1,0)</f>
        <v>#N/A</v>
      </c>
    </row>
    <row r="411" spans="1:20" hidden="1" x14ac:dyDescent="0.35">
      <c r="A411" t="s">
        <v>2017</v>
      </c>
      <c r="B411" t="s">
        <v>55</v>
      </c>
      <c r="C411" t="s">
        <v>235</v>
      </c>
      <c r="D411" t="s">
        <v>236</v>
      </c>
      <c r="E411" s="16">
        <v>2.7437641999999998</v>
      </c>
      <c r="F411" s="4">
        <v>2.6360515999999996</v>
      </c>
      <c r="G411" s="17">
        <v>0.10771260000000001</v>
      </c>
      <c r="H411" s="4">
        <v>0.10771260000000001</v>
      </c>
      <c r="I411" s="4">
        <v>0</v>
      </c>
      <c r="J411" s="4">
        <v>0</v>
      </c>
      <c r="K411" s="4">
        <v>0</v>
      </c>
      <c r="L411" s="4">
        <f t="shared" si="6"/>
        <v>0</v>
      </c>
      <c r="M411" s="4"/>
      <c r="T411" t="e">
        <f>VLOOKUP(C411,'Legal &amp; Wrt.off'!C:C,1,0)</f>
        <v>#N/A</v>
      </c>
    </row>
    <row r="412" spans="1:20" hidden="1" x14ac:dyDescent="0.35">
      <c r="A412" t="s">
        <v>2016</v>
      </c>
      <c r="B412" t="s">
        <v>93</v>
      </c>
      <c r="C412" t="s">
        <v>477</v>
      </c>
      <c r="D412" t="s">
        <v>478</v>
      </c>
      <c r="E412" s="16">
        <v>4.1066395</v>
      </c>
      <c r="F412" s="4">
        <v>3.9140638000000001</v>
      </c>
      <c r="G412" s="17">
        <v>0.19257569999999999</v>
      </c>
      <c r="H412" s="4">
        <v>0.19257569999999999</v>
      </c>
      <c r="I412" s="4">
        <v>0</v>
      </c>
      <c r="J412" s="4">
        <v>0</v>
      </c>
      <c r="K412" s="4">
        <v>0</v>
      </c>
      <c r="L412" s="4">
        <f t="shared" si="6"/>
        <v>0</v>
      </c>
      <c r="M412" s="4"/>
      <c r="T412" t="e">
        <f>VLOOKUP(C412,'Legal &amp; Wrt.off'!C:C,1,0)</f>
        <v>#N/A</v>
      </c>
    </row>
    <row r="413" spans="1:20" hidden="1" x14ac:dyDescent="0.35">
      <c r="A413" t="s">
        <v>2019</v>
      </c>
      <c r="B413" t="s">
        <v>24</v>
      </c>
      <c r="C413" t="s">
        <v>78</v>
      </c>
      <c r="D413" t="s">
        <v>79</v>
      </c>
      <c r="E413" s="16">
        <v>2.8989577</v>
      </c>
      <c r="F413" s="4">
        <v>2.6811446000000001</v>
      </c>
      <c r="G413" s="17">
        <v>0.21781310000000001</v>
      </c>
      <c r="H413" s="4">
        <v>0.21781310000000001</v>
      </c>
      <c r="I413" s="4">
        <v>0</v>
      </c>
      <c r="J413" s="4">
        <v>0</v>
      </c>
      <c r="K413" s="4">
        <v>0</v>
      </c>
      <c r="L413" s="4">
        <f t="shared" si="6"/>
        <v>0</v>
      </c>
      <c r="M413" s="4"/>
      <c r="P413" s="29" t="s">
        <v>3759</v>
      </c>
      <c r="T413" t="e">
        <f>VLOOKUP(C413,'Legal &amp; Wrt.off'!C:C,1,0)</f>
        <v>#N/A</v>
      </c>
    </row>
    <row r="414" spans="1:20" hidden="1" x14ac:dyDescent="0.35">
      <c r="A414" t="s">
        <v>2018</v>
      </c>
      <c r="B414" t="s">
        <v>169</v>
      </c>
      <c r="C414" t="s">
        <v>3625</v>
      </c>
      <c r="D414" t="s">
        <v>3626</v>
      </c>
      <c r="E414" s="16">
        <v>1.00406E-2</v>
      </c>
      <c r="F414" s="4">
        <v>0</v>
      </c>
      <c r="G414" s="17">
        <v>1.00406E-2</v>
      </c>
      <c r="H414" s="4">
        <v>1.00406E-2</v>
      </c>
      <c r="I414" s="4">
        <v>0</v>
      </c>
      <c r="J414" s="4">
        <v>0</v>
      </c>
      <c r="K414" s="4">
        <v>0</v>
      </c>
      <c r="L414" s="4">
        <f t="shared" si="6"/>
        <v>0</v>
      </c>
      <c r="M414" s="4"/>
      <c r="T414" t="e">
        <f>VLOOKUP(C414,'Legal &amp; Wrt.off'!C:C,1,0)</f>
        <v>#N/A</v>
      </c>
    </row>
    <row r="415" spans="1:20" hidden="1" x14ac:dyDescent="0.35">
      <c r="A415" t="s">
        <v>2017</v>
      </c>
      <c r="B415" t="s">
        <v>36</v>
      </c>
      <c r="C415" t="s">
        <v>883</v>
      </c>
      <c r="D415" t="s">
        <v>884</v>
      </c>
      <c r="E415" s="16">
        <v>3.3063089000000003</v>
      </c>
      <c r="F415" s="4">
        <v>1.6702204</v>
      </c>
      <c r="G415" s="17">
        <v>1.6360885000000001</v>
      </c>
      <c r="H415" s="4">
        <v>1.6360885000000001</v>
      </c>
      <c r="I415" s="4">
        <v>0</v>
      </c>
      <c r="J415" s="4">
        <v>0</v>
      </c>
      <c r="K415" s="4">
        <v>0</v>
      </c>
      <c r="L415" s="4">
        <f t="shared" si="6"/>
        <v>0</v>
      </c>
      <c r="M415" s="4"/>
      <c r="T415" t="e">
        <f>VLOOKUP(C415,'Legal &amp; Wrt.off'!C:C,1,0)</f>
        <v>#N/A</v>
      </c>
    </row>
    <row r="416" spans="1:20" hidden="1" x14ac:dyDescent="0.35">
      <c r="A416" t="s">
        <v>2016</v>
      </c>
      <c r="B416" t="s">
        <v>93</v>
      </c>
      <c r="C416" t="s">
        <v>873</v>
      </c>
      <c r="D416" t="s">
        <v>874</v>
      </c>
      <c r="E416" s="16">
        <v>2.7802165000000003</v>
      </c>
      <c r="F416" s="4">
        <v>2.6943114000000001</v>
      </c>
      <c r="G416" s="17">
        <v>8.5905099999999998E-2</v>
      </c>
      <c r="H416" s="4">
        <v>8.5905099999999998E-2</v>
      </c>
      <c r="I416" s="4">
        <v>0</v>
      </c>
      <c r="J416" s="4">
        <v>0</v>
      </c>
      <c r="K416" s="4">
        <v>0</v>
      </c>
      <c r="L416" s="4">
        <f t="shared" si="6"/>
        <v>0</v>
      </c>
      <c r="M416" s="4"/>
      <c r="P416" s="29" t="s">
        <v>3703</v>
      </c>
      <c r="T416" t="e">
        <f>VLOOKUP(C416,'Legal &amp; Wrt.off'!C:C,1,0)</f>
        <v>#N/A</v>
      </c>
    </row>
    <row r="417" spans="1:20" hidden="1" x14ac:dyDescent="0.35">
      <c r="A417" t="s">
        <v>2017</v>
      </c>
      <c r="B417" t="s">
        <v>36</v>
      </c>
      <c r="C417" t="s">
        <v>3629</v>
      </c>
      <c r="D417" t="s">
        <v>3630</v>
      </c>
      <c r="E417" s="16">
        <v>1.1237E-2</v>
      </c>
      <c r="F417" s="4">
        <v>0</v>
      </c>
      <c r="G417" s="17">
        <v>1.1237E-2</v>
      </c>
      <c r="H417" s="4">
        <v>1.1237E-2</v>
      </c>
      <c r="I417" s="4">
        <v>0</v>
      </c>
      <c r="J417" s="4">
        <v>0</v>
      </c>
      <c r="K417" s="4">
        <v>0</v>
      </c>
      <c r="L417" s="4">
        <f t="shared" si="6"/>
        <v>0</v>
      </c>
      <c r="M417" s="4"/>
      <c r="P417" s="29" t="s">
        <v>3737</v>
      </c>
      <c r="T417" t="e">
        <f>VLOOKUP(C417,'Legal &amp; Wrt.off'!C:C,1,0)</f>
        <v>#N/A</v>
      </c>
    </row>
    <row r="418" spans="1:20" hidden="1" x14ac:dyDescent="0.35">
      <c r="A418" t="s">
        <v>2018</v>
      </c>
      <c r="B418" t="s">
        <v>169</v>
      </c>
      <c r="C418" t="s">
        <v>1085</v>
      </c>
      <c r="D418" t="s">
        <v>1086</v>
      </c>
      <c r="E418" s="16">
        <v>2.6099499999999998E-2</v>
      </c>
      <c r="F418" s="4">
        <v>0</v>
      </c>
      <c r="G418" s="17">
        <v>2.6099499999999998E-2</v>
      </c>
      <c r="H418" s="4">
        <v>2.6099499999999998E-2</v>
      </c>
      <c r="I418" s="4">
        <v>0</v>
      </c>
      <c r="J418" s="4">
        <v>0</v>
      </c>
      <c r="K418" s="4">
        <v>0</v>
      </c>
      <c r="L418" s="4">
        <f t="shared" si="6"/>
        <v>0</v>
      </c>
      <c r="M418" s="4"/>
      <c r="T418" t="e">
        <f>VLOOKUP(C418,'Legal &amp; Wrt.off'!C:C,1,0)</f>
        <v>#N/A</v>
      </c>
    </row>
    <row r="419" spans="1:20" hidden="1" x14ac:dyDescent="0.35">
      <c r="A419" t="s">
        <v>2017</v>
      </c>
      <c r="B419" t="s">
        <v>19</v>
      </c>
      <c r="C419" t="s">
        <v>3635</v>
      </c>
      <c r="D419" t="s">
        <v>3636</v>
      </c>
      <c r="E419" s="16">
        <v>5.6588000000000497E-3</v>
      </c>
      <c r="F419" s="4">
        <v>0</v>
      </c>
      <c r="G419" s="17">
        <v>5.6588000000000497E-3</v>
      </c>
      <c r="H419" s="4">
        <v>5.6588000000000497E-3</v>
      </c>
      <c r="I419" s="4">
        <v>0</v>
      </c>
      <c r="J419" s="4">
        <v>0</v>
      </c>
      <c r="K419" s="4">
        <v>0</v>
      </c>
      <c r="L419" s="4">
        <f t="shared" si="6"/>
        <v>0</v>
      </c>
      <c r="M419" s="4"/>
      <c r="P419" s="29" t="s">
        <v>3737</v>
      </c>
      <c r="T419" t="e">
        <f>VLOOKUP(C419,'Legal &amp; Wrt.off'!C:C,1,0)</f>
        <v>#N/A</v>
      </c>
    </row>
    <row r="420" spans="1:20" hidden="1" x14ac:dyDescent="0.35">
      <c r="A420" t="s">
        <v>2017</v>
      </c>
      <c r="B420" t="s">
        <v>55</v>
      </c>
      <c r="C420" t="s">
        <v>3639</v>
      </c>
      <c r="D420" t="s">
        <v>3640</v>
      </c>
      <c r="E420" s="16">
        <v>4.9367899999999999E-2</v>
      </c>
      <c r="F420" s="4">
        <v>0</v>
      </c>
      <c r="G420" s="17">
        <v>4.9367899999999999E-2</v>
      </c>
      <c r="H420" s="4">
        <v>4.9367899999999999E-2</v>
      </c>
      <c r="I420" s="4">
        <v>0</v>
      </c>
      <c r="J420" s="4">
        <v>0</v>
      </c>
      <c r="K420" s="4">
        <v>0</v>
      </c>
      <c r="L420" s="4">
        <f t="shared" si="6"/>
        <v>0</v>
      </c>
      <c r="M420" s="4"/>
      <c r="P420" s="29" t="s">
        <v>3737</v>
      </c>
      <c r="Q420" s="19">
        <v>46193</v>
      </c>
      <c r="T420" t="e">
        <f>VLOOKUP(C420,'Legal &amp; Wrt.off'!C:C,1,0)</f>
        <v>#N/A</v>
      </c>
    </row>
    <row r="421" spans="1:20" hidden="1" x14ac:dyDescent="0.35">
      <c r="A421" t="s">
        <v>2017</v>
      </c>
      <c r="B421" t="s">
        <v>210</v>
      </c>
      <c r="C421" t="s">
        <v>1181</v>
      </c>
      <c r="D421" t="s">
        <v>1182</v>
      </c>
      <c r="E421" s="16">
        <v>5.0556999999999998E-3</v>
      </c>
      <c r="F421" s="4">
        <v>0</v>
      </c>
      <c r="G421" s="17">
        <v>5.0556999999999998E-3</v>
      </c>
      <c r="H421" s="4">
        <v>5.0556999999999998E-3</v>
      </c>
      <c r="I421" s="4">
        <v>0</v>
      </c>
      <c r="J421" s="4">
        <v>0</v>
      </c>
      <c r="K421" s="4">
        <v>0</v>
      </c>
      <c r="L421" s="4">
        <f t="shared" si="6"/>
        <v>0</v>
      </c>
      <c r="M421" s="4"/>
      <c r="P421" s="29" t="s">
        <v>3715</v>
      </c>
      <c r="T421" t="e">
        <f>VLOOKUP(C421,'Legal &amp; Wrt.off'!C:C,1,0)</f>
        <v>#N/A</v>
      </c>
    </row>
    <row r="422" spans="1:20" hidden="1" x14ac:dyDescent="0.35">
      <c r="A422" t="s">
        <v>2017</v>
      </c>
      <c r="B422" t="s">
        <v>111</v>
      </c>
      <c r="C422" t="s">
        <v>3645</v>
      </c>
      <c r="D422" t="s">
        <v>3646</v>
      </c>
      <c r="E422" s="16">
        <v>1.4223800000000002E-2</v>
      </c>
      <c r="F422" s="4">
        <v>0</v>
      </c>
      <c r="G422" s="17">
        <v>1.4223800000000002E-2</v>
      </c>
      <c r="H422" s="4">
        <v>1.4223800000000002E-2</v>
      </c>
      <c r="I422" s="4">
        <v>0</v>
      </c>
      <c r="J422" s="4">
        <v>0</v>
      </c>
      <c r="K422" s="4">
        <v>0</v>
      </c>
      <c r="L422" s="4">
        <f t="shared" si="6"/>
        <v>0</v>
      </c>
      <c r="M422" s="4"/>
      <c r="P422" s="29" t="s">
        <v>3737</v>
      </c>
      <c r="T422" t="e">
        <f>VLOOKUP(C422,'Legal &amp; Wrt.off'!C:C,1,0)</f>
        <v>#N/A</v>
      </c>
    </row>
    <row r="423" spans="1:20" hidden="1" x14ac:dyDescent="0.35">
      <c r="A423" t="s">
        <v>2016</v>
      </c>
      <c r="B423" t="s">
        <v>100</v>
      </c>
      <c r="C423" t="s">
        <v>3647</v>
      </c>
      <c r="D423" t="s">
        <v>3648</v>
      </c>
      <c r="E423" s="16">
        <v>3.0351700000000002E-2</v>
      </c>
      <c r="F423" s="4">
        <v>0</v>
      </c>
      <c r="G423" s="17">
        <v>3.0351700000000002E-2</v>
      </c>
      <c r="H423" s="4">
        <v>3.0351700000000002E-2</v>
      </c>
      <c r="I423" s="4">
        <v>0</v>
      </c>
      <c r="J423" s="4">
        <v>0</v>
      </c>
      <c r="K423" s="4">
        <v>0</v>
      </c>
      <c r="L423" s="4">
        <f t="shared" si="6"/>
        <v>0</v>
      </c>
      <c r="M423" s="4"/>
      <c r="P423" s="29" t="s">
        <v>3177</v>
      </c>
      <c r="T423" t="e">
        <f>VLOOKUP(C423,'Legal &amp; Wrt.off'!C:C,1,0)</f>
        <v>#N/A</v>
      </c>
    </row>
    <row r="424" spans="1:20" hidden="1" x14ac:dyDescent="0.35">
      <c r="A424" t="s">
        <v>2019</v>
      </c>
      <c r="B424" t="s">
        <v>46</v>
      </c>
      <c r="C424" t="s">
        <v>3651</v>
      </c>
      <c r="D424" t="s">
        <v>3652</v>
      </c>
      <c r="E424" s="16">
        <v>1.3404629000000001</v>
      </c>
      <c r="F424" s="4">
        <v>0</v>
      </c>
      <c r="G424" s="17">
        <v>1.3404629000000001</v>
      </c>
      <c r="H424" s="4">
        <v>1.3404629000000001</v>
      </c>
      <c r="I424" s="4">
        <v>0</v>
      </c>
      <c r="J424" s="4">
        <v>0</v>
      </c>
      <c r="K424" s="4">
        <v>0</v>
      </c>
      <c r="L424" s="4">
        <f t="shared" si="6"/>
        <v>0</v>
      </c>
      <c r="M424" s="4"/>
      <c r="P424" s="29" t="s">
        <v>3760</v>
      </c>
      <c r="T424" t="e">
        <f>VLOOKUP(C424,'Legal &amp; Wrt.off'!C:C,1,0)</f>
        <v>#N/A</v>
      </c>
    </row>
    <row r="425" spans="1:20" hidden="1" x14ac:dyDescent="0.35">
      <c r="A425" t="s">
        <v>2016</v>
      </c>
      <c r="B425" t="s">
        <v>93</v>
      </c>
      <c r="C425" t="s">
        <v>3653</v>
      </c>
      <c r="D425" t="s">
        <v>3654</v>
      </c>
      <c r="E425" s="16">
        <v>8.3018999999999506E-3</v>
      </c>
      <c r="F425" s="4">
        <v>0</v>
      </c>
      <c r="G425" s="17">
        <v>8.3018999999999506E-3</v>
      </c>
      <c r="H425" s="4">
        <v>8.3018999999999506E-3</v>
      </c>
      <c r="I425" s="4">
        <v>0</v>
      </c>
      <c r="J425" s="4">
        <v>0</v>
      </c>
      <c r="K425" s="4">
        <v>0</v>
      </c>
      <c r="L425" s="4">
        <f t="shared" si="6"/>
        <v>0</v>
      </c>
      <c r="M425" s="4"/>
      <c r="P425" s="29" t="s">
        <v>3177</v>
      </c>
      <c r="T425" t="e">
        <f>VLOOKUP(C425,'Legal &amp; Wrt.off'!C:C,1,0)</f>
        <v>#N/A</v>
      </c>
    </row>
    <row r="426" spans="1:20" hidden="1" x14ac:dyDescent="0.35">
      <c r="A426" t="s">
        <v>2019</v>
      </c>
      <c r="B426" t="s">
        <v>30</v>
      </c>
      <c r="C426" t="s">
        <v>657</v>
      </c>
      <c r="D426" t="s">
        <v>658</v>
      </c>
      <c r="E426" s="16">
        <v>0.52830300000000008</v>
      </c>
      <c r="F426" s="4">
        <v>0.33726860000000003</v>
      </c>
      <c r="G426" s="17">
        <v>0.19103439999999999</v>
      </c>
      <c r="H426" s="4">
        <v>0.19103439999999999</v>
      </c>
      <c r="I426" s="4">
        <v>0</v>
      </c>
      <c r="J426" s="4">
        <v>0</v>
      </c>
      <c r="K426" s="4">
        <v>0</v>
      </c>
      <c r="L426" s="4">
        <f t="shared" si="6"/>
        <v>0</v>
      </c>
      <c r="M426" s="4"/>
      <c r="P426" s="29" t="s">
        <v>3188</v>
      </c>
      <c r="T426" t="e">
        <f>VLOOKUP(C426,'Legal &amp; Wrt.off'!C:C,1,0)</f>
        <v>#N/A</v>
      </c>
    </row>
    <row r="427" spans="1:20" hidden="1" x14ac:dyDescent="0.35">
      <c r="A427" t="s">
        <v>2019</v>
      </c>
      <c r="B427" t="s">
        <v>16</v>
      </c>
      <c r="C427" t="s">
        <v>827</v>
      </c>
      <c r="D427" t="s">
        <v>828</v>
      </c>
      <c r="E427" s="16">
        <v>0.52544829999999998</v>
      </c>
      <c r="F427" s="4">
        <v>0.42693800000000004</v>
      </c>
      <c r="G427" s="17">
        <v>9.8510300000000009E-2</v>
      </c>
      <c r="H427" s="4">
        <v>9.8510300000000009E-2</v>
      </c>
      <c r="I427" s="4">
        <v>0</v>
      </c>
      <c r="J427" s="4">
        <v>0</v>
      </c>
      <c r="K427" s="4">
        <v>0</v>
      </c>
      <c r="L427" s="4">
        <f t="shared" si="6"/>
        <v>0</v>
      </c>
      <c r="M427" s="4"/>
      <c r="P427" s="29" t="s">
        <v>3742</v>
      </c>
      <c r="T427" t="e">
        <f>VLOOKUP(C427,'Legal &amp; Wrt.off'!C:C,1,0)</f>
        <v>#N/A</v>
      </c>
    </row>
    <row r="428" spans="1:20" hidden="1" x14ac:dyDescent="0.35">
      <c r="A428" t="s">
        <v>2018</v>
      </c>
      <c r="B428" t="s">
        <v>169</v>
      </c>
      <c r="C428" t="s">
        <v>713</v>
      </c>
      <c r="D428" t="s">
        <v>714</v>
      </c>
      <c r="E428" s="16">
        <v>2.2732701999999998</v>
      </c>
      <c r="F428" s="4">
        <v>0</v>
      </c>
      <c r="G428" s="17">
        <v>2.2732701999999998</v>
      </c>
      <c r="H428" s="4">
        <v>2.2732701999999998</v>
      </c>
      <c r="I428" s="4">
        <v>0</v>
      </c>
      <c r="J428" s="4">
        <v>0</v>
      </c>
      <c r="K428" s="4">
        <v>0</v>
      </c>
      <c r="L428" s="4">
        <f t="shared" si="6"/>
        <v>0</v>
      </c>
      <c r="M428" s="4"/>
      <c r="T428" t="e">
        <f>VLOOKUP(C428,'Legal &amp; Wrt.off'!C:C,1,0)</f>
        <v>#N/A</v>
      </c>
    </row>
    <row r="429" spans="1:20" hidden="1" x14ac:dyDescent="0.35">
      <c r="A429" t="s">
        <v>2019</v>
      </c>
      <c r="B429" t="s">
        <v>24</v>
      </c>
      <c r="C429" t="s">
        <v>3659</v>
      </c>
      <c r="D429" t="s">
        <v>3660</v>
      </c>
      <c r="E429" s="16">
        <v>1.9949037000000001</v>
      </c>
      <c r="F429" s="4">
        <v>0.57477319999999998</v>
      </c>
      <c r="G429" s="17">
        <v>1.4201305</v>
      </c>
      <c r="H429" s="4">
        <v>1.4201305</v>
      </c>
      <c r="I429" s="4">
        <v>0</v>
      </c>
      <c r="J429" s="4">
        <v>0</v>
      </c>
      <c r="K429" s="4">
        <v>0</v>
      </c>
      <c r="L429" s="4">
        <f t="shared" si="6"/>
        <v>0</v>
      </c>
      <c r="M429" s="4"/>
      <c r="T429" t="e">
        <f>VLOOKUP(C429,'Legal &amp; Wrt.off'!C:C,1,0)</f>
        <v>#N/A</v>
      </c>
    </row>
    <row r="430" spans="1:20" hidden="1" x14ac:dyDescent="0.35">
      <c r="A430" t="s">
        <v>2017</v>
      </c>
      <c r="B430" t="s">
        <v>55</v>
      </c>
      <c r="C430" t="s">
        <v>1109</v>
      </c>
      <c r="D430" t="s">
        <v>1110</v>
      </c>
      <c r="E430" s="16">
        <v>5.3471000000000594E-3</v>
      </c>
      <c r="F430" s="4">
        <v>0</v>
      </c>
      <c r="G430" s="17">
        <v>5.3471000000000594E-3</v>
      </c>
      <c r="H430" s="4">
        <v>5.3471000000000594E-3</v>
      </c>
      <c r="I430" s="4">
        <v>0</v>
      </c>
      <c r="J430" s="4">
        <v>0</v>
      </c>
      <c r="K430" s="4">
        <v>0</v>
      </c>
      <c r="L430" s="4">
        <f t="shared" si="6"/>
        <v>0</v>
      </c>
      <c r="M430" s="4"/>
      <c r="P430" s="29" t="s">
        <v>3737</v>
      </c>
      <c r="T430" t="e">
        <f>VLOOKUP(C430,'Legal &amp; Wrt.off'!C:C,1,0)</f>
        <v>#N/A</v>
      </c>
    </row>
    <row r="431" spans="1:20" hidden="1" x14ac:dyDescent="0.35">
      <c r="A431" t="s">
        <v>2019</v>
      </c>
      <c r="B431" t="s">
        <v>27</v>
      </c>
      <c r="C431" t="s">
        <v>259</v>
      </c>
      <c r="D431" t="s">
        <v>260</v>
      </c>
      <c r="E431" s="16">
        <v>2.1785549</v>
      </c>
      <c r="F431" s="4">
        <v>0</v>
      </c>
      <c r="G431" s="17">
        <v>2.1785549</v>
      </c>
      <c r="H431" s="4">
        <v>2.1785549</v>
      </c>
      <c r="I431" s="4">
        <v>0</v>
      </c>
      <c r="J431" s="4">
        <v>0</v>
      </c>
      <c r="K431" s="4">
        <v>0</v>
      </c>
      <c r="L431" s="4">
        <f t="shared" si="6"/>
        <v>0</v>
      </c>
      <c r="M431" s="4"/>
      <c r="P431" s="29" t="s">
        <v>3746</v>
      </c>
      <c r="Q431" s="19">
        <v>46181</v>
      </c>
      <c r="T431" t="e">
        <f>VLOOKUP(C431,'Legal &amp; Wrt.off'!C:C,1,0)</f>
        <v>#N/A</v>
      </c>
    </row>
    <row r="432" spans="1:20" hidden="1" x14ac:dyDescent="0.35">
      <c r="A432" t="s">
        <v>2019</v>
      </c>
      <c r="B432" t="s">
        <v>46</v>
      </c>
      <c r="C432" t="s">
        <v>3661</v>
      </c>
      <c r="D432" t="s">
        <v>3662</v>
      </c>
      <c r="E432" s="16">
        <v>0.67869570000000012</v>
      </c>
      <c r="F432" s="4">
        <v>0.10827680000000001</v>
      </c>
      <c r="G432" s="17">
        <v>0.57041889999999995</v>
      </c>
      <c r="H432" s="4">
        <v>0.57041889999999995</v>
      </c>
      <c r="I432" s="4">
        <v>0</v>
      </c>
      <c r="J432" s="4">
        <v>0</v>
      </c>
      <c r="K432" s="4">
        <v>0</v>
      </c>
      <c r="L432" s="4">
        <f t="shared" si="6"/>
        <v>0</v>
      </c>
      <c r="M432" s="4"/>
      <c r="T432" t="e">
        <f>VLOOKUP(C432,'Legal &amp; Wrt.off'!C:C,1,0)</f>
        <v>#N/A</v>
      </c>
    </row>
    <row r="433" spans="1:20" hidden="1" x14ac:dyDescent="0.35">
      <c r="A433" t="s">
        <v>2017</v>
      </c>
      <c r="B433" t="s">
        <v>55</v>
      </c>
      <c r="C433" t="s">
        <v>3665</v>
      </c>
      <c r="D433" t="s">
        <v>3666</v>
      </c>
      <c r="E433" s="16">
        <v>9.8567999999999295E-3</v>
      </c>
      <c r="F433" s="4">
        <v>0</v>
      </c>
      <c r="G433" s="17">
        <v>9.8567999999999295E-3</v>
      </c>
      <c r="H433" s="4">
        <v>9.8567999999999295E-3</v>
      </c>
      <c r="I433" s="4">
        <v>0</v>
      </c>
      <c r="J433" s="4">
        <v>0</v>
      </c>
      <c r="K433" s="4">
        <v>0</v>
      </c>
      <c r="L433" s="4">
        <f t="shared" si="6"/>
        <v>0</v>
      </c>
      <c r="M433" s="4"/>
      <c r="P433" s="29" t="s">
        <v>3737</v>
      </c>
      <c r="T433" t="e">
        <f>VLOOKUP(C433,'Legal &amp; Wrt.off'!C:C,1,0)</f>
        <v>#N/A</v>
      </c>
    </row>
    <row r="434" spans="1:20" hidden="1" x14ac:dyDescent="0.35">
      <c r="A434" t="s">
        <v>2018</v>
      </c>
      <c r="B434" t="s">
        <v>169</v>
      </c>
      <c r="C434" t="s">
        <v>1015</v>
      </c>
      <c r="D434" t="s">
        <v>1016</v>
      </c>
      <c r="E434" s="16">
        <v>3.4578899999999996E-2</v>
      </c>
      <c r="F434" s="4">
        <v>0</v>
      </c>
      <c r="G434" s="17">
        <v>3.4578899999999996E-2</v>
      </c>
      <c r="H434" s="4">
        <v>3.4578899999999996E-2</v>
      </c>
      <c r="I434" s="4">
        <v>0</v>
      </c>
      <c r="J434" s="4">
        <v>0</v>
      </c>
      <c r="K434" s="4">
        <v>0</v>
      </c>
      <c r="L434" s="4">
        <f t="shared" si="6"/>
        <v>0</v>
      </c>
      <c r="M434" s="4"/>
      <c r="T434" t="e">
        <f>VLOOKUP(C434,'Legal &amp; Wrt.off'!C:C,1,0)</f>
        <v>#N/A</v>
      </c>
    </row>
    <row r="435" spans="1:20" hidden="1" x14ac:dyDescent="0.35">
      <c r="A435" t="s">
        <v>2019</v>
      </c>
      <c r="B435" t="s">
        <v>30</v>
      </c>
      <c r="C435" t="s">
        <v>1425</v>
      </c>
      <c r="D435" t="s">
        <v>1426</v>
      </c>
      <c r="E435" s="16">
        <v>0.2211129</v>
      </c>
      <c r="F435" s="4">
        <v>0</v>
      </c>
      <c r="G435" s="17">
        <v>0.2211129</v>
      </c>
      <c r="H435" s="4">
        <v>0.22103759999999997</v>
      </c>
      <c r="I435" s="4">
        <v>0</v>
      </c>
      <c r="J435" s="4">
        <v>7.5300000000000001E-5</v>
      </c>
      <c r="K435" s="4">
        <v>0</v>
      </c>
      <c r="L435" s="4">
        <f t="shared" si="6"/>
        <v>7.5300000000000001E-5</v>
      </c>
      <c r="M435" s="4"/>
      <c r="P435" s="29" t="s">
        <v>3188</v>
      </c>
      <c r="T435" t="e">
        <f>VLOOKUP(C435,'Legal &amp; Wrt.off'!C:C,1,0)</f>
        <v>#N/A</v>
      </c>
    </row>
    <row r="436" spans="1:20" hidden="1" x14ac:dyDescent="0.35">
      <c r="A436" t="s">
        <v>2017</v>
      </c>
      <c r="B436" t="s">
        <v>55</v>
      </c>
      <c r="C436" t="s">
        <v>160</v>
      </c>
      <c r="D436" t="s">
        <v>161</v>
      </c>
      <c r="E436" s="16">
        <v>8.8652999999999892E-3</v>
      </c>
      <c r="F436" s="4">
        <v>0</v>
      </c>
      <c r="G436" s="17">
        <v>8.8652999999999892E-3</v>
      </c>
      <c r="H436" s="4">
        <v>0</v>
      </c>
      <c r="I436" s="4">
        <v>8.8652999999999892E-3</v>
      </c>
      <c r="J436" s="4">
        <v>0</v>
      </c>
      <c r="K436" s="4">
        <v>0</v>
      </c>
      <c r="L436" s="4">
        <f t="shared" si="6"/>
        <v>8.8652999999999892E-3</v>
      </c>
      <c r="M436" s="4"/>
      <c r="P436" s="29" t="s">
        <v>3737</v>
      </c>
      <c r="T436" t="e">
        <f>VLOOKUP(C436,'Legal &amp; Wrt.off'!C:C,1,0)</f>
        <v>#N/A</v>
      </c>
    </row>
    <row r="437" spans="1:20" hidden="1" x14ac:dyDescent="0.35">
      <c r="A437" t="s">
        <v>2017</v>
      </c>
      <c r="B437" t="s">
        <v>88</v>
      </c>
      <c r="C437" t="s">
        <v>1075</v>
      </c>
      <c r="D437" t="s">
        <v>1076</v>
      </c>
      <c r="E437" s="16">
        <v>1.35578E-2</v>
      </c>
      <c r="F437" s="4">
        <v>0</v>
      </c>
      <c r="G437" s="17">
        <v>1.35578E-2</v>
      </c>
      <c r="H437" s="4">
        <v>1.35578E-2</v>
      </c>
      <c r="I437" s="4">
        <v>0</v>
      </c>
      <c r="J437" s="4">
        <v>0</v>
      </c>
      <c r="K437" s="4">
        <v>0</v>
      </c>
      <c r="L437" s="4">
        <f t="shared" si="6"/>
        <v>0</v>
      </c>
      <c r="M437" s="4"/>
      <c r="P437" s="29" t="s">
        <v>3738</v>
      </c>
      <c r="T437" t="e">
        <f>VLOOKUP(C437,'Legal &amp; Wrt.off'!C:C,1,0)</f>
        <v>#N/A</v>
      </c>
    </row>
    <row r="438" spans="1:20" hidden="1" x14ac:dyDescent="0.35">
      <c r="A438" t="s">
        <v>2017</v>
      </c>
      <c r="B438" t="s">
        <v>19</v>
      </c>
      <c r="C438" t="s">
        <v>271</v>
      </c>
      <c r="D438" t="s">
        <v>272</v>
      </c>
      <c r="E438" s="16">
        <v>1.0065694000000001</v>
      </c>
      <c r="F438" s="4">
        <v>0.46784100000000001</v>
      </c>
      <c r="G438" s="17">
        <v>0.5387284</v>
      </c>
      <c r="H438" s="4">
        <v>0.5387284</v>
      </c>
      <c r="I438" s="4">
        <v>0</v>
      </c>
      <c r="J438" s="4">
        <v>0</v>
      </c>
      <c r="K438" s="4">
        <v>0</v>
      </c>
      <c r="L438" s="4">
        <f t="shared" si="6"/>
        <v>0</v>
      </c>
      <c r="M438" s="4"/>
      <c r="T438" t="e">
        <f>VLOOKUP(C438,'Legal &amp; Wrt.off'!C:C,1,0)</f>
        <v>#N/A</v>
      </c>
    </row>
    <row r="439" spans="1:20" hidden="1" x14ac:dyDescent="0.35">
      <c r="A439" t="s">
        <v>2019</v>
      </c>
      <c r="B439" t="s">
        <v>30</v>
      </c>
      <c r="C439" t="s">
        <v>519</v>
      </c>
      <c r="D439" t="s">
        <v>520</v>
      </c>
      <c r="E439" s="16">
        <v>0.79337570000000002</v>
      </c>
      <c r="F439" s="4">
        <v>0.22791819999999999</v>
      </c>
      <c r="G439" s="17">
        <v>0.56545749999999995</v>
      </c>
      <c r="H439" s="4">
        <v>0.56545749999999995</v>
      </c>
      <c r="I439" s="4">
        <v>0</v>
      </c>
      <c r="J439" s="4">
        <v>0</v>
      </c>
      <c r="K439" s="4">
        <v>0</v>
      </c>
      <c r="L439" s="4">
        <f t="shared" si="6"/>
        <v>0</v>
      </c>
      <c r="M439" s="4"/>
      <c r="P439" s="29" t="s">
        <v>3188</v>
      </c>
      <c r="T439" t="e">
        <f>VLOOKUP(C439,'Legal &amp; Wrt.off'!C:C,1,0)</f>
        <v>#N/A</v>
      </c>
    </row>
    <row r="440" spans="1:20" hidden="1" x14ac:dyDescent="0.35">
      <c r="A440" t="s">
        <v>2017</v>
      </c>
      <c r="B440" t="s">
        <v>210</v>
      </c>
      <c r="C440" t="s">
        <v>553</v>
      </c>
      <c r="D440" t="s">
        <v>554</v>
      </c>
      <c r="E440" s="16">
        <v>0.90930800000000001</v>
      </c>
      <c r="F440" s="4">
        <v>0</v>
      </c>
      <c r="G440" s="17">
        <v>0.90930800000000001</v>
      </c>
      <c r="H440" s="4">
        <v>0.90930800000000001</v>
      </c>
      <c r="I440" s="4">
        <v>0</v>
      </c>
      <c r="J440" s="4">
        <v>0</v>
      </c>
      <c r="K440" s="4">
        <v>0</v>
      </c>
      <c r="L440" s="4">
        <f t="shared" si="6"/>
        <v>0</v>
      </c>
      <c r="M440" s="4"/>
      <c r="T440" t="e">
        <f>VLOOKUP(C440,'Legal &amp; Wrt.off'!C:C,1,0)</f>
        <v>#N/A</v>
      </c>
    </row>
    <row r="441" spans="1:20" hidden="1" x14ac:dyDescent="0.35">
      <c r="A441" t="s">
        <v>2018</v>
      </c>
      <c r="B441" t="s">
        <v>275</v>
      </c>
      <c r="C441" t="s">
        <v>759</v>
      </c>
      <c r="D441" t="s">
        <v>760</v>
      </c>
      <c r="E441" s="16">
        <v>0.68597419999999998</v>
      </c>
      <c r="F441" s="4">
        <v>4.0186100000000002E-2</v>
      </c>
      <c r="G441" s="17">
        <v>0.64578809999999998</v>
      </c>
      <c r="H441" s="4">
        <v>0.64578400000000002</v>
      </c>
      <c r="I441" s="4">
        <v>4.1000000000349203E-6</v>
      </c>
      <c r="J441" s="4">
        <v>0</v>
      </c>
      <c r="K441" s="4">
        <v>0</v>
      </c>
      <c r="L441" s="4">
        <f t="shared" si="6"/>
        <v>4.1000000000349203E-6</v>
      </c>
      <c r="M441" s="4"/>
      <c r="T441" t="e">
        <f>VLOOKUP(C441,'Legal &amp; Wrt.off'!C:C,1,0)</f>
        <v>#N/A</v>
      </c>
    </row>
    <row r="442" spans="1:20" hidden="1" x14ac:dyDescent="0.35">
      <c r="A442" t="s">
        <v>2017</v>
      </c>
      <c r="B442" t="s">
        <v>210</v>
      </c>
      <c r="C442" t="s">
        <v>929</v>
      </c>
      <c r="D442" t="s">
        <v>930</v>
      </c>
      <c r="E442" s="16">
        <v>1.5362300000000001E-2</v>
      </c>
      <c r="F442" s="4">
        <v>0</v>
      </c>
      <c r="G442" s="17">
        <v>1.5362300000000001E-2</v>
      </c>
      <c r="H442" s="4">
        <v>1.5362300000000001E-2</v>
      </c>
      <c r="I442" s="4">
        <v>0</v>
      </c>
      <c r="J442" s="4">
        <v>0</v>
      </c>
      <c r="K442" s="4">
        <v>0</v>
      </c>
      <c r="L442" s="4">
        <f t="shared" si="6"/>
        <v>0</v>
      </c>
      <c r="M442" s="4"/>
      <c r="P442" s="29" t="s">
        <v>3709</v>
      </c>
      <c r="T442" t="e">
        <f>VLOOKUP(C442,'Legal &amp; Wrt.off'!C:C,1,0)</f>
        <v>#N/A</v>
      </c>
    </row>
    <row r="443" spans="1:20" hidden="1" x14ac:dyDescent="0.35">
      <c r="A443" t="s">
        <v>2018</v>
      </c>
      <c r="B443" t="s">
        <v>275</v>
      </c>
      <c r="C443" t="s">
        <v>1079</v>
      </c>
      <c r="D443" t="s">
        <v>1080</v>
      </c>
      <c r="E443" s="16">
        <v>1.078E-2</v>
      </c>
      <c r="F443" s="4">
        <v>0</v>
      </c>
      <c r="G443" s="17">
        <v>1.078E-2</v>
      </c>
      <c r="H443" s="4">
        <v>1.078E-2</v>
      </c>
      <c r="I443" s="4">
        <v>0</v>
      </c>
      <c r="J443" s="4">
        <v>0</v>
      </c>
      <c r="K443" s="4">
        <v>0</v>
      </c>
      <c r="L443" s="4">
        <f t="shared" si="6"/>
        <v>0</v>
      </c>
      <c r="M443" s="4"/>
      <c r="T443" t="e">
        <f>VLOOKUP(C443,'Legal &amp; Wrt.off'!C:C,1,0)</f>
        <v>#N/A</v>
      </c>
    </row>
    <row r="444" spans="1:20" hidden="1" x14ac:dyDescent="0.35">
      <c r="A444" t="s">
        <v>2018</v>
      </c>
      <c r="B444" t="s">
        <v>275</v>
      </c>
      <c r="C444" t="s">
        <v>1093</v>
      </c>
      <c r="D444" t="s">
        <v>1094</v>
      </c>
      <c r="E444" s="16">
        <v>1.1997000000000001E-2</v>
      </c>
      <c r="F444" s="4">
        <v>0</v>
      </c>
      <c r="G444" s="17">
        <v>1.1997000000000001E-2</v>
      </c>
      <c r="H444" s="4">
        <v>1.106E-2</v>
      </c>
      <c r="I444" s="4">
        <v>0</v>
      </c>
      <c r="J444" s="4">
        <v>0</v>
      </c>
      <c r="K444" s="4">
        <v>9.3700000000000001E-4</v>
      </c>
      <c r="L444" s="4">
        <f t="shared" si="6"/>
        <v>9.3700000000000001E-4</v>
      </c>
      <c r="M444" s="4"/>
      <c r="T444" t="e">
        <f>VLOOKUP(C444,'Legal &amp; Wrt.off'!C:C,1,0)</f>
        <v>#N/A</v>
      </c>
    </row>
    <row r="445" spans="1:20" hidden="1" x14ac:dyDescent="0.35">
      <c r="A445" t="s">
        <v>2018</v>
      </c>
      <c r="B445" t="s">
        <v>275</v>
      </c>
      <c r="C445" t="s">
        <v>1097</v>
      </c>
      <c r="D445" t="s">
        <v>1098</v>
      </c>
      <c r="E445" s="16">
        <v>3.9369499999999995E-2</v>
      </c>
      <c r="F445" s="4">
        <v>0</v>
      </c>
      <c r="G445" s="17">
        <v>3.9369499999999995E-2</v>
      </c>
      <c r="H445" s="4">
        <v>3.9369499999999995E-2</v>
      </c>
      <c r="I445" s="4">
        <v>0</v>
      </c>
      <c r="J445" s="4">
        <v>0</v>
      </c>
      <c r="K445" s="4">
        <v>0</v>
      </c>
      <c r="L445" s="4">
        <f t="shared" si="6"/>
        <v>0</v>
      </c>
      <c r="M445" s="4"/>
      <c r="T445" t="e">
        <f>VLOOKUP(C445,'Legal &amp; Wrt.off'!C:C,1,0)</f>
        <v>#N/A</v>
      </c>
    </row>
    <row r="446" spans="1:20" hidden="1" x14ac:dyDescent="0.35">
      <c r="A446" t="s">
        <v>2019</v>
      </c>
      <c r="B446" t="s">
        <v>30</v>
      </c>
      <c r="C446" t="s">
        <v>1207</v>
      </c>
      <c r="D446" t="s">
        <v>1208</v>
      </c>
      <c r="E446" s="16">
        <v>0.59268860000000001</v>
      </c>
      <c r="F446" s="4">
        <v>0</v>
      </c>
      <c r="G446" s="17">
        <v>0.59268860000000001</v>
      </c>
      <c r="H446" s="4">
        <v>0.59268860000000001</v>
      </c>
      <c r="I446" s="4">
        <v>0</v>
      </c>
      <c r="J446" s="4">
        <v>0</v>
      </c>
      <c r="K446" s="4">
        <v>0</v>
      </c>
      <c r="L446" s="4">
        <f t="shared" si="6"/>
        <v>0</v>
      </c>
      <c r="M446" s="4"/>
      <c r="P446" s="29" t="s">
        <v>3188</v>
      </c>
      <c r="T446" t="e">
        <f>VLOOKUP(C446,'Legal &amp; Wrt.off'!C:C,1,0)</f>
        <v>#N/A</v>
      </c>
    </row>
    <row r="447" spans="1:20" hidden="1" x14ac:dyDescent="0.35">
      <c r="A447" t="s">
        <v>3509</v>
      </c>
      <c r="B447" t="s">
        <v>3229</v>
      </c>
      <c r="C447" t="s">
        <v>3671</v>
      </c>
      <c r="D447" t="s">
        <v>3672</v>
      </c>
      <c r="E447" s="16">
        <v>0</v>
      </c>
      <c r="F447" s="4">
        <v>0</v>
      </c>
      <c r="G447" s="17">
        <v>5.0197526000000003</v>
      </c>
      <c r="H447" s="4">
        <v>5.0197526000000003</v>
      </c>
      <c r="I447" s="4">
        <v>0</v>
      </c>
      <c r="J447" s="4">
        <v>0</v>
      </c>
      <c r="K447" s="4">
        <v>0</v>
      </c>
      <c r="L447" s="4">
        <f t="shared" si="6"/>
        <v>0</v>
      </c>
      <c r="M447" s="4"/>
      <c r="T447" t="e">
        <f>VLOOKUP(C447,'Legal &amp; Wrt.off'!C:C,1,0)</f>
        <v>#N/A</v>
      </c>
    </row>
    <row r="448" spans="1:20" hidden="1" x14ac:dyDescent="0.35">
      <c r="A448" t="s">
        <v>3509</v>
      </c>
      <c r="B448" t="s">
        <v>3325</v>
      </c>
      <c r="C448" t="s">
        <v>3673</v>
      </c>
      <c r="D448" t="s">
        <v>3674</v>
      </c>
      <c r="E448" s="16">
        <v>0</v>
      </c>
      <c r="F448" s="4">
        <v>0</v>
      </c>
      <c r="G448" s="17">
        <v>1.2259599999999999</v>
      </c>
      <c r="H448" s="4">
        <v>1.2259599999999999</v>
      </c>
      <c r="I448" s="4">
        <v>0</v>
      </c>
      <c r="J448" s="4">
        <v>0</v>
      </c>
      <c r="K448" s="4">
        <v>0</v>
      </c>
      <c r="L448" s="4">
        <f t="shared" si="6"/>
        <v>0</v>
      </c>
      <c r="M448" s="4"/>
      <c r="T448" t="e">
        <f>VLOOKUP(C448,'Legal &amp; Wrt.off'!C:C,1,0)</f>
        <v>#N/A</v>
      </c>
    </row>
    <row r="449" spans="1:20" hidden="1" x14ac:dyDescent="0.35">
      <c r="A449" t="s">
        <v>3509</v>
      </c>
      <c r="B449" t="s">
        <v>3272</v>
      </c>
      <c r="C449" t="s">
        <v>3765</v>
      </c>
      <c r="D449" t="s">
        <v>3766</v>
      </c>
      <c r="E449" s="16">
        <v>0</v>
      </c>
      <c r="F449" s="4">
        <v>0</v>
      </c>
      <c r="G449" s="17">
        <v>0.50975999999999999</v>
      </c>
      <c r="H449" s="4">
        <v>0.50975999999999999</v>
      </c>
      <c r="I449" s="4">
        <v>0</v>
      </c>
      <c r="J449" s="4">
        <v>0</v>
      </c>
      <c r="K449" s="4">
        <v>0</v>
      </c>
      <c r="L449" s="4">
        <f t="shared" si="6"/>
        <v>0</v>
      </c>
      <c r="M449" s="4"/>
      <c r="T449" t="e">
        <f>VLOOKUP(C449,'Legal &amp; Wrt.off'!C:C,1,0)</f>
        <v>#N/A</v>
      </c>
    </row>
  </sheetData>
  <autoFilter ref="A4:T449" xr:uid="{7E14DD32-6779-4C98-B964-0FE7C42DE72F}">
    <filterColumn colId="11">
      <filters>
        <filter val="0.09"/>
        <filter val="0.14"/>
        <filter val="0.34"/>
        <filter val="0.38"/>
        <filter val="0.40"/>
        <filter val="0.59"/>
        <filter val="0.66"/>
        <filter val="0.71"/>
        <filter val="0.87"/>
        <filter val="0.90"/>
        <filter val="1.12"/>
        <filter val="1.24"/>
        <filter val="1.40"/>
        <filter val="1.85"/>
        <filter val="1.99"/>
        <filter val="2.00"/>
        <filter val="2.98"/>
        <filter val="3.05"/>
        <filter val="3.19"/>
        <filter val="3.47"/>
        <filter val="4.17"/>
        <filter val="4.74"/>
        <filter val="4.77"/>
        <filter val="6.39"/>
        <filter val="7.18"/>
      </filters>
    </filterColumn>
  </autoFilter>
  <dataValidations count="1">
    <dataValidation type="list" allowBlank="1" showInputMessage="1" showErrorMessage="1" sqref="R5:R344" xr:uid="{AB1BB7FD-A733-4630-A7B1-6A44F510A3FA}">
      <formula1>Remarks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D8BC1-AF0A-4BCD-B5A6-AEF94DB7B01F}">
  <sheetPr codeName="Sheet1">
    <tabColor rgb="FFFFFF00"/>
  </sheetPr>
  <dimension ref="A3:O1155"/>
  <sheetViews>
    <sheetView zoomScale="80" zoomScaleNormal="8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C5" sqref="C5"/>
    </sheetView>
  </sheetViews>
  <sheetFormatPr defaultRowHeight="14.5" x14ac:dyDescent="0.35"/>
  <cols>
    <col min="1" max="1" width="12" customWidth="1"/>
    <col min="2" max="2" width="13.1796875" customWidth="1"/>
    <col min="3" max="3" width="38.453125" customWidth="1"/>
    <col min="4" max="4" width="16.90625" style="5" bestFit="1" customWidth="1"/>
    <col min="5" max="5" width="15.81640625" style="5" bestFit="1" customWidth="1"/>
    <col min="6" max="6" width="17.6328125" style="5" customWidth="1"/>
    <col min="7" max="7" width="15.7265625" style="5" bestFit="1" customWidth="1"/>
    <col min="8" max="12" width="14" style="5" bestFit="1" customWidth="1"/>
    <col min="13" max="14" width="15.7265625" style="5" bestFit="1" customWidth="1"/>
    <col min="15" max="15" width="8.81640625" style="5" bestFit="1" customWidth="1"/>
  </cols>
  <sheetData>
    <row r="3" spans="1:15" x14ac:dyDescent="0.35">
      <c r="A3" s="28" t="s">
        <v>0</v>
      </c>
      <c r="B3" s="28"/>
      <c r="C3" s="1">
        <v>46179</v>
      </c>
      <c r="D3" s="2">
        <f>SUBTOTAL(9,D5:D1081)</f>
        <v>275125112.93999988</v>
      </c>
      <c r="E3" s="2">
        <f>SUBTOTAL(9,E5:E1081)</f>
        <v>205952189.52999997</v>
      </c>
      <c r="F3" s="2">
        <f t="shared" ref="F3:O3" si="0">SUBTOTAL(9,F5:F108100)</f>
        <v>85894398.670000061</v>
      </c>
      <c r="G3" s="2">
        <f t="shared" si="0"/>
        <v>15811916.080000004</v>
      </c>
      <c r="H3" s="2">
        <f t="shared" si="0"/>
        <v>12554236.07</v>
      </c>
      <c r="I3" s="2">
        <f t="shared" si="0"/>
        <v>9700169.959999999</v>
      </c>
      <c r="J3" s="2">
        <f t="shared" si="0"/>
        <v>6747611.7500000019</v>
      </c>
      <c r="K3" s="2">
        <f t="shared" si="0"/>
        <v>3265852.16</v>
      </c>
      <c r="L3" s="2">
        <f t="shared" si="0"/>
        <v>3987978.4900000012</v>
      </c>
      <c r="M3" s="2">
        <f t="shared" si="0"/>
        <v>17097870.459999993</v>
      </c>
      <c r="N3" s="2">
        <f t="shared" si="0"/>
        <v>16728763.700000005</v>
      </c>
      <c r="O3" s="2">
        <f t="shared" si="0"/>
        <v>0</v>
      </c>
    </row>
    <row r="4" spans="1:15" ht="28" x14ac:dyDescent="0.35">
      <c r="A4" s="3" t="s">
        <v>1</v>
      </c>
      <c r="B4" s="3" t="s">
        <v>2</v>
      </c>
      <c r="C4" s="3" t="s">
        <v>3</v>
      </c>
      <c r="D4" s="3" t="s">
        <v>4</v>
      </c>
      <c r="E4" s="3" t="s">
        <v>5</v>
      </c>
      <c r="F4" s="3" t="s">
        <v>6</v>
      </c>
      <c r="G4" s="6" t="s">
        <v>7</v>
      </c>
      <c r="H4" s="6" t="s">
        <v>8</v>
      </c>
      <c r="I4" s="6" t="s">
        <v>9</v>
      </c>
      <c r="J4" s="6" t="s">
        <v>10</v>
      </c>
      <c r="K4" s="6" t="s">
        <v>11</v>
      </c>
      <c r="L4" s="6" t="s">
        <v>12</v>
      </c>
      <c r="M4" s="6" t="s">
        <v>13</v>
      </c>
      <c r="N4" s="6" t="s">
        <v>14</v>
      </c>
      <c r="O4" s="6" t="s">
        <v>15</v>
      </c>
    </row>
    <row r="5" spans="1:15" x14ac:dyDescent="0.35">
      <c r="A5" t="s">
        <v>19</v>
      </c>
      <c r="B5" t="s">
        <v>651</v>
      </c>
      <c r="C5" t="s">
        <v>652</v>
      </c>
      <c r="D5">
        <v>384085.78</v>
      </c>
      <c r="E5">
        <v>384085.78</v>
      </c>
      <c r="F5" s="23">
        <v>0</v>
      </c>
      <c r="G5" s="23"/>
      <c r="H5" s="23"/>
      <c r="I5" s="24">
        <v>0</v>
      </c>
      <c r="J5" s="24"/>
      <c r="K5" s="24"/>
      <c r="L5" s="24"/>
      <c r="M5" s="24"/>
      <c r="N5" s="24"/>
      <c r="O5" s="24"/>
    </row>
    <row r="6" spans="1:15" x14ac:dyDescent="0.35">
      <c r="A6" t="s">
        <v>210</v>
      </c>
      <c r="B6" t="s">
        <v>387</v>
      </c>
      <c r="C6" t="s">
        <v>388</v>
      </c>
      <c r="D6">
        <v>773964.88</v>
      </c>
      <c r="E6">
        <v>773964.88</v>
      </c>
      <c r="F6" s="23">
        <v>0</v>
      </c>
      <c r="G6" s="23">
        <v>0</v>
      </c>
      <c r="H6" s="23">
        <v>0</v>
      </c>
      <c r="I6" s="24">
        <v>0</v>
      </c>
      <c r="J6" s="24">
        <v>0</v>
      </c>
      <c r="K6" s="24"/>
      <c r="L6" s="24"/>
      <c r="M6" s="24"/>
      <c r="N6" s="24"/>
      <c r="O6" s="24"/>
    </row>
    <row r="7" spans="1:15" x14ac:dyDescent="0.35">
      <c r="A7" t="s">
        <v>16</v>
      </c>
      <c r="B7" t="s">
        <v>771</v>
      </c>
      <c r="C7" t="s">
        <v>772</v>
      </c>
      <c r="D7">
        <v>190998.1</v>
      </c>
      <c r="E7">
        <v>190998.1</v>
      </c>
      <c r="F7" s="23">
        <v>0</v>
      </c>
      <c r="G7" s="23"/>
      <c r="H7" s="23"/>
      <c r="I7" s="24">
        <v>0</v>
      </c>
      <c r="J7" s="24">
        <v>0</v>
      </c>
      <c r="K7" s="24"/>
      <c r="L7" s="24"/>
      <c r="M7" s="24"/>
      <c r="N7" s="24"/>
      <c r="O7" s="24"/>
    </row>
    <row r="8" spans="1:15" x14ac:dyDescent="0.35">
      <c r="A8" t="s">
        <v>16</v>
      </c>
      <c r="B8" t="s">
        <v>261</v>
      </c>
      <c r="C8" t="s">
        <v>262</v>
      </c>
      <c r="D8">
        <v>254065.40000000002</v>
      </c>
      <c r="E8">
        <v>254065.40000000002</v>
      </c>
      <c r="F8" s="4">
        <v>0</v>
      </c>
      <c r="G8" s="4">
        <v>0</v>
      </c>
      <c r="H8" s="4">
        <v>0</v>
      </c>
      <c r="I8" s="24">
        <v>0</v>
      </c>
      <c r="J8" s="24"/>
      <c r="K8" s="24"/>
      <c r="L8" s="24"/>
      <c r="M8" s="24"/>
      <c r="N8" s="24"/>
      <c r="O8" s="24"/>
    </row>
    <row r="9" spans="1:15" x14ac:dyDescent="0.35">
      <c r="A9" t="s">
        <v>46</v>
      </c>
      <c r="B9" t="s">
        <v>1061</v>
      </c>
      <c r="C9" t="s">
        <v>1062</v>
      </c>
      <c r="D9">
        <v>80277.200000000012</v>
      </c>
      <c r="E9">
        <v>80277.200000000012</v>
      </c>
      <c r="F9" s="4">
        <v>0</v>
      </c>
      <c r="G9" s="4"/>
      <c r="H9" s="4"/>
      <c r="I9" s="24">
        <v>0</v>
      </c>
      <c r="J9" s="24"/>
      <c r="K9" s="24"/>
      <c r="L9" s="24"/>
      <c r="M9" s="24"/>
      <c r="N9" s="24"/>
      <c r="O9" s="24"/>
    </row>
    <row r="10" spans="1:15" x14ac:dyDescent="0.35">
      <c r="A10" t="s">
        <v>19</v>
      </c>
      <c r="B10" t="s">
        <v>421</v>
      </c>
      <c r="C10" t="s">
        <v>422</v>
      </c>
      <c r="D10">
        <v>292758.26</v>
      </c>
      <c r="E10">
        <v>292758.26</v>
      </c>
      <c r="F10" s="4">
        <v>0</v>
      </c>
      <c r="G10" s="4">
        <v>0</v>
      </c>
      <c r="H10" s="4">
        <v>0</v>
      </c>
      <c r="I10" s="24">
        <v>0</v>
      </c>
      <c r="J10" s="24">
        <v>0</v>
      </c>
      <c r="K10" s="24">
        <v>0</v>
      </c>
      <c r="L10" s="24"/>
      <c r="M10" s="24"/>
      <c r="N10" s="24"/>
      <c r="O10" s="24"/>
    </row>
    <row r="11" spans="1:15" x14ac:dyDescent="0.35">
      <c r="A11" t="s">
        <v>210</v>
      </c>
      <c r="B11" t="s">
        <v>1389</v>
      </c>
      <c r="C11" t="s">
        <v>1390</v>
      </c>
      <c r="D11">
        <v>174835</v>
      </c>
      <c r="E11"/>
      <c r="F11" s="4">
        <v>174835</v>
      </c>
      <c r="G11" s="4">
        <v>5316.95</v>
      </c>
      <c r="H11" s="4"/>
      <c r="I11" s="24"/>
      <c r="J11" s="24"/>
      <c r="K11" s="24">
        <v>2986.1</v>
      </c>
      <c r="L11" s="24"/>
      <c r="M11" s="24">
        <v>166531.95000000001</v>
      </c>
      <c r="N11" s="24"/>
      <c r="O11" s="24"/>
    </row>
    <row r="12" spans="1:15" x14ac:dyDescent="0.35">
      <c r="A12" t="s">
        <v>16</v>
      </c>
      <c r="B12" t="s">
        <v>154</v>
      </c>
      <c r="C12" t="s">
        <v>155</v>
      </c>
      <c r="D12">
        <v>877589.73999999987</v>
      </c>
      <c r="E12">
        <v>877589.73999999987</v>
      </c>
      <c r="F12" s="4">
        <v>0</v>
      </c>
      <c r="G12" s="4">
        <v>0</v>
      </c>
      <c r="H12" s="4">
        <v>0</v>
      </c>
      <c r="I12" s="24">
        <v>0</v>
      </c>
      <c r="J12" s="24">
        <v>0</v>
      </c>
      <c r="K12" s="24"/>
      <c r="L12" s="24"/>
      <c r="M12" s="24"/>
      <c r="N12" s="24"/>
      <c r="O12" s="24"/>
    </row>
    <row r="13" spans="1:15" x14ac:dyDescent="0.35">
      <c r="A13" t="s">
        <v>16</v>
      </c>
      <c r="B13" t="s">
        <v>575</v>
      </c>
      <c r="C13" t="s">
        <v>576</v>
      </c>
      <c r="D13">
        <v>391400.49</v>
      </c>
      <c r="E13">
        <v>389231.1</v>
      </c>
      <c r="F13" s="4">
        <v>2169.39</v>
      </c>
      <c r="G13" s="4">
        <v>2169.39</v>
      </c>
      <c r="H13" s="4">
        <v>0</v>
      </c>
      <c r="I13" s="24">
        <v>0</v>
      </c>
      <c r="J13" s="24">
        <v>0</v>
      </c>
      <c r="K13" s="24"/>
      <c r="L13" s="24"/>
      <c r="M13" s="24"/>
      <c r="N13" s="24"/>
      <c r="O13" s="24"/>
    </row>
    <row r="14" spans="1:15" x14ac:dyDescent="0.35">
      <c r="A14" t="s">
        <v>93</v>
      </c>
      <c r="B14" t="s">
        <v>487</v>
      </c>
      <c r="C14" t="s">
        <v>488</v>
      </c>
      <c r="D14">
        <v>135051.76</v>
      </c>
      <c r="E14">
        <v>135051.76</v>
      </c>
      <c r="F14" s="4">
        <v>0</v>
      </c>
      <c r="G14" s="4">
        <v>0</v>
      </c>
      <c r="H14" s="4">
        <v>0</v>
      </c>
      <c r="I14" s="4">
        <v>0</v>
      </c>
      <c r="J14" s="24">
        <v>0</v>
      </c>
      <c r="K14" s="24"/>
      <c r="L14" s="24"/>
      <c r="M14" s="24"/>
      <c r="N14" s="24"/>
      <c r="O14" s="24"/>
    </row>
    <row r="15" spans="1:15" x14ac:dyDescent="0.35">
      <c r="A15" t="s">
        <v>46</v>
      </c>
      <c r="B15" t="s">
        <v>3551</v>
      </c>
      <c r="C15" t="s">
        <v>3552</v>
      </c>
      <c r="D15">
        <v>1027171.6499999999</v>
      </c>
      <c r="E15">
        <v>822201.49999999988</v>
      </c>
      <c r="F15" s="4">
        <v>204970.15</v>
      </c>
      <c r="G15" s="4">
        <v>204970.15</v>
      </c>
      <c r="H15" s="4"/>
      <c r="I15" s="24"/>
      <c r="J15" s="24"/>
      <c r="K15" s="24"/>
      <c r="L15" s="24"/>
      <c r="M15" s="24"/>
      <c r="N15" s="24"/>
      <c r="O15" s="24"/>
    </row>
    <row r="16" spans="1:15" x14ac:dyDescent="0.35">
      <c r="A16" t="s">
        <v>19</v>
      </c>
      <c r="B16" t="s">
        <v>3761</v>
      </c>
      <c r="C16" t="s">
        <v>3762</v>
      </c>
      <c r="D16">
        <v>105408.28</v>
      </c>
      <c r="E16">
        <v>105408.28</v>
      </c>
      <c r="F16" s="4">
        <v>0</v>
      </c>
      <c r="G16" s="4">
        <v>0</v>
      </c>
      <c r="H16" s="4"/>
      <c r="I16" s="24">
        <v>0</v>
      </c>
      <c r="J16" s="24"/>
      <c r="K16" s="24"/>
      <c r="L16" s="24"/>
      <c r="M16" s="24"/>
      <c r="N16" s="24"/>
      <c r="O16" s="24"/>
    </row>
    <row r="17" spans="1:15" x14ac:dyDescent="0.35">
      <c r="A17" t="s">
        <v>55</v>
      </c>
      <c r="B17" t="s">
        <v>196</v>
      </c>
      <c r="C17" t="s">
        <v>197</v>
      </c>
      <c r="D17">
        <v>702961.88</v>
      </c>
      <c r="E17">
        <v>702106.81</v>
      </c>
      <c r="F17" s="4">
        <v>855.07</v>
      </c>
      <c r="G17" s="4">
        <v>855.07</v>
      </c>
      <c r="H17" s="4">
        <v>0</v>
      </c>
      <c r="I17" s="24">
        <v>0</v>
      </c>
      <c r="J17" s="24"/>
      <c r="K17" s="24"/>
      <c r="L17" s="24">
        <v>0</v>
      </c>
      <c r="M17" s="24"/>
      <c r="N17" s="24"/>
      <c r="O17" s="24"/>
    </row>
    <row r="18" spans="1:15" x14ac:dyDescent="0.35">
      <c r="A18" t="s">
        <v>19</v>
      </c>
      <c r="B18" t="s">
        <v>607</v>
      </c>
      <c r="C18" t="s">
        <v>608</v>
      </c>
      <c r="D18">
        <v>452570.54000000004</v>
      </c>
      <c r="E18">
        <v>452570.54000000004</v>
      </c>
      <c r="F18" s="4">
        <v>0</v>
      </c>
      <c r="G18" s="4">
        <v>0</v>
      </c>
      <c r="H18" s="4"/>
      <c r="I18" s="24">
        <v>0</v>
      </c>
      <c r="J18" s="24">
        <v>0</v>
      </c>
      <c r="K18" s="24"/>
      <c r="L18" s="24"/>
      <c r="M18" s="24"/>
      <c r="N18" s="24"/>
      <c r="O18" s="24"/>
    </row>
    <row r="19" spans="1:15" x14ac:dyDescent="0.35">
      <c r="A19" t="s">
        <v>88</v>
      </c>
      <c r="B19" t="s">
        <v>298</v>
      </c>
      <c r="C19" t="s">
        <v>299</v>
      </c>
      <c r="D19">
        <v>1549274.4499999997</v>
      </c>
      <c r="E19">
        <v>1549274.4499999997</v>
      </c>
      <c r="F19" s="4">
        <v>0</v>
      </c>
      <c r="G19" s="4">
        <v>0</v>
      </c>
      <c r="H19" s="4">
        <v>0</v>
      </c>
      <c r="I19" s="24">
        <v>0</v>
      </c>
      <c r="J19" s="24">
        <v>0</v>
      </c>
      <c r="K19" s="24">
        <v>0</v>
      </c>
      <c r="L19" s="24"/>
      <c r="M19" s="24"/>
      <c r="N19" s="24"/>
      <c r="O19" s="24"/>
    </row>
    <row r="20" spans="1:15" x14ac:dyDescent="0.35">
      <c r="A20" t="s">
        <v>41</v>
      </c>
      <c r="B20" t="s">
        <v>42</v>
      </c>
      <c r="C20" t="s">
        <v>43</v>
      </c>
      <c r="D20">
        <v>524800.38</v>
      </c>
      <c r="E20">
        <v>524800.38</v>
      </c>
      <c r="F20" s="4">
        <v>0</v>
      </c>
      <c r="G20" s="4">
        <v>0</v>
      </c>
      <c r="H20" s="4">
        <v>0</v>
      </c>
      <c r="I20" s="24">
        <v>0</v>
      </c>
      <c r="J20" s="24">
        <v>0</v>
      </c>
      <c r="K20" s="24"/>
      <c r="L20" s="24"/>
      <c r="M20" s="24"/>
      <c r="N20" s="24"/>
      <c r="O20" s="24"/>
    </row>
    <row r="21" spans="1:15" x14ac:dyDescent="0.35">
      <c r="A21" t="s">
        <v>24</v>
      </c>
      <c r="B21" t="s">
        <v>461</v>
      </c>
      <c r="C21" t="s">
        <v>462</v>
      </c>
      <c r="D21">
        <v>602460.48</v>
      </c>
      <c r="E21">
        <v>602460.48</v>
      </c>
      <c r="F21" s="4">
        <v>0</v>
      </c>
      <c r="G21" s="4">
        <v>0</v>
      </c>
      <c r="H21" s="4">
        <v>0</v>
      </c>
      <c r="I21" s="24">
        <v>0</v>
      </c>
      <c r="J21" s="24">
        <v>0</v>
      </c>
      <c r="K21" s="24"/>
      <c r="L21" s="24"/>
      <c r="M21" s="24"/>
      <c r="N21" s="24"/>
      <c r="O21" s="24"/>
    </row>
    <row r="22" spans="1:15" x14ac:dyDescent="0.35">
      <c r="A22" t="s">
        <v>24</v>
      </c>
      <c r="B22" t="s">
        <v>37</v>
      </c>
      <c r="C22" t="s">
        <v>38</v>
      </c>
      <c r="D22">
        <v>675271.14</v>
      </c>
      <c r="E22">
        <v>675271.14</v>
      </c>
      <c r="F22" s="4">
        <v>0</v>
      </c>
      <c r="G22" s="4">
        <v>0</v>
      </c>
      <c r="H22" s="4">
        <v>0</v>
      </c>
      <c r="I22" s="24">
        <v>0</v>
      </c>
      <c r="J22" s="24">
        <v>0</v>
      </c>
      <c r="K22" s="24"/>
      <c r="L22" s="24"/>
      <c r="M22" s="24"/>
      <c r="N22" s="24"/>
      <c r="O22" s="24"/>
    </row>
    <row r="23" spans="1:15" x14ac:dyDescent="0.35">
      <c r="A23" t="s">
        <v>41</v>
      </c>
      <c r="B23" t="s">
        <v>403</v>
      </c>
      <c r="C23" t="s">
        <v>404</v>
      </c>
      <c r="D23">
        <v>800228.29</v>
      </c>
      <c r="E23">
        <v>799380.86</v>
      </c>
      <c r="F23" s="4">
        <v>847.42999999998597</v>
      </c>
      <c r="G23" s="4">
        <v>847.42999999998597</v>
      </c>
      <c r="H23" s="4">
        <v>0</v>
      </c>
      <c r="I23" s="24">
        <v>0</v>
      </c>
      <c r="J23" s="24"/>
      <c r="K23" s="24"/>
      <c r="L23" s="24"/>
      <c r="M23" s="24"/>
      <c r="N23" s="24"/>
      <c r="O23" s="24"/>
    </row>
    <row r="24" spans="1:15" x14ac:dyDescent="0.35">
      <c r="A24" t="s">
        <v>111</v>
      </c>
      <c r="B24" t="s">
        <v>369</v>
      </c>
      <c r="C24" t="s">
        <v>370</v>
      </c>
      <c r="D24">
        <v>4928.87</v>
      </c>
      <c r="E24">
        <v>4928.87</v>
      </c>
      <c r="F24" s="4">
        <v>0</v>
      </c>
      <c r="G24" s="4">
        <v>0</v>
      </c>
      <c r="H24" s="4">
        <v>0</v>
      </c>
      <c r="I24" s="24">
        <v>0</v>
      </c>
      <c r="J24" s="24"/>
      <c r="K24" s="24"/>
      <c r="L24" s="24"/>
      <c r="M24" s="24"/>
      <c r="N24" s="24"/>
      <c r="O24" s="24"/>
    </row>
    <row r="25" spans="1:15" x14ac:dyDescent="0.35">
      <c r="A25" t="s">
        <v>16</v>
      </c>
      <c r="B25" t="s">
        <v>497</v>
      </c>
      <c r="C25" t="s">
        <v>498</v>
      </c>
      <c r="D25">
        <v>90333.72</v>
      </c>
      <c r="E25">
        <v>90333.72</v>
      </c>
      <c r="F25">
        <v>0</v>
      </c>
      <c r="G25">
        <v>0</v>
      </c>
      <c r="H25" s="5">
        <v>0</v>
      </c>
      <c r="I25" s="5">
        <v>0</v>
      </c>
      <c r="K25"/>
      <c r="L25"/>
      <c r="M25"/>
      <c r="N25"/>
      <c r="O25"/>
    </row>
    <row r="26" spans="1:15" x14ac:dyDescent="0.35">
      <c r="A26" t="s">
        <v>16</v>
      </c>
      <c r="B26" t="s">
        <v>957</v>
      </c>
      <c r="C26" t="s">
        <v>958</v>
      </c>
      <c r="D26">
        <v>176043.64</v>
      </c>
      <c r="E26">
        <v>176043.64</v>
      </c>
      <c r="F26">
        <v>0</v>
      </c>
      <c r="G26"/>
      <c r="H26" s="5">
        <v>0</v>
      </c>
      <c r="I26" s="5">
        <v>0</v>
      </c>
      <c r="K26"/>
      <c r="L26"/>
      <c r="M26"/>
      <c r="N26"/>
      <c r="O26"/>
    </row>
    <row r="27" spans="1:15" x14ac:dyDescent="0.35">
      <c r="A27" t="s">
        <v>93</v>
      </c>
      <c r="B27" t="s">
        <v>1025</v>
      </c>
      <c r="C27" t="s">
        <v>1026</v>
      </c>
      <c r="D27">
        <v>564431.20000000007</v>
      </c>
      <c r="E27">
        <v>532477.36</v>
      </c>
      <c r="F27">
        <v>31953.84</v>
      </c>
      <c r="G27">
        <v>68.78</v>
      </c>
      <c r="H27" s="5">
        <v>31885.06</v>
      </c>
      <c r="I27" s="5">
        <v>0</v>
      </c>
      <c r="J27" s="5">
        <v>0</v>
      </c>
      <c r="K27">
        <v>0</v>
      </c>
      <c r="L27"/>
      <c r="M27"/>
      <c r="N27"/>
      <c r="O27"/>
    </row>
    <row r="28" spans="1:15" x14ac:dyDescent="0.35">
      <c r="A28" t="s">
        <v>275</v>
      </c>
      <c r="B28" t="s">
        <v>276</v>
      </c>
      <c r="C28" t="s">
        <v>277</v>
      </c>
      <c r="D28">
        <v>414788.75000000006</v>
      </c>
      <c r="E28">
        <v>283697.96000000002</v>
      </c>
      <c r="F28">
        <v>131090.79</v>
      </c>
      <c r="G28">
        <v>131090.79</v>
      </c>
      <c r="H28" s="5">
        <v>0</v>
      </c>
      <c r="I28" s="5">
        <v>0</v>
      </c>
      <c r="K28"/>
      <c r="L28"/>
      <c r="M28"/>
      <c r="N28"/>
      <c r="O28"/>
    </row>
    <row r="29" spans="1:15" x14ac:dyDescent="0.35">
      <c r="A29" t="s">
        <v>169</v>
      </c>
      <c r="B29" t="s">
        <v>917</v>
      </c>
      <c r="C29" t="s">
        <v>918</v>
      </c>
      <c r="D29">
        <v>41760.400000000001</v>
      </c>
      <c r="E29">
        <v>41760.400000000001</v>
      </c>
      <c r="F29">
        <v>0</v>
      </c>
      <c r="G29">
        <v>0</v>
      </c>
      <c r="H29" s="5">
        <v>0</v>
      </c>
      <c r="J29" s="5">
        <v>0</v>
      </c>
      <c r="K29"/>
      <c r="L29"/>
      <c r="M29"/>
      <c r="N29"/>
      <c r="O29"/>
    </row>
    <row r="30" spans="1:15" x14ac:dyDescent="0.35">
      <c r="A30" t="s">
        <v>169</v>
      </c>
      <c r="B30" t="s">
        <v>613</v>
      </c>
      <c r="C30" t="s">
        <v>614</v>
      </c>
      <c r="D30">
        <v>191816.68</v>
      </c>
      <c r="E30">
        <v>191816.68</v>
      </c>
      <c r="F30">
        <v>0</v>
      </c>
      <c r="G30">
        <v>0</v>
      </c>
      <c r="H30" s="5">
        <v>0</v>
      </c>
      <c r="I30" s="5">
        <v>0</v>
      </c>
      <c r="J30" s="5">
        <v>0</v>
      </c>
      <c r="K30"/>
      <c r="L30"/>
      <c r="M30"/>
      <c r="N30"/>
      <c r="O30"/>
    </row>
    <row r="31" spans="1:15" x14ac:dyDescent="0.35">
      <c r="A31" t="s">
        <v>93</v>
      </c>
      <c r="B31" t="s">
        <v>785</v>
      </c>
      <c r="C31" t="s">
        <v>786</v>
      </c>
      <c r="D31">
        <v>2373929.5399999996</v>
      </c>
      <c r="E31">
        <v>2373757.9699999997</v>
      </c>
      <c r="F31">
        <v>171.56999999998141</v>
      </c>
      <c r="G31">
        <v>88.34</v>
      </c>
      <c r="H31" s="5">
        <v>83.229999999981402</v>
      </c>
      <c r="I31" s="5">
        <v>0</v>
      </c>
      <c r="J31" s="5">
        <v>0</v>
      </c>
      <c r="K31"/>
      <c r="L31"/>
      <c r="M31"/>
      <c r="N31"/>
      <c r="O31"/>
    </row>
    <row r="32" spans="1:15" x14ac:dyDescent="0.35">
      <c r="A32" t="s">
        <v>169</v>
      </c>
      <c r="B32" t="s">
        <v>821</v>
      </c>
      <c r="C32" t="s">
        <v>822</v>
      </c>
      <c r="D32">
        <v>1190.76</v>
      </c>
      <c r="E32"/>
      <c r="F32">
        <v>1190.76</v>
      </c>
      <c r="G32">
        <v>1190.76</v>
      </c>
      <c r="I32" s="5">
        <v>0</v>
      </c>
      <c r="K32"/>
      <c r="L32"/>
      <c r="M32"/>
      <c r="N32"/>
      <c r="O32"/>
    </row>
    <row r="33" spans="1:15" x14ac:dyDescent="0.35">
      <c r="A33" t="s">
        <v>275</v>
      </c>
      <c r="B33" t="s">
        <v>1251</v>
      </c>
      <c r="C33" t="s">
        <v>1252</v>
      </c>
      <c r="D33">
        <v>317407.26</v>
      </c>
      <c r="E33">
        <v>317407.26</v>
      </c>
      <c r="F33">
        <v>0</v>
      </c>
      <c r="G33">
        <v>0</v>
      </c>
      <c r="J33" s="5">
        <v>0</v>
      </c>
      <c r="K33"/>
      <c r="L33"/>
      <c r="M33"/>
      <c r="N33"/>
      <c r="O33"/>
    </row>
    <row r="34" spans="1:15" x14ac:dyDescent="0.35">
      <c r="A34" t="s">
        <v>36</v>
      </c>
      <c r="B34" t="s">
        <v>3763</v>
      </c>
      <c r="C34" t="s">
        <v>3764</v>
      </c>
      <c r="D34">
        <v>746876.06</v>
      </c>
      <c r="E34">
        <v>746876.06</v>
      </c>
      <c r="F34"/>
      <c r="G34"/>
      <c r="K34"/>
      <c r="L34"/>
      <c r="M34"/>
      <c r="N34"/>
      <c r="O34"/>
    </row>
    <row r="35" spans="1:15" x14ac:dyDescent="0.35">
      <c r="A35" t="s">
        <v>19</v>
      </c>
      <c r="B35" t="s">
        <v>417</v>
      </c>
      <c r="C35" t="s">
        <v>418</v>
      </c>
      <c r="D35">
        <v>2111273.4700000002</v>
      </c>
      <c r="E35">
        <v>2111273.4700000002</v>
      </c>
      <c r="F35">
        <v>0</v>
      </c>
      <c r="G35">
        <v>0</v>
      </c>
      <c r="H35" s="5">
        <v>0</v>
      </c>
      <c r="I35" s="5">
        <v>0</v>
      </c>
      <c r="K35"/>
      <c r="L35"/>
      <c r="M35"/>
      <c r="N35"/>
      <c r="O35"/>
    </row>
    <row r="36" spans="1:15" x14ac:dyDescent="0.35">
      <c r="A36" t="s">
        <v>93</v>
      </c>
      <c r="B36" t="s">
        <v>535</v>
      </c>
      <c r="C36" t="s">
        <v>536</v>
      </c>
      <c r="D36">
        <v>600582.75999999989</v>
      </c>
      <c r="E36">
        <v>600582.75999999989</v>
      </c>
      <c r="F36">
        <v>0</v>
      </c>
      <c r="G36">
        <v>0</v>
      </c>
      <c r="H36" s="5">
        <v>0</v>
      </c>
      <c r="I36" s="5">
        <v>0</v>
      </c>
      <c r="K36"/>
      <c r="L36"/>
      <c r="M36"/>
      <c r="N36"/>
      <c r="O36"/>
    </row>
    <row r="37" spans="1:15" x14ac:dyDescent="0.35">
      <c r="A37" t="s">
        <v>19</v>
      </c>
      <c r="B37" t="s">
        <v>939</v>
      </c>
      <c r="C37" t="s">
        <v>940</v>
      </c>
      <c r="D37">
        <v>81174.559999999998</v>
      </c>
      <c r="E37">
        <v>81174.559999999998</v>
      </c>
      <c r="F37">
        <v>0</v>
      </c>
      <c r="G37">
        <v>0</v>
      </c>
      <c r="I37" s="5">
        <v>0</v>
      </c>
      <c r="K37"/>
      <c r="L37"/>
      <c r="M37"/>
      <c r="N37"/>
      <c r="O37"/>
    </row>
    <row r="38" spans="1:15" x14ac:dyDescent="0.35">
      <c r="A38" t="s">
        <v>16</v>
      </c>
      <c r="B38" t="s">
        <v>146</v>
      </c>
      <c r="C38" t="s">
        <v>147</v>
      </c>
      <c r="D38">
        <v>2788448.35</v>
      </c>
      <c r="E38">
        <v>2339591.16</v>
      </c>
      <c r="F38">
        <v>448857.19000000006</v>
      </c>
      <c r="G38">
        <v>448857.19000000006</v>
      </c>
      <c r="H38" s="5">
        <v>0</v>
      </c>
      <c r="I38" s="5">
        <v>0</v>
      </c>
      <c r="J38" s="5">
        <v>0</v>
      </c>
      <c r="K38">
        <v>0</v>
      </c>
      <c r="L38">
        <v>0</v>
      </c>
      <c r="M38"/>
      <c r="N38"/>
      <c r="O38"/>
    </row>
    <row r="39" spans="1:15" x14ac:dyDescent="0.35">
      <c r="A39" t="s">
        <v>36</v>
      </c>
      <c r="B39" t="s">
        <v>439</v>
      </c>
      <c r="C39" t="s">
        <v>440</v>
      </c>
      <c r="D39">
        <v>1767662.46</v>
      </c>
      <c r="E39">
        <v>1563742.42</v>
      </c>
      <c r="F39">
        <v>203920.04</v>
      </c>
      <c r="G39">
        <v>203920.04</v>
      </c>
      <c r="H39" s="5">
        <v>0</v>
      </c>
      <c r="I39" s="5">
        <v>0</v>
      </c>
      <c r="J39" s="5">
        <v>0</v>
      </c>
      <c r="K39"/>
      <c r="L39"/>
      <c r="M39"/>
      <c r="N39"/>
      <c r="O39"/>
    </row>
    <row r="40" spans="1:15" x14ac:dyDescent="0.35">
      <c r="A40" t="s">
        <v>36</v>
      </c>
      <c r="B40" t="s">
        <v>44</v>
      </c>
      <c r="C40" t="s">
        <v>45</v>
      </c>
      <c r="D40">
        <v>345817.25000000006</v>
      </c>
      <c r="E40">
        <v>335891.18000000005</v>
      </c>
      <c r="F40">
        <v>9926.07</v>
      </c>
      <c r="G40">
        <v>9926.07</v>
      </c>
      <c r="H40" s="5">
        <v>0</v>
      </c>
      <c r="I40" s="5">
        <v>0</v>
      </c>
      <c r="K40"/>
      <c r="L40"/>
      <c r="M40"/>
      <c r="N40"/>
      <c r="O40"/>
    </row>
    <row r="41" spans="1:15" x14ac:dyDescent="0.35">
      <c r="A41" t="s">
        <v>24</v>
      </c>
      <c r="B41" t="s">
        <v>601</v>
      </c>
      <c r="C41" t="s">
        <v>602</v>
      </c>
      <c r="D41">
        <v>71172.28</v>
      </c>
      <c r="E41">
        <v>71172.28</v>
      </c>
      <c r="F41">
        <v>0</v>
      </c>
      <c r="G41"/>
      <c r="H41" s="5">
        <v>0</v>
      </c>
      <c r="I41" s="5">
        <v>0</v>
      </c>
      <c r="K41"/>
      <c r="L41"/>
      <c r="M41"/>
      <c r="N41"/>
      <c r="O41"/>
    </row>
    <row r="42" spans="1:15" x14ac:dyDescent="0.35">
      <c r="A42" t="s">
        <v>93</v>
      </c>
      <c r="B42" t="s">
        <v>3112</v>
      </c>
      <c r="C42" t="s">
        <v>3113</v>
      </c>
      <c r="D42">
        <v>117054.64</v>
      </c>
      <c r="E42">
        <v>117054.64</v>
      </c>
      <c r="F42">
        <v>0</v>
      </c>
      <c r="G42">
        <v>0</v>
      </c>
      <c r="H42" s="5">
        <v>0</v>
      </c>
      <c r="I42" s="5">
        <v>0</v>
      </c>
      <c r="J42" s="5">
        <v>0</v>
      </c>
      <c r="K42"/>
      <c r="L42"/>
      <c r="M42"/>
      <c r="N42"/>
      <c r="O42"/>
    </row>
    <row r="43" spans="1:15" x14ac:dyDescent="0.35">
      <c r="A43" t="s">
        <v>93</v>
      </c>
      <c r="B43" t="s">
        <v>3553</v>
      </c>
      <c r="C43" t="s">
        <v>3554</v>
      </c>
      <c r="D43">
        <v>232134.24</v>
      </c>
      <c r="E43">
        <v>232134.24</v>
      </c>
      <c r="F43">
        <v>0</v>
      </c>
      <c r="G43">
        <v>0</v>
      </c>
      <c r="H43" s="5">
        <v>0</v>
      </c>
      <c r="I43" s="5">
        <v>0</v>
      </c>
      <c r="K43"/>
      <c r="L43"/>
      <c r="M43">
        <v>0</v>
      </c>
      <c r="N43"/>
      <c r="O43"/>
    </row>
    <row r="44" spans="1:15" x14ac:dyDescent="0.35">
      <c r="A44" t="s">
        <v>16</v>
      </c>
      <c r="B44" t="s">
        <v>58</v>
      </c>
      <c r="C44" t="s">
        <v>59</v>
      </c>
      <c r="D44">
        <v>352228.75999999995</v>
      </c>
      <c r="E44">
        <v>352228.75999999995</v>
      </c>
      <c r="F44">
        <v>0</v>
      </c>
      <c r="G44">
        <v>0</v>
      </c>
      <c r="H44" s="5">
        <v>0</v>
      </c>
      <c r="I44" s="5">
        <v>0</v>
      </c>
      <c r="K44"/>
      <c r="L44"/>
      <c r="M44"/>
      <c r="N44"/>
      <c r="O44"/>
    </row>
    <row r="45" spans="1:15" x14ac:dyDescent="0.35">
      <c r="A45" t="s">
        <v>164</v>
      </c>
      <c r="B45" t="s">
        <v>190</v>
      </c>
      <c r="C45" t="s">
        <v>191</v>
      </c>
      <c r="D45">
        <v>890814.7699999999</v>
      </c>
      <c r="E45">
        <v>890814.7699999999</v>
      </c>
      <c r="F45">
        <v>0</v>
      </c>
      <c r="G45">
        <v>0</v>
      </c>
      <c r="H45" s="5">
        <v>0</v>
      </c>
      <c r="I45" s="5">
        <v>0</v>
      </c>
      <c r="J45" s="5">
        <v>0</v>
      </c>
      <c r="K45"/>
      <c r="L45"/>
      <c r="M45"/>
      <c r="N45"/>
      <c r="O45"/>
    </row>
    <row r="46" spans="1:15" x14ac:dyDescent="0.35">
      <c r="A46" t="s">
        <v>169</v>
      </c>
      <c r="B46" t="s">
        <v>779</v>
      </c>
      <c r="C46" t="s">
        <v>780</v>
      </c>
      <c r="D46">
        <v>303710.68</v>
      </c>
      <c r="E46">
        <v>303710.68</v>
      </c>
      <c r="F46">
        <v>0</v>
      </c>
      <c r="G46">
        <v>0</v>
      </c>
      <c r="H46" s="5">
        <v>0</v>
      </c>
      <c r="I46" s="5">
        <v>0</v>
      </c>
      <c r="K46"/>
      <c r="L46"/>
      <c r="M46"/>
      <c r="N46"/>
      <c r="O46"/>
    </row>
    <row r="47" spans="1:15" x14ac:dyDescent="0.35">
      <c r="A47" t="s">
        <v>164</v>
      </c>
      <c r="B47" t="s">
        <v>735</v>
      </c>
      <c r="C47" t="s">
        <v>736</v>
      </c>
      <c r="D47">
        <v>754912.71</v>
      </c>
      <c r="E47">
        <v>538363.19999999995</v>
      </c>
      <c r="F47">
        <v>216549.50999999998</v>
      </c>
      <c r="G47">
        <v>216549.50999999998</v>
      </c>
      <c r="H47" s="5">
        <v>0</v>
      </c>
      <c r="I47" s="5">
        <v>0</v>
      </c>
      <c r="J47" s="5">
        <v>0</v>
      </c>
      <c r="K47"/>
      <c r="L47"/>
      <c r="M47"/>
      <c r="N47"/>
      <c r="O47"/>
    </row>
    <row r="48" spans="1:15" x14ac:dyDescent="0.35">
      <c r="A48" t="s">
        <v>164</v>
      </c>
      <c r="B48" t="s">
        <v>3510</v>
      </c>
      <c r="C48" t="s">
        <v>3511</v>
      </c>
      <c r="D48">
        <v>953817.60000000009</v>
      </c>
      <c r="E48">
        <v>953817.60000000009</v>
      </c>
      <c r="F48">
        <v>0</v>
      </c>
      <c r="G48">
        <v>0</v>
      </c>
      <c r="H48" s="5">
        <v>0</v>
      </c>
      <c r="I48" s="5">
        <v>0</v>
      </c>
      <c r="J48" s="5">
        <v>0</v>
      </c>
      <c r="K48"/>
      <c r="L48"/>
      <c r="M48"/>
      <c r="N48"/>
      <c r="O48"/>
    </row>
    <row r="49" spans="1:15" x14ac:dyDescent="0.35">
      <c r="A49" t="s">
        <v>164</v>
      </c>
      <c r="B49" t="s">
        <v>3512</v>
      </c>
      <c r="C49" t="s">
        <v>3513</v>
      </c>
      <c r="D49">
        <v>409014.43999999994</v>
      </c>
      <c r="E49">
        <v>409014.43999999994</v>
      </c>
      <c r="F49">
        <v>0</v>
      </c>
      <c r="G49">
        <v>0</v>
      </c>
      <c r="H49" s="5">
        <v>0</v>
      </c>
      <c r="I49" s="5">
        <v>0</v>
      </c>
      <c r="J49" s="5">
        <v>0</v>
      </c>
      <c r="K49"/>
      <c r="L49"/>
      <c r="M49"/>
      <c r="N49"/>
      <c r="O49"/>
    </row>
    <row r="50" spans="1:15" x14ac:dyDescent="0.35">
      <c r="A50" t="s">
        <v>24</v>
      </c>
      <c r="B50" t="s">
        <v>25</v>
      </c>
      <c r="C50" t="s">
        <v>26</v>
      </c>
      <c r="D50">
        <v>692446.5</v>
      </c>
      <c r="E50">
        <v>692446.5</v>
      </c>
      <c r="F50">
        <v>0</v>
      </c>
      <c r="G50">
        <v>0</v>
      </c>
      <c r="H50" s="5">
        <v>0</v>
      </c>
      <c r="I50" s="5">
        <v>0</v>
      </c>
      <c r="J50" s="5">
        <v>0</v>
      </c>
      <c r="K50">
        <v>0</v>
      </c>
      <c r="L50"/>
      <c r="M50"/>
      <c r="N50"/>
      <c r="O50"/>
    </row>
    <row r="51" spans="1:15" x14ac:dyDescent="0.35">
      <c r="A51" t="s">
        <v>55</v>
      </c>
      <c r="B51" t="s">
        <v>733</v>
      </c>
      <c r="C51" t="s">
        <v>734</v>
      </c>
      <c r="D51">
        <v>597663.71</v>
      </c>
      <c r="E51"/>
      <c r="F51">
        <v>597663.71</v>
      </c>
      <c r="G51">
        <v>597663.71</v>
      </c>
      <c r="H51" s="5">
        <v>0</v>
      </c>
      <c r="I51" s="5">
        <v>0</v>
      </c>
      <c r="J51" s="5">
        <v>0</v>
      </c>
      <c r="K51"/>
      <c r="L51"/>
      <c r="M51"/>
      <c r="N51"/>
      <c r="O51"/>
    </row>
    <row r="52" spans="1:15" x14ac:dyDescent="0.35">
      <c r="A52" t="s">
        <v>16</v>
      </c>
      <c r="B52" t="s">
        <v>775</v>
      </c>
      <c r="C52" t="s">
        <v>776</v>
      </c>
      <c r="D52">
        <v>136608.56</v>
      </c>
      <c r="E52">
        <v>136608.56</v>
      </c>
      <c r="F52">
        <v>0</v>
      </c>
      <c r="G52">
        <v>0</v>
      </c>
      <c r="H52" s="5">
        <v>0</v>
      </c>
      <c r="I52" s="5">
        <v>0</v>
      </c>
      <c r="J52" s="5">
        <v>0</v>
      </c>
      <c r="K52"/>
      <c r="L52"/>
      <c r="M52"/>
      <c r="N52"/>
      <c r="O52"/>
    </row>
    <row r="53" spans="1:15" x14ac:dyDescent="0.35">
      <c r="A53" t="s">
        <v>16</v>
      </c>
      <c r="B53" t="s">
        <v>314</v>
      </c>
      <c r="C53" t="s">
        <v>315</v>
      </c>
      <c r="D53">
        <v>587054.13</v>
      </c>
      <c r="E53">
        <v>587054.13</v>
      </c>
      <c r="F53">
        <v>0</v>
      </c>
      <c r="G53">
        <v>0</v>
      </c>
      <c r="H53" s="5">
        <v>0</v>
      </c>
      <c r="I53" s="5">
        <v>0</v>
      </c>
      <c r="J53" s="5">
        <v>0</v>
      </c>
      <c r="K53"/>
      <c r="L53"/>
      <c r="M53"/>
      <c r="N53"/>
      <c r="O53"/>
    </row>
    <row r="54" spans="1:15" x14ac:dyDescent="0.35">
      <c r="A54" t="s">
        <v>16</v>
      </c>
      <c r="B54" t="s">
        <v>122</v>
      </c>
      <c r="C54" t="s">
        <v>123</v>
      </c>
      <c r="D54">
        <v>1740571.25</v>
      </c>
      <c r="E54">
        <v>1706505.9700000002</v>
      </c>
      <c r="F54">
        <v>34065.279999999999</v>
      </c>
      <c r="G54">
        <v>34020.01</v>
      </c>
      <c r="H54" s="5">
        <v>45.27</v>
      </c>
      <c r="I54" s="5">
        <v>0</v>
      </c>
      <c r="J54" s="5">
        <v>0</v>
      </c>
      <c r="K54">
        <v>0</v>
      </c>
      <c r="L54"/>
      <c r="M54"/>
      <c r="N54"/>
      <c r="O54"/>
    </row>
    <row r="55" spans="1:15" x14ac:dyDescent="0.35">
      <c r="A55" t="s">
        <v>33</v>
      </c>
      <c r="B55" t="s">
        <v>1049</v>
      </c>
      <c r="C55" t="s">
        <v>1050</v>
      </c>
      <c r="D55">
        <v>76085.22</v>
      </c>
      <c r="E55">
        <v>76085.22</v>
      </c>
      <c r="F55">
        <v>0</v>
      </c>
      <c r="G55">
        <v>0</v>
      </c>
      <c r="I55" s="5">
        <v>0</v>
      </c>
      <c r="J55" s="5">
        <v>0</v>
      </c>
      <c r="K55"/>
      <c r="L55"/>
      <c r="M55"/>
      <c r="N55"/>
      <c r="O55"/>
    </row>
    <row r="56" spans="1:15" x14ac:dyDescent="0.35">
      <c r="A56" t="s">
        <v>33</v>
      </c>
      <c r="B56" t="s">
        <v>807</v>
      </c>
      <c r="C56" t="s">
        <v>808</v>
      </c>
      <c r="D56">
        <v>324106.14</v>
      </c>
      <c r="E56">
        <v>324106.14</v>
      </c>
      <c r="F56">
        <v>0</v>
      </c>
      <c r="G56">
        <v>0</v>
      </c>
      <c r="J56" s="5">
        <v>0</v>
      </c>
      <c r="K56"/>
      <c r="L56"/>
      <c r="M56"/>
      <c r="N56"/>
      <c r="O56"/>
    </row>
    <row r="57" spans="1:15" x14ac:dyDescent="0.35">
      <c r="A57" t="s">
        <v>164</v>
      </c>
      <c r="B57" t="s">
        <v>633</v>
      </c>
      <c r="C57" t="s">
        <v>634</v>
      </c>
      <c r="D57">
        <v>259128</v>
      </c>
      <c r="E57">
        <v>259128</v>
      </c>
      <c r="F57">
        <v>0</v>
      </c>
      <c r="G57">
        <v>0</v>
      </c>
      <c r="H57" s="5">
        <v>0</v>
      </c>
      <c r="I57" s="5">
        <v>0</v>
      </c>
      <c r="K57"/>
      <c r="L57"/>
      <c r="M57"/>
      <c r="N57"/>
      <c r="O57"/>
    </row>
    <row r="58" spans="1:15" x14ac:dyDescent="0.35">
      <c r="A58" t="s">
        <v>164</v>
      </c>
      <c r="B58" t="s">
        <v>341</v>
      </c>
      <c r="C58" t="s">
        <v>342</v>
      </c>
      <c r="D58">
        <v>834967.78</v>
      </c>
      <c r="E58">
        <v>834967.78</v>
      </c>
      <c r="F58">
        <v>0</v>
      </c>
      <c r="G58">
        <v>0</v>
      </c>
      <c r="H58" s="5">
        <v>0</v>
      </c>
      <c r="I58" s="5">
        <v>0</v>
      </c>
      <c r="J58" s="5">
        <v>0</v>
      </c>
      <c r="K58"/>
      <c r="L58"/>
      <c r="M58"/>
      <c r="N58"/>
      <c r="O58"/>
    </row>
    <row r="59" spans="1:15" x14ac:dyDescent="0.35">
      <c r="A59" t="s">
        <v>41</v>
      </c>
      <c r="B59" t="s">
        <v>1231</v>
      </c>
      <c r="C59" t="s">
        <v>1232</v>
      </c>
      <c r="D59">
        <v>348.34000000000322</v>
      </c>
      <c r="E59"/>
      <c r="F59">
        <v>348.34000000000322</v>
      </c>
      <c r="G59">
        <v>347.86</v>
      </c>
      <c r="H59" s="5">
        <v>0.48000000000320098</v>
      </c>
      <c r="I59" s="5">
        <v>0</v>
      </c>
      <c r="J59" s="5">
        <v>0</v>
      </c>
      <c r="K59"/>
      <c r="L59"/>
      <c r="M59"/>
      <c r="N59"/>
      <c r="O59"/>
    </row>
    <row r="60" spans="1:15" x14ac:dyDescent="0.35">
      <c r="A60" t="s">
        <v>24</v>
      </c>
      <c r="B60" t="s">
        <v>310</v>
      </c>
      <c r="C60" t="s">
        <v>311</v>
      </c>
      <c r="D60">
        <v>395447.86</v>
      </c>
      <c r="E60">
        <v>395447.86</v>
      </c>
      <c r="F60">
        <v>0</v>
      </c>
      <c r="G60">
        <v>0</v>
      </c>
      <c r="H60" s="5">
        <v>0</v>
      </c>
      <c r="I60" s="5">
        <v>0</v>
      </c>
      <c r="J60" s="5">
        <v>0</v>
      </c>
      <c r="K60"/>
      <c r="L60"/>
      <c r="M60"/>
      <c r="N60"/>
      <c r="O60"/>
    </row>
    <row r="61" spans="1:15" x14ac:dyDescent="0.35">
      <c r="A61" t="s">
        <v>41</v>
      </c>
      <c r="B61" t="s">
        <v>991</v>
      </c>
      <c r="C61" t="s">
        <v>992</v>
      </c>
      <c r="D61">
        <v>80033.279999999999</v>
      </c>
      <c r="E61">
        <v>80033.279999999999</v>
      </c>
      <c r="F61">
        <v>0</v>
      </c>
      <c r="G61"/>
      <c r="H61" s="5">
        <v>0</v>
      </c>
      <c r="I61" s="5">
        <v>0</v>
      </c>
      <c r="K61"/>
      <c r="L61"/>
      <c r="M61"/>
      <c r="N61"/>
      <c r="O61"/>
    </row>
    <row r="62" spans="1:15" x14ac:dyDescent="0.35">
      <c r="A62" t="s">
        <v>24</v>
      </c>
      <c r="B62" t="s">
        <v>619</v>
      </c>
      <c r="C62" t="s">
        <v>620</v>
      </c>
      <c r="D62">
        <v>675533.14000000013</v>
      </c>
      <c r="E62">
        <v>663736.64000000013</v>
      </c>
      <c r="F62">
        <v>11796.5</v>
      </c>
      <c r="G62">
        <v>11796.5</v>
      </c>
      <c r="H62" s="5">
        <v>0</v>
      </c>
      <c r="I62" s="5">
        <v>0</v>
      </c>
      <c r="K62"/>
      <c r="L62"/>
      <c r="M62"/>
      <c r="N62"/>
      <c r="O62"/>
    </row>
    <row r="63" spans="1:15" x14ac:dyDescent="0.35">
      <c r="A63" t="s">
        <v>164</v>
      </c>
      <c r="B63" t="s">
        <v>165</v>
      </c>
      <c r="C63" t="s">
        <v>166</v>
      </c>
      <c r="D63">
        <v>435082.75</v>
      </c>
      <c r="E63">
        <v>432010.27999999997</v>
      </c>
      <c r="F63">
        <v>3072.4700000000003</v>
      </c>
      <c r="G63">
        <v>3072.4700000000003</v>
      </c>
      <c r="H63" s="5">
        <v>0</v>
      </c>
      <c r="I63" s="5">
        <v>0</v>
      </c>
      <c r="K63">
        <v>0</v>
      </c>
      <c r="L63"/>
      <c r="M63"/>
      <c r="N63"/>
      <c r="O63"/>
    </row>
    <row r="64" spans="1:15" x14ac:dyDescent="0.35">
      <c r="A64" t="s">
        <v>16</v>
      </c>
      <c r="B64" t="s">
        <v>547</v>
      </c>
      <c r="C64" t="s">
        <v>548</v>
      </c>
      <c r="D64">
        <v>687040.86</v>
      </c>
      <c r="E64">
        <v>687040.86</v>
      </c>
      <c r="F64">
        <v>0</v>
      </c>
      <c r="G64">
        <v>0</v>
      </c>
      <c r="H64" s="5">
        <v>0</v>
      </c>
      <c r="I64" s="5">
        <v>0</v>
      </c>
      <c r="J64" s="5">
        <v>0</v>
      </c>
      <c r="K64">
        <v>0</v>
      </c>
      <c r="L64"/>
      <c r="M64"/>
      <c r="N64"/>
      <c r="O64"/>
    </row>
    <row r="65" spans="1:15" x14ac:dyDescent="0.35">
      <c r="A65" t="s">
        <v>16</v>
      </c>
      <c r="B65" t="s">
        <v>80</v>
      </c>
      <c r="C65" t="s">
        <v>81</v>
      </c>
      <c r="D65">
        <v>241012.91999999998</v>
      </c>
      <c r="E65">
        <v>241012.91999999998</v>
      </c>
      <c r="F65">
        <v>0</v>
      </c>
      <c r="G65">
        <v>0</v>
      </c>
      <c r="H65" s="5">
        <v>0</v>
      </c>
      <c r="I65" s="5">
        <v>0</v>
      </c>
      <c r="J65" s="5">
        <v>0</v>
      </c>
      <c r="K65">
        <v>0</v>
      </c>
      <c r="L65"/>
      <c r="M65"/>
      <c r="N65"/>
      <c r="O65"/>
    </row>
    <row r="66" spans="1:15" x14ac:dyDescent="0.35">
      <c r="A66" t="s">
        <v>36</v>
      </c>
      <c r="B66" t="s">
        <v>206</v>
      </c>
      <c r="C66" t="s">
        <v>207</v>
      </c>
      <c r="D66">
        <v>230703.73</v>
      </c>
      <c r="E66">
        <v>161822.04</v>
      </c>
      <c r="F66">
        <v>68881.69</v>
      </c>
      <c r="G66">
        <v>68881.69</v>
      </c>
      <c r="H66" s="5">
        <v>0</v>
      </c>
      <c r="I66" s="5">
        <v>0</v>
      </c>
      <c r="K66"/>
      <c r="L66"/>
      <c r="M66"/>
      <c r="N66"/>
      <c r="O66"/>
    </row>
    <row r="67" spans="1:15" x14ac:dyDescent="0.35">
      <c r="A67" t="s">
        <v>36</v>
      </c>
      <c r="B67" t="s">
        <v>517</v>
      </c>
      <c r="C67" t="s">
        <v>518</v>
      </c>
      <c r="D67">
        <v>370986.29000000004</v>
      </c>
      <c r="E67">
        <v>251349.22000000003</v>
      </c>
      <c r="F67">
        <v>119637.06999999999</v>
      </c>
      <c r="G67">
        <v>119637.06999999999</v>
      </c>
      <c r="H67" s="5">
        <v>0</v>
      </c>
      <c r="I67" s="5">
        <v>0</v>
      </c>
      <c r="J67" s="5">
        <v>0</v>
      </c>
      <c r="K67"/>
      <c r="L67"/>
      <c r="M67"/>
      <c r="N67"/>
      <c r="O67"/>
    </row>
    <row r="68" spans="1:15" x14ac:dyDescent="0.35">
      <c r="A68" t="s">
        <v>36</v>
      </c>
      <c r="B68" t="s">
        <v>425</v>
      </c>
      <c r="C68" t="s">
        <v>426</v>
      </c>
      <c r="D68">
        <v>882874.24</v>
      </c>
      <c r="E68">
        <v>706360.79999999993</v>
      </c>
      <c r="F68">
        <v>176513.44</v>
      </c>
      <c r="G68">
        <v>176513.44</v>
      </c>
      <c r="H68" s="5">
        <v>0</v>
      </c>
      <c r="I68" s="5">
        <v>0</v>
      </c>
      <c r="J68" s="5">
        <v>0</v>
      </c>
      <c r="K68">
        <v>0</v>
      </c>
      <c r="L68"/>
      <c r="M68"/>
      <c r="N68"/>
      <c r="O68"/>
    </row>
    <row r="69" spans="1:15" x14ac:dyDescent="0.35">
      <c r="A69" t="s">
        <v>210</v>
      </c>
      <c r="B69" t="s">
        <v>605</v>
      </c>
      <c r="C69" t="s">
        <v>606</v>
      </c>
      <c r="D69">
        <v>64546.5</v>
      </c>
      <c r="E69"/>
      <c r="F69">
        <v>64546.5</v>
      </c>
      <c r="G69">
        <v>45881.34</v>
      </c>
      <c r="H69" s="5">
        <v>18665.16</v>
      </c>
      <c r="I69" s="5">
        <v>0</v>
      </c>
      <c r="J69" s="5">
        <v>0</v>
      </c>
      <c r="K69"/>
      <c r="L69"/>
      <c r="M69"/>
      <c r="N69"/>
      <c r="O69"/>
    </row>
    <row r="70" spans="1:15" x14ac:dyDescent="0.35">
      <c r="A70" t="s">
        <v>164</v>
      </c>
      <c r="B70" t="s">
        <v>3514</v>
      </c>
      <c r="C70" t="s">
        <v>3515</v>
      </c>
      <c r="D70">
        <v>188823.72</v>
      </c>
      <c r="E70">
        <v>188823.72</v>
      </c>
      <c r="F70">
        <v>0</v>
      </c>
      <c r="G70">
        <v>0</v>
      </c>
      <c r="H70" s="5">
        <v>0</v>
      </c>
      <c r="I70" s="5">
        <v>0</v>
      </c>
      <c r="K70"/>
      <c r="L70"/>
      <c r="M70"/>
      <c r="N70"/>
      <c r="O70"/>
    </row>
    <row r="71" spans="1:15" x14ac:dyDescent="0.35">
      <c r="A71" t="s">
        <v>164</v>
      </c>
      <c r="B71" t="s">
        <v>351</v>
      </c>
      <c r="C71" t="s">
        <v>352</v>
      </c>
      <c r="D71">
        <v>1013059.3400000001</v>
      </c>
      <c r="E71">
        <v>1012871.2200000001</v>
      </c>
      <c r="F71">
        <v>188.11999999999929</v>
      </c>
      <c r="G71">
        <v>188.11999999999929</v>
      </c>
      <c r="H71" s="5">
        <v>0</v>
      </c>
      <c r="I71" s="5">
        <v>0</v>
      </c>
      <c r="J71" s="5">
        <v>0</v>
      </c>
      <c r="K71"/>
      <c r="L71"/>
      <c r="M71"/>
      <c r="N71"/>
      <c r="O71"/>
    </row>
    <row r="72" spans="1:15" x14ac:dyDescent="0.35">
      <c r="A72" t="s">
        <v>169</v>
      </c>
      <c r="B72" t="s">
        <v>326</v>
      </c>
      <c r="C72" t="s">
        <v>327</v>
      </c>
      <c r="D72">
        <v>469650.62</v>
      </c>
      <c r="E72">
        <v>469650.62</v>
      </c>
      <c r="F72">
        <v>0</v>
      </c>
      <c r="G72">
        <v>0</v>
      </c>
      <c r="H72" s="5">
        <v>0</v>
      </c>
      <c r="I72" s="5">
        <v>0</v>
      </c>
      <c r="J72" s="5">
        <v>0</v>
      </c>
      <c r="K72">
        <v>0</v>
      </c>
      <c r="L72"/>
      <c r="M72"/>
      <c r="N72"/>
      <c r="O72"/>
    </row>
    <row r="73" spans="1:15" x14ac:dyDescent="0.35">
      <c r="A73" t="s">
        <v>93</v>
      </c>
      <c r="B73" t="s">
        <v>365</v>
      </c>
      <c r="C73" t="s">
        <v>366</v>
      </c>
      <c r="D73">
        <v>1034607.9400000001</v>
      </c>
      <c r="E73">
        <v>640109.42000000004</v>
      </c>
      <c r="F73">
        <v>394498.51999999996</v>
      </c>
      <c r="G73">
        <v>394498.51999999996</v>
      </c>
      <c r="H73" s="5">
        <v>0</v>
      </c>
      <c r="I73" s="5">
        <v>0</v>
      </c>
      <c r="J73" s="5">
        <v>0</v>
      </c>
      <c r="K73"/>
      <c r="L73"/>
      <c r="M73"/>
      <c r="N73"/>
      <c r="O73"/>
    </row>
    <row r="74" spans="1:15" x14ac:dyDescent="0.35">
      <c r="A74" t="s">
        <v>55</v>
      </c>
      <c r="B74" t="s">
        <v>1219</v>
      </c>
      <c r="C74" t="s">
        <v>1220</v>
      </c>
      <c r="D74">
        <v>230387.37</v>
      </c>
      <c r="E74">
        <v>102420.46</v>
      </c>
      <c r="F74">
        <v>127966.91</v>
      </c>
      <c r="G74">
        <v>127966.91</v>
      </c>
      <c r="I74" s="5">
        <v>0</v>
      </c>
      <c r="J74" s="5">
        <v>0</v>
      </c>
      <c r="K74"/>
      <c r="L74"/>
      <c r="M74"/>
      <c r="N74"/>
      <c r="O74"/>
    </row>
    <row r="75" spans="1:15" x14ac:dyDescent="0.35">
      <c r="A75" t="s">
        <v>55</v>
      </c>
      <c r="B75" t="s">
        <v>793</v>
      </c>
      <c r="C75" t="s">
        <v>794</v>
      </c>
      <c r="D75">
        <v>241291.61</v>
      </c>
      <c r="E75">
        <v>214844.96</v>
      </c>
      <c r="F75">
        <v>26446.65</v>
      </c>
      <c r="G75">
        <v>26446.65</v>
      </c>
      <c r="I75" s="5">
        <v>0</v>
      </c>
      <c r="K75">
        <v>0</v>
      </c>
      <c r="L75"/>
      <c r="M75"/>
      <c r="N75"/>
      <c r="O75"/>
    </row>
    <row r="76" spans="1:15" x14ac:dyDescent="0.35">
      <c r="A76" t="s">
        <v>16</v>
      </c>
      <c r="B76" t="s">
        <v>227</v>
      </c>
      <c r="C76" t="s">
        <v>228</v>
      </c>
      <c r="D76">
        <v>1077434.8599999999</v>
      </c>
      <c r="E76">
        <v>935157.69</v>
      </c>
      <c r="F76">
        <v>142277.17000000001</v>
      </c>
      <c r="G76">
        <v>142277.17000000001</v>
      </c>
      <c r="H76" s="5">
        <v>0</v>
      </c>
      <c r="I76" s="5">
        <v>0</v>
      </c>
      <c r="J76" s="5">
        <v>0</v>
      </c>
      <c r="K76"/>
      <c r="L76"/>
      <c r="M76"/>
      <c r="N76"/>
      <c r="O76"/>
    </row>
    <row r="77" spans="1:15" x14ac:dyDescent="0.35">
      <c r="A77" t="s">
        <v>164</v>
      </c>
      <c r="B77" t="s">
        <v>637</v>
      </c>
      <c r="C77" t="s">
        <v>638</v>
      </c>
      <c r="D77">
        <v>169913.16</v>
      </c>
      <c r="E77">
        <v>169913.16</v>
      </c>
      <c r="F77">
        <v>0</v>
      </c>
      <c r="G77">
        <v>0</v>
      </c>
      <c r="H77" s="5">
        <v>0</v>
      </c>
      <c r="I77" s="5">
        <v>0</v>
      </c>
      <c r="J77" s="5">
        <v>0</v>
      </c>
      <c r="K77"/>
      <c r="L77"/>
      <c r="M77"/>
      <c r="N77"/>
      <c r="O77"/>
    </row>
    <row r="78" spans="1:15" x14ac:dyDescent="0.35">
      <c r="A78" t="s">
        <v>16</v>
      </c>
      <c r="B78" t="s">
        <v>245</v>
      </c>
      <c r="C78" t="s">
        <v>246</v>
      </c>
      <c r="D78">
        <v>317636.12</v>
      </c>
      <c r="E78">
        <v>317636.12</v>
      </c>
      <c r="F78">
        <v>0</v>
      </c>
      <c r="G78">
        <v>0</v>
      </c>
      <c r="H78" s="5">
        <v>0</v>
      </c>
      <c r="I78" s="5">
        <v>0</v>
      </c>
      <c r="K78"/>
      <c r="L78"/>
      <c r="M78"/>
      <c r="N78"/>
      <c r="O78"/>
    </row>
    <row r="79" spans="1:15" x14ac:dyDescent="0.35">
      <c r="A79" t="s">
        <v>24</v>
      </c>
      <c r="B79" t="s">
        <v>705</v>
      </c>
      <c r="C79" t="s">
        <v>706</v>
      </c>
      <c r="D79">
        <v>148918.96</v>
      </c>
      <c r="E79">
        <v>148918.96</v>
      </c>
      <c r="F79">
        <v>0</v>
      </c>
      <c r="G79">
        <v>0</v>
      </c>
      <c r="H79" s="5">
        <v>0</v>
      </c>
      <c r="I79" s="5">
        <v>0</v>
      </c>
      <c r="J79" s="5">
        <v>0</v>
      </c>
      <c r="K79"/>
      <c r="L79"/>
      <c r="M79"/>
      <c r="N79"/>
      <c r="O79"/>
    </row>
    <row r="80" spans="1:15" x14ac:dyDescent="0.35">
      <c r="A80" t="s">
        <v>46</v>
      </c>
      <c r="B80" t="s">
        <v>1215</v>
      </c>
      <c r="C80" t="s">
        <v>1216</v>
      </c>
      <c r="D80">
        <v>54238.42</v>
      </c>
      <c r="E80">
        <v>29965.4</v>
      </c>
      <c r="F80">
        <v>24273.02</v>
      </c>
      <c r="G80">
        <v>24273.02</v>
      </c>
      <c r="J80" s="5">
        <v>0</v>
      </c>
      <c r="K80"/>
      <c r="L80">
        <v>0</v>
      </c>
      <c r="M80"/>
      <c r="N80"/>
      <c r="O80"/>
    </row>
    <row r="81" spans="1:15" x14ac:dyDescent="0.35">
      <c r="A81" t="s">
        <v>19</v>
      </c>
      <c r="B81" t="s">
        <v>703</v>
      </c>
      <c r="C81" t="s">
        <v>704</v>
      </c>
      <c r="D81">
        <v>205725.23</v>
      </c>
      <c r="E81">
        <v>203884.46000000002</v>
      </c>
      <c r="F81">
        <v>1840.77</v>
      </c>
      <c r="G81">
        <v>1840.77</v>
      </c>
      <c r="H81" s="5">
        <v>0</v>
      </c>
      <c r="I81" s="5">
        <v>0</v>
      </c>
      <c r="J81" s="5">
        <v>0</v>
      </c>
      <c r="K81"/>
      <c r="L81"/>
      <c r="M81"/>
      <c r="N81"/>
      <c r="O81"/>
    </row>
    <row r="82" spans="1:15" x14ac:dyDescent="0.35">
      <c r="A82" t="s">
        <v>33</v>
      </c>
      <c r="B82" t="s">
        <v>683</v>
      </c>
      <c r="C82" t="s">
        <v>684</v>
      </c>
      <c r="D82">
        <v>3217974.1699999995</v>
      </c>
      <c r="E82">
        <v>2742593.6399999997</v>
      </c>
      <c r="F82">
        <v>475380.53</v>
      </c>
      <c r="G82">
        <v>475380.53</v>
      </c>
      <c r="H82" s="5">
        <v>0</v>
      </c>
      <c r="I82" s="5">
        <v>0</v>
      </c>
      <c r="J82" s="5">
        <v>0</v>
      </c>
      <c r="K82"/>
      <c r="L82"/>
      <c r="M82"/>
      <c r="N82"/>
      <c r="O82"/>
    </row>
    <row r="83" spans="1:15" x14ac:dyDescent="0.35">
      <c r="A83" t="s">
        <v>88</v>
      </c>
      <c r="B83" t="s">
        <v>221</v>
      </c>
      <c r="C83" t="s">
        <v>222</v>
      </c>
      <c r="D83">
        <v>1053699.24</v>
      </c>
      <c r="E83">
        <v>969409.90999999992</v>
      </c>
      <c r="F83">
        <v>84289.33</v>
      </c>
      <c r="G83">
        <v>84289.33</v>
      </c>
      <c r="H83" s="5">
        <v>0</v>
      </c>
      <c r="I83" s="5">
        <v>0</v>
      </c>
      <c r="J83" s="5">
        <v>0</v>
      </c>
      <c r="K83"/>
      <c r="L83"/>
      <c r="M83"/>
      <c r="N83"/>
      <c r="O83"/>
    </row>
    <row r="84" spans="1:15" x14ac:dyDescent="0.35">
      <c r="A84" t="s">
        <v>210</v>
      </c>
      <c r="B84" t="s">
        <v>923</v>
      </c>
      <c r="C84" t="s">
        <v>924</v>
      </c>
      <c r="D84">
        <v>409335.01999999996</v>
      </c>
      <c r="E84">
        <v>258926.22</v>
      </c>
      <c r="F84">
        <v>150408.79999999999</v>
      </c>
      <c r="G84">
        <v>150408.79999999999</v>
      </c>
      <c r="I84" s="5">
        <v>0</v>
      </c>
      <c r="J84" s="5">
        <v>0</v>
      </c>
      <c r="K84">
        <v>0</v>
      </c>
      <c r="L84"/>
      <c r="M84"/>
      <c r="N84"/>
      <c r="O84"/>
    </row>
    <row r="85" spans="1:15" x14ac:dyDescent="0.35">
      <c r="A85" t="s">
        <v>210</v>
      </c>
      <c r="B85" t="s">
        <v>304</v>
      </c>
      <c r="C85" t="s">
        <v>305</v>
      </c>
      <c r="D85">
        <v>354342</v>
      </c>
      <c r="E85">
        <v>354285.57999999996</v>
      </c>
      <c r="F85">
        <v>56.42</v>
      </c>
      <c r="G85">
        <v>56.42</v>
      </c>
      <c r="H85" s="5">
        <v>0</v>
      </c>
      <c r="I85" s="5">
        <v>0</v>
      </c>
      <c r="J85" s="5">
        <v>0</v>
      </c>
      <c r="K85"/>
      <c r="L85"/>
      <c r="M85"/>
      <c r="N85"/>
      <c r="O85"/>
    </row>
    <row r="86" spans="1:15" x14ac:dyDescent="0.35">
      <c r="A86" t="s">
        <v>210</v>
      </c>
      <c r="B86" t="s">
        <v>715</v>
      </c>
      <c r="C86" t="s">
        <v>716</v>
      </c>
      <c r="D86">
        <v>1780425.3399999999</v>
      </c>
      <c r="E86">
        <v>1774784</v>
      </c>
      <c r="F86">
        <v>5641.34</v>
      </c>
      <c r="G86">
        <v>5641.34</v>
      </c>
      <c r="H86" s="5">
        <v>0</v>
      </c>
      <c r="I86" s="5">
        <v>0</v>
      </c>
      <c r="J86" s="5">
        <v>0</v>
      </c>
      <c r="K86">
        <v>0</v>
      </c>
      <c r="L86"/>
      <c r="M86"/>
      <c r="N86"/>
      <c r="O86"/>
    </row>
    <row r="87" spans="1:15" x14ac:dyDescent="0.35">
      <c r="A87" t="s">
        <v>30</v>
      </c>
      <c r="B87" t="s">
        <v>579</v>
      </c>
      <c r="C87" t="s">
        <v>580</v>
      </c>
      <c r="D87">
        <v>1588261.96</v>
      </c>
      <c r="E87">
        <v>1512311.82</v>
      </c>
      <c r="F87">
        <v>75950.14</v>
      </c>
      <c r="G87">
        <v>75950.14</v>
      </c>
      <c r="H87" s="5">
        <v>0</v>
      </c>
      <c r="I87" s="5">
        <v>0</v>
      </c>
      <c r="J87" s="5">
        <v>0</v>
      </c>
      <c r="K87"/>
      <c r="L87"/>
      <c r="M87"/>
      <c r="N87"/>
      <c r="O87"/>
    </row>
    <row r="88" spans="1:15" x14ac:dyDescent="0.35">
      <c r="A88" t="s">
        <v>210</v>
      </c>
      <c r="B88" t="s">
        <v>379</v>
      </c>
      <c r="C88" t="s">
        <v>380</v>
      </c>
      <c r="D88">
        <v>842422.78000000014</v>
      </c>
      <c r="E88">
        <v>725054.70000000019</v>
      </c>
      <c r="F88">
        <v>117368.08</v>
      </c>
      <c r="G88">
        <v>117368.08</v>
      </c>
      <c r="H88" s="5">
        <v>0</v>
      </c>
      <c r="I88" s="5">
        <v>0</v>
      </c>
      <c r="J88" s="5">
        <v>0</v>
      </c>
      <c r="K88"/>
      <c r="L88"/>
      <c r="M88"/>
      <c r="N88"/>
      <c r="O88"/>
    </row>
    <row r="89" spans="1:15" x14ac:dyDescent="0.35">
      <c r="A89" t="s">
        <v>30</v>
      </c>
      <c r="B89" t="s">
        <v>755</v>
      </c>
      <c r="C89" t="s">
        <v>756</v>
      </c>
      <c r="D89">
        <v>339188.39</v>
      </c>
      <c r="E89">
        <v>339188.39</v>
      </c>
      <c r="F89">
        <v>0</v>
      </c>
      <c r="G89"/>
      <c r="H89" s="5">
        <v>0</v>
      </c>
      <c r="I89" s="5">
        <v>0</v>
      </c>
      <c r="K89"/>
      <c r="L89"/>
      <c r="M89"/>
      <c r="N89"/>
      <c r="O89"/>
    </row>
    <row r="90" spans="1:15" x14ac:dyDescent="0.35">
      <c r="A90" t="s">
        <v>100</v>
      </c>
      <c r="B90" t="s">
        <v>955</v>
      </c>
      <c r="C90" t="s">
        <v>956</v>
      </c>
      <c r="D90">
        <v>337534.97</v>
      </c>
      <c r="E90">
        <v>311343.96999999997</v>
      </c>
      <c r="F90">
        <v>26191</v>
      </c>
      <c r="G90">
        <v>26191</v>
      </c>
      <c r="H90" s="5">
        <v>0</v>
      </c>
      <c r="I90" s="5">
        <v>0</v>
      </c>
      <c r="K90">
        <v>0</v>
      </c>
      <c r="L90"/>
      <c r="M90"/>
      <c r="N90"/>
      <c r="O90"/>
    </row>
    <row r="91" spans="1:15" x14ac:dyDescent="0.35">
      <c r="A91" t="s">
        <v>100</v>
      </c>
      <c r="B91" t="s">
        <v>3516</v>
      </c>
      <c r="C91" t="s">
        <v>3517</v>
      </c>
      <c r="D91">
        <v>472306.04000000004</v>
      </c>
      <c r="E91">
        <v>375702.63</v>
      </c>
      <c r="F91">
        <v>96603.41</v>
      </c>
      <c r="G91">
        <v>96603.41</v>
      </c>
      <c r="H91" s="5">
        <v>0</v>
      </c>
      <c r="I91" s="5">
        <v>0</v>
      </c>
      <c r="J91" s="5">
        <v>0</v>
      </c>
      <c r="K91"/>
      <c r="L91"/>
      <c r="M91"/>
      <c r="N91"/>
      <c r="O91"/>
    </row>
    <row r="92" spans="1:15" x14ac:dyDescent="0.35">
      <c r="A92" t="s">
        <v>93</v>
      </c>
      <c r="B92" t="s">
        <v>3518</v>
      </c>
      <c r="C92" t="s">
        <v>3519</v>
      </c>
      <c r="D92">
        <v>307025.74000000005</v>
      </c>
      <c r="E92">
        <v>307025.74000000005</v>
      </c>
      <c r="F92">
        <v>0</v>
      </c>
      <c r="G92"/>
      <c r="H92" s="5">
        <v>0</v>
      </c>
      <c r="J92" s="5">
        <v>0</v>
      </c>
      <c r="K92"/>
      <c r="L92"/>
      <c r="M92"/>
      <c r="N92"/>
      <c r="O92"/>
    </row>
    <row r="93" spans="1:15" x14ac:dyDescent="0.35">
      <c r="A93" t="s">
        <v>93</v>
      </c>
      <c r="B93" t="s">
        <v>204</v>
      </c>
      <c r="C93" t="s">
        <v>205</v>
      </c>
      <c r="D93">
        <v>814355.87</v>
      </c>
      <c r="E93">
        <v>814355.87</v>
      </c>
      <c r="F93">
        <v>0</v>
      </c>
      <c r="G93">
        <v>0</v>
      </c>
      <c r="H93" s="5">
        <v>0</v>
      </c>
      <c r="I93" s="5">
        <v>0</v>
      </c>
      <c r="K93"/>
      <c r="L93"/>
      <c r="M93"/>
      <c r="N93"/>
      <c r="O93"/>
    </row>
    <row r="94" spans="1:15" x14ac:dyDescent="0.35">
      <c r="A94" t="s">
        <v>275</v>
      </c>
      <c r="B94" t="s">
        <v>407</v>
      </c>
      <c r="C94" t="s">
        <v>408</v>
      </c>
      <c r="D94">
        <v>1025674.37</v>
      </c>
      <c r="E94">
        <v>534278.72</v>
      </c>
      <c r="F94">
        <v>491395.65</v>
      </c>
      <c r="G94">
        <v>491395.65</v>
      </c>
      <c r="I94" s="5">
        <v>0</v>
      </c>
      <c r="J94" s="5">
        <v>0</v>
      </c>
      <c r="K94"/>
      <c r="L94"/>
      <c r="M94"/>
      <c r="N94"/>
      <c r="O94"/>
    </row>
    <row r="95" spans="1:15" x14ac:dyDescent="0.35">
      <c r="A95" t="s">
        <v>100</v>
      </c>
      <c r="B95" t="s">
        <v>3520</v>
      </c>
      <c r="C95" t="s">
        <v>3521</v>
      </c>
      <c r="D95">
        <v>748373.50999999989</v>
      </c>
      <c r="E95">
        <v>747860.39999999991</v>
      </c>
      <c r="F95">
        <v>513.10999999998603</v>
      </c>
      <c r="G95">
        <v>513.10999999998603</v>
      </c>
      <c r="H95" s="5">
        <v>0</v>
      </c>
      <c r="K95"/>
      <c r="L95"/>
      <c r="M95"/>
      <c r="N95"/>
      <c r="O95"/>
    </row>
    <row r="96" spans="1:15" x14ac:dyDescent="0.35">
      <c r="A96" t="s">
        <v>24</v>
      </c>
      <c r="B96" t="s">
        <v>176</v>
      </c>
      <c r="C96" t="s">
        <v>177</v>
      </c>
      <c r="D96">
        <v>548799.12</v>
      </c>
      <c r="E96">
        <v>548799.12</v>
      </c>
      <c r="F96">
        <v>0</v>
      </c>
      <c r="G96">
        <v>0</v>
      </c>
      <c r="H96" s="5">
        <v>0</v>
      </c>
      <c r="I96" s="5">
        <v>0</v>
      </c>
      <c r="J96" s="5">
        <v>0</v>
      </c>
      <c r="K96"/>
      <c r="L96"/>
      <c r="M96"/>
      <c r="N96"/>
      <c r="O96"/>
    </row>
    <row r="97" spans="1:15" x14ac:dyDescent="0.35">
      <c r="A97" t="s">
        <v>100</v>
      </c>
      <c r="B97" t="s">
        <v>1155</v>
      </c>
      <c r="C97" t="s">
        <v>1156</v>
      </c>
      <c r="D97">
        <v>484495.26</v>
      </c>
      <c r="E97">
        <v>484495.26</v>
      </c>
      <c r="F97">
        <v>0</v>
      </c>
      <c r="G97">
        <v>0</v>
      </c>
      <c r="I97" s="5">
        <v>0</v>
      </c>
      <c r="J97" s="5">
        <v>0</v>
      </c>
      <c r="K97"/>
      <c r="L97"/>
      <c r="M97"/>
      <c r="N97"/>
      <c r="O97"/>
    </row>
    <row r="98" spans="1:15" x14ac:dyDescent="0.35">
      <c r="A98" t="s">
        <v>93</v>
      </c>
      <c r="B98" t="s">
        <v>3522</v>
      </c>
      <c r="C98" t="s">
        <v>3523</v>
      </c>
      <c r="D98">
        <v>42140.160000000003</v>
      </c>
      <c r="E98">
        <v>42140.160000000003</v>
      </c>
      <c r="F98"/>
      <c r="G98"/>
      <c r="K98"/>
      <c r="L98"/>
      <c r="M98"/>
      <c r="N98"/>
      <c r="O98"/>
    </row>
    <row r="99" spans="1:15" x14ac:dyDescent="0.35">
      <c r="A99" t="s">
        <v>275</v>
      </c>
      <c r="B99" t="s">
        <v>769</v>
      </c>
      <c r="C99" t="s">
        <v>770</v>
      </c>
      <c r="D99">
        <v>1234014.0999999999</v>
      </c>
      <c r="E99">
        <v>1233953.1399999999</v>
      </c>
      <c r="F99">
        <v>60.96</v>
      </c>
      <c r="G99">
        <v>60.96</v>
      </c>
      <c r="H99" s="5">
        <v>0</v>
      </c>
      <c r="I99" s="5">
        <v>0</v>
      </c>
      <c r="K99">
        <v>0</v>
      </c>
      <c r="L99"/>
      <c r="M99"/>
      <c r="N99"/>
      <c r="O99"/>
    </row>
    <row r="100" spans="1:15" x14ac:dyDescent="0.35">
      <c r="A100" t="s">
        <v>24</v>
      </c>
      <c r="B100" t="s">
        <v>583</v>
      </c>
      <c r="C100" t="s">
        <v>584</v>
      </c>
      <c r="D100">
        <v>948014.89000000013</v>
      </c>
      <c r="E100">
        <v>948014.89000000013</v>
      </c>
      <c r="F100">
        <v>0</v>
      </c>
      <c r="G100"/>
      <c r="H100" s="5">
        <v>0</v>
      </c>
      <c r="I100" s="5">
        <v>0</v>
      </c>
      <c r="J100" s="5">
        <v>0</v>
      </c>
      <c r="K100"/>
      <c r="L100"/>
      <c r="M100"/>
      <c r="N100"/>
      <c r="O100"/>
    </row>
    <row r="101" spans="1:15" x14ac:dyDescent="0.35">
      <c r="A101" t="s">
        <v>100</v>
      </c>
      <c r="B101" t="s">
        <v>447</v>
      </c>
      <c r="C101" t="s">
        <v>448</v>
      </c>
      <c r="D101">
        <v>1047293.5800000001</v>
      </c>
      <c r="E101">
        <v>1047163.7</v>
      </c>
      <c r="F101">
        <v>129.88</v>
      </c>
      <c r="G101">
        <v>129.88</v>
      </c>
      <c r="H101" s="5">
        <v>0</v>
      </c>
      <c r="I101" s="5">
        <v>0</v>
      </c>
      <c r="J101" s="5">
        <v>0</v>
      </c>
      <c r="K101"/>
      <c r="L101"/>
      <c r="M101"/>
      <c r="N101"/>
      <c r="O101"/>
    </row>
    <row r="102" spans="1:15" x14ac:dyDescent="0.35">
      <c r="A102" t="s">
        <v>88</v>
      </c>
      <c r="B102" t="s">
        <v>1245</v>
      </c>
      <c r="C102" t="s">
        <v>1246</v>
      </c>
      <c r="D102">
        <v>430178.4</v>
      </c>
      <c r="E102">
        <v>430178.4</v>
      </c>
      <c r="F102">
        <v>0</v>
      </c>
      <c r="G102"/>
      <c r="J102" s="5">
        <v>0</v>
      </c>
      <c r="K102">
        <v>0</v>
      </c>
      <c r="L102"/>
      <c r="M102"/>
      <c r="N102"/>
      <c r="O102"/>
    </row>
    <row r="103" spans="1:15" x14ac:dyDescent="0.35">
      <c r="A103" t="s">
        <v>88</v>
      </c>
      <c r="B103" t="s">
        <v>455</v>
      </c>
      <c r="C103" t="s">
        <v>456</v>
      </c>
      <c r="D103">
        <v>1221831.5</v>
      </c>
      <c r="E103">
        <v>1152312.3400000001</v>
      </c>
      <c r="F103">
        <v>69519.16</v>
      </c>
      <c r="G103">
        <v>69519.16</v>
      </c>
      <c r="H103" s="5">
        <v>0</v>
      </c>
      <c r="J103" s="5">
        <v>0</v>
      </c>
      <c r="K103">
        <v>0</v>
      </c>
      <c r="L103"/>
      <c r="M103"/>
      <c r="N103"/>
      <c r="O103"/>
    </row>
    <row r="104" spans="1:15" x14ac:dyDescent="0.35">
      <c r="A104" t="s">
        <v>93</v>
      </c>
      <c r="B104" t="s">
        <v>343</v>
      </c>
      <c r="C104" t="s">
        <v>344</v>
      </c>
      <c r="D104">
        <v>505778.33</v>
      </c>
      <c r="E104">
        <v>456663.4</v>
      </c>
      <c r="F104">
        <v>49114.93</v>
      </c>
      <c r="G104">
        <v>49114.93</v>
      </c>
      <c r="H104" s="5">
        <v>0</v>
      </c>
      <c r="I104" s="5">
        <v>0</v>
      </c>
      <c r="K104">
        <v>0</v>
      </c>
      <c r="L104"/>
      <c r="M104"/>
      <c r="N104"/>
      <c r="O104"/>
    </row>
    <row r="105" spans="1:15" x14ac:dyDescent="0.35">
      <c r="A105" t="s">
        <v>93</v>
      </c>
      <c r="B105" t="s">
        <v>511</v>
      </c>
      <c r="C105" t="s">
        <v>512</v>
      </c>
      <c r="D105">
        <v>528336.4</v>
      </c>
      <c r="E105">
        <v>528336.4</v>
      </c>
      <c r="F105">
        <v>0</v>
      </c>
      <c r="G105"/>
      <c r="H105" s="5">
        <v>0</v>
      </c>
      <c r="I105" s="5">
        <v>0</v>
      </c>
      <c r="K105"/>
      <c r="L105"/>
      <c r="M105"/>
      <c r="N105"/>
      <c r="O105"/>
    </row>
    <row r="106" spans="1:15" x14ac:dyDescent="0.35">
      <c r="A106" t="s">
        <v>169</v>
      </c>
      <c r="B106" t="s">
        <v>639</v>
      </c>
      <c r="C106" t="s">
        <v>640</v>
      </c>
      <c r="D106">
        <v>391223.59</v>
      </c>
      <c r="E106">
        <v>391223.59</v>
      </c>
      <c r="F106">
        <v>0</v>
      </c>
      <c r="G106">
        <v>0</v>
      </c>
      <c r="H106" s="5">
        <v>0</v>
      </c>
      <c r="I106" s="5">
        <v>0</v>
      </c>
      <c r="J106" s="5">
        <v>0</v>
      </c>
      <c r="K106"/>
      <c r="L106"/>
      <c r="M106"/>
      <c r="N106"/>
      <c r="O106"/>
    </row>
    <row r="107" spans="1:15" x14ac:dyDescent="0.35">
      <c r="A107" t="s">
        <v>88</v>
      </c>
      <c r="B107" t="s">
        <v>3524</v>
      </c>
      <c r="C107" t="s">
        <v>3525</v>
      </c>
      <c r="D107">
        <v>338793.84</v>
      </c>
      <c r="E107">
        <v>338793.84</v>
      </c>
      <c r="F107">
        <v>0</v>
      </c>
      <c r="G107">
        <v>0</v>
      </c>
      <c r="I107" s="5">
        <v>0</v>
      </c>
      <c r="K107"/>
      <c r="L107"/>
      <c r="M107"/>
      <c r="N107"/>
      <c r="O107"/>
    </row>
    <row r="108" spans="1:15" x14ac:dyDescent="0.35">
      <c r="A108" t="s">
        <v>100</v>
      </c>
      <c r="B108" t="s">
        <v>1121</v>
      </c>
      <c r="C108" t="s">
        <v>1122</v>
      </c>
      <c r="D108">
        <v>2135813.19</v>
      </c>
      <c r="E108">
        <v>2056716.44</v>
      </c>
      <c r="F108">
        <v>79096.75</v>
      </c>
      <c r="G108">
        <v>79096.75</v>
      </c>
      <c r="I108" s="5">
        <v>0</v>
      </c>
      <c r="J108" s="5">
        <v>0</v>
      </c>
      <c r="K108"/>
      <c r="L108"/>
      <c r="M108"/>
      <c r="N108"/>
      <c r="O108"/>
    </row>
    <row r="109" spans="1:15" x14ac:dyDescent="0.35">
      <c r="A109" t="s">
        <v>164</v>
      </c>
      <c r="B109" t="s">
        <v>3526</v>
      </c>
      <c r="C109" t="s">
        <v>3527</v>
      </c>
      <c r="D109">
        <v>310387.19999999995</v>
      </c>
      <c r="E109">
        <v>310387.19999999995</v>
      </c>
      <c r="F109">
        <v>0</v>
      </c>
      <c r="G109">
        <v>0</v>
      </c>
      <c r="H109" s="5">
        <v>0</v>
      </c>
      <c r="I109" s="5">
        <v>0</v>
      </c>
      <c r="K109">
        <v>0</v>
      </c>
      <c r="L109"/>
      <c r="M109"/>
      <c r="N109"/>
      <c r="O109"/>
    </row>
    <row r="110" spans="1:15" x14ac:dyDescent="0.35">
      <c r="A110" t="s">
        <v>46</v>
      </c>
      <c r="B110" t="s">
        <v>47</v>
      </c>
      <c r="C110" t="s">
        <v>48</v>
      </c>
      <c r="D110">
        <v>453660.88000000006</v>
      </c>
      <c r="E110">
        <v>453660.88000000006</v>
      </c>
      <c r="F110">
        <v>0</v>
      </c>
      <c r="G110">
        <v>0</v>
      </c>
      <c r="H110" s="5">
        <v>0</v>
      </c>
      <c r="I110" s="5">
        <v>0</v>
      </c>
      <c r="K110"/>
      <c r="L110"/>
      <c r="M110"/>
      <c r="N110"/>
      <c r="O110"/>
    </row>
    <row r="111" spans="1:15" x14ac:dyDescent="0.35">
      <c r="A111" t="s">
        <v>46</v>
      </c>
      <c r="B111" t="s">
        <v>437</v>
      </c>
      <c r="C111" t="s">
        <v>438</v>
      </c>
      <c r="D111">
        <v>2209498.9099999997</v>
      </c>
      <c r="E111">
        <v>2209498.9099999997</v>
      </c>
      <c r="F111">
        <v>0</v>
      </c>
      <c r="G111">
        <v>0</v>
      </c>
      <c r="H111" s="5">
        <v>0</v>
      </c>
      <c r="I111" s="5">
        <v>0</v>
      </c>
      <c r="J111" s="5">
        <v>0</v>
      </c>
      <c r="K111"/>
      <c r="L111"/>
      <c r="M111"/>
      <c r="N111"/>
      <c r="O111"/>
    </row>
    <row r="112" spans="1:15" x14ac:dyDescent="0.35">
      <c r="A112" t="s">
        <v>24</v>
      </c>
      <c r="B112" t="s">
        <v>629</v>
      </c>
      <c r="C112" t="s">
        <v>630</v>
      </c>
      <c r="D112">
        <v>266724.83999999997</v>
      </c>
      <c r="E112">
        <v>266724.83999999997</v>
      </c>
      <c r="F112">
        <v>0</v>
      </c>
      <c r="G112">
        <v>0</v>
      </c>
      <c r="H112" s="5">
        <v>0</v>
      </c>
      <c r="I112" s="5">
        <v>0</v>
      </c>
      <c r="K112"/>
      <c r="L112"/>
      <c r="M112"/>
      <c r="N112"/>
      <c r="O112"/>
    </row>
    <row r="113" spans="1:15" x14ac:dyDescent="0.35">
      <c r="A113" t="s">
        <v>19</v>
      </c>
      <c r="B113" t="s">
        <v>823</v>
      </c>
      <c r="C113" t="s">
        <v>824</v>
      </c>
      <c r="D113">
        <v>57010.74</v>
      </c>
      <c r="E113">
        <v>56587.619999999995</v>
      </c>
      <c r="F113">
        <v>423.12000000000302</v>
      </c>
      <c r="G113">
        <v>423.12000000000302</v>
      </c>
      <c r="H113" s="5">
        <v>0</v>
      </c>
      <c r="I113" s="5">
        <v>0</v>
      </c>
      <c r="J113" s="5">
        <v>0</v>
      </c>
      <c r="K113">
        <v>0</v>
      </c>
      <c r="L113"/>
      <c r="M113"/>
      <c r="N113"/>
      <c r="O113"/>
    </row>
    <row r="114" spans="1:15" x14ac:dyDescent="0.35">
      <c r="A114" t="s">
        <v>19</v>
      </c>
      <c r="B114" t="s">
        <v>20</v>
      </c>
      <c r="C114" t="s">
        <v>21</v>
      </c>
      <c r="D114">
        <v>586803.05999999994</v>
      </c>
      <c r="E114">
        <v>586802.93999999994</v>
      </c>
      <c r="F114">
        <v>0.11999999999898101</v>
      </c>
      <c r="G114">
        <v>0.11999999999898101</v>
      </c>
      <c r="H114" s="5">
        <v>0</v>
      </c>
      <c r="I114" s="5">
        <v>0</v>
      </c>
      <c r="J114" s="5">
        <v>0</v>
      </c>
      <c r="K114"/>
      <c r="L114"/>
      <c r="M114"/>
      <c r="N114"/>
      <c r="O114"/>
    </row>
    <row r="115" spans="1:15" x14ac:dyDescent="0.35">
      <c r="A115" t="s">
        <v>24</v>
      </c>
      <c r="B115" t="s">
        <v>391</v>
      </c>
      <c r="C115" t="s">
        <v>392</v>
      </c>
      <c r="D115">
        <v>1630001.81</v>
      </c>
      <c r="E115">
        <v>1630001.81</v>
      </c>
      <c r="F115">
        <v>0</v>
      </c>
      <c r="G115">
        <v>0</v>
      </c>
      <c r="H115" s="5">
        <v>0</v>
      </c>
      <c r="I115" s="5">
        <v>0</v>
      </c>
      <c r="K115"/>
      <c r="L115"/>
      <c r="M115"/>
      <c r="N115"/>
      <c r="O115"/>
    </row>
    <row r="116" spans="1:15" x14ac:dyDescent="0.35">
      <c r="A116" t="s">
        <v>19</v>
      </c>
      <c r="B116" t="s">
        <v>156</v>
      </c>
      <c r="C116" t="s">
        <v>157</v>
      </c>
      <c r="D116">
        <v>180463.88</v>
      </c>
      <c r="E116">
        <v>180463.88</v>
      </c>
      <c r="F116">
        <v>0</v>
      </c>
      <c r="G116">
        <v>0</v>
      </c>
      <c r="H116" s="5">
        <v>0</v>
      </c>
      <c r="I116" s="5">
        <v>0</v>
      </c>
      <c r="J116" s="5">
        <v>0</v>
      </c>
      <c r="K116"/>
      <c r="L116"/>
      <c r="M116"/>
      <c r="N116"/>
      <c r="O116"/>
    </row>
    <row r="117" spans="1:15" x14ac:dyDescent="0.35">
      <c r="A117" t="s">
        <v>19</v>
      </c>
      <c r="B117" t="s">
        <v>541</v>
      </c>
      <c r="C117" t="s">
        <v>542</v>
      </c>
      <c r="D117">
        <v>768725.84000000008</v>
      </c>
      <c r="E117">
        <v>768725.84000000008</v>
      </c>
      <c r="F117">
        <v>0</v>
      </c>
      <c r="G117">
        <v>0</v>
      </c>
      <c r="H117" s="5">
        <v>0</v>
      </c>
      <c r="I117" s="5">
        <v>0</v>
      </c>
      <c r="J117" s="5">
        <v>0</v>
      </c>
      <c r="K117"/>
      <c r="L117"/>
      <c r="M117"/>
      <c r="N117"/>
      <c r="O117"/>
    </row>
    <row r="118" spans="1:15" x14ac:dyDescent="0.35">
      <c r="A118" t="s">
        <v>19</v>
      </c>
      <c r="B118" t="s">
        <v>184</v>
      </c>
      <c r="C118" t="s">
        <v>185</v>
      </c>
      <c r="D118">
        <v>582605.80000000005</v>
      </c>
      <c r="E118">
        <v>582605.80000000005</v>
      </c>
      <c r="F118">
        <v>0</v>
      </c>
      <c r="G118">
        <v>0</v>
      </c>
      <c r="H118" s="5">
        <v>0</v>
      </c>
      <c r="I118" s="5">
        <v>0</v>
      </c>
      <c r="J118" s="5">
        <v>0</v>
      </c>
      <c r="K118"/>
      <c r="L118"/>
      <c r="M118"/>
      <c r="N118"/>
      <c r="O118"/>
    </row>
    <row r="119" spans="1:15" x14ac:dyDescent="0.35">
      <c r="A119" t="s">
        <v>19</v>
      </c>
      <c r="B119" t="s">
        <v>1009</v>
      </c>
      <c r="C119" t="s">
        <v>1010</v>
      </c>
      <c r="D119">
        <v>255093.72</v>
      </c>
      <c r="E119">
        <v>247448.8</v>
      </c>
      <c r="F119">
        <v>7644.92</v>
      </c>
      <c r="G119">
        <v>7644.92</v>
      </c>
      <c r="H119" s="5">
        <v>0</v>
      </c>
      <c r="I119" s="5">
        <v>0</v>
      </c>
      <c r="J119" s="5">
        <v>0</v>
      </c>
      <c r="K119">
        <v>0</v>
      </c>
      <c r="L119"/>
      <c r="M119"/>
      <c r="N119"/>
      <c r="O119"/>
    </row>
    <row r="120" spans="1:15" x14ac:dyDescent="0.35">
      <c r="A120" t="s">
        <v>19</v>
      </c>
      <c r="B120" t="s">
        <v>831</v>
      </c>
      <c r="C120" t="s">
        <v>832</v>
      </c>
      <c r="D120">
        <v>191901.3</v>
      </c>
      <c r="E120">
        <v>191901.3</v>
      </c>
      <c r="F120">
        <v>0</v>
      </c>
      <c r="G120"/>
      <c r="H120" s="5">
        <v>0</v>
      </c>
      <c r="I120" s="5">
        <v>0</v>
      </c>
      <c r="K120"/>
      <c r="L120"/>
      <c r="M120"/>
      <c r="N120"/>
      <c r="O120"/>
    </row>
    <row r="121" spans="1:15" x14ac:dyDescent="0.35">
      <c r="A121" t="s">
        <v>19</v>
      </c>
      <c r="B121" t="s">
        <v>871</v>
      </c>
      <c r="C121" t="s">
        <v>872</v>
      </c>
      <c r="D121">
        <v>164125.6</v>
      </c>
      <c r="E121">
        <v>164125.6</v>
      </c>
      <c r="F121">
        <v>0</v>
      </c>
      <c r="G121"/>
      <c r="H121" s="5">
        <v>0</v>
      </c>
      <c r="I121" s="5">
        <v>0</v>
      </c>
      <c r="J121" s="5">
        <v>0</v>
      </c>
      <c r="K121"/>
      <c r="L121"/>
      <c r="M121"/>
      <c r="N121"/>
      <c r="O121"/>
    </row>
    <row r="122" spans="1:15" x14ac:dyDescent="0.35">
      <c r="A122" t="s">
        <v>19</v>
      </c>
      <c r="B122" t="s">
        <v>251</v>
      </c>
      <c r="C122" t="s">
        <v>252</v>
      </c>
      <c r="D122">
        <v>672409.59999999998</v>
      </c>
      <c r="E122">
        <v>672409.59999999998</v>
      </c>
      <c r="F122">
        <v>0</v>
      </c>
      <c r="G122"/>
      <c r="H122" s="5">
        <v>0</v>
      </c>
      <c r="I122" s="5">
        <v>0</v>
      </c>
      <c r="J122" s="5">
        <v>0</v>
      </c>
      <c r="K122"/>
      <c r="L122"/>
      <c r="M122"/>
      <c r="N122"/>
      <c r="O122"/>
    </row>
    <row r="123" spans="1:15" x14ac:dyDescent="0.35">
      <c r="A123" t="s">
        <v>46</v>
      </c>
      <c r="B123" t="s">
        <v>114</v>
      </c>
      <c r="C123" t="s">
        <v>115</v>
      </c>
      <c r="D123">
        <v>872718.56</v>
      </c>
      <c r="E123">
        <v>872718.56</v>
      </c>
      <c r="F123">
        <v>0</v>
      </c>
      <c r="G123">
        <v>0</v>
      </c>
      <c r="H123" s="5">
        <v>0</v>
      </c>
      <c r="I123" s="5">
        <v>0</v>
      </c>
      <c r="J123" s="5">
        <v>0</v>
      </c>
      <c r="K123"/>
      <c r="L123"/>
      <c r="M123"/>
      <c r="N123"/>
      <c r="O123"/>
    </row>
    <row r="124" spans="1:15" x14ac:dyDescent="0.35">
      <c r="A124" t="s">
        <v>19</v>
      </c>
      <c r="B124" t="s">
        <v>280</v>
      </c>
      <c r="C124" t="s">
        <v>281</v>
      </c>
      <c r="D124">
        <v>751793.36</v>
      </c>
      <c r="E124">
        <v>751793.36</v>
      </c>
      <c r="F124">
        <v>0</v>
      </c>
      <c r="G124">
        <v>0</v>
      </c>
      <c r="H124" s="5">
        <v>0</v>
      </c>
      <c r="I124" s="5">
        <v>0</v>
      </c>
      <c r="K124"/>
      <c r="L124"/>
      <c r="M124"/>
      <c r="N124"/>
      <c r="O124"/>
    </row>
    <row r="125" spans="1:15" x14ac:dyDescent="0.35">
      <c r="A125" t="s">
        <v>93</v>
      </c>
      <c r="B125" t="s">
        <v>393</v>
      </c>
      <c r="C125" t="s">
        <v>394</v>
      </c>
      <c r="D125">
        <v>369686.86000000004</v>
      </c>
      <c r="E125">
        <v>369686.86000000004</v>
      </c>
      <c r="F125">
        <v>0</v>
      </c>
      <c r="G125">
        <v>0</v>
      </c>
      <c r="H125" s="5">
        <v>0</v>
      </c>
      <c r="I125" s="5">
        <v>0</v>
      </c>
      <c r="J125" s="5">
        <v>0</v>
      </c>
      <c r="K125"/>
      <c r="L125"/>
      <c r="M125"/>
      <c r="N125"/>
      <c r="O125"/>
    </row>
    <row r="126" spans="1:15" x14ac:dyDescent="0.35">
      <c r="A126" t="s">
        <v>19</v>
      </c>
      <c r="B126" t="s">
        <v>609</v>
      </c>
      <c r="C126" t="s">
        <v>610</v>
      </c>
      <c r="D126">
        <v>1001963.0499999999</v>
      </c>
      <c r="E126">
        <v>767260.17999999993</v>
      </c>
      <c r="F126">
        <v>234702.87</v>
      </c>
      <c r="G126">
        <v>234702.87</v>
      </c>
      <c r="H126" s="5">
        <v>0</v>
      </c>
      <c r="I126" s="5">
        <v>0</v>
      </c>
      <c r="J126" s="5">
        <v>0</v>
      </c>
      <c r="K126">
        <v>0</v>
      </c>
      <c r="L126"/>
      <c r="M126"/>
      <c r="N126"/>
      <c r="O126"/>
    </row>
    <row r="127" spans="1:15" x14ac:dyDescent="0.35">
      <c r="A127" t="s">
        <v>46</v>
      </c>
      <c r="B127" t="s">
        <v>89</v>
      </c>
      <c r="C127" t="s">
        <v>90</v>
      </c>
      <c r="D127">
        <v>3646436.1</v>
      </c>
      <c r="E127">
        <v>3631683.82</v>
      </c>
      <c r="F127">
        <v>14752.279999999999</v>
      </c>
      <c r="G127">
        <v>14752.279999999999</v>
      </c>
      <c r="H127" s="5">
        <v>0</v>
      </c>
      <c r="I127" s="5">
        <v>0</v>
      </c>
      <c r="K127"/>
      <c r="L127"/>
      <c r="M127"/>
      <c r="N127"/>
      <c r="O127"/>
    </row>
    <row r="128" spans="1:15" x14ac:dyDescent="0.35">
      <c r="A128" t="s">
        <v>19</v>
      </c>
      <c r="B128" t="s">
        <v>885</v>
      </c>
      <c r="C128" t="s">
        <v>886</v>
      </c>
      <c r="D128">
        <v>177712.93999999997</v>
      </c>
      <c r="E128">
        <v>174605.41999999998</v>
      </c>
      <c r="F128">
        <v>3107.52</v>
      </c>
      <c r="G128"/>
      <c r="H128" s="5">
        <v>3107.52</v>
      </c>
      <c r="I128" s="5">
        <v>0</v>
      </c>
      <c r="J128" s="5">
        <v>0</v>
      </c>
      <c r="K128"/>
      <c r="L128"/>
      <c r="M128"/>
      <c r="N128"/>
      <c r="O128"/>
    </row>
    <row r="129" spans="1:15" x14ac:dyDescent="0.35">
      <c r="A129" t="s">
        <v>93</v>
      </c>
      <c r="B129" t="s">
        <v>947</v>
      </c>
      <c r="C129" t="s">
        <v>948</v>
      </c>
      <c r="D129">
        <v>350154.96</v>
      </c>
      <c r="E129">
        <v>350154.96</v>
      </c>
      <c r="F129">
        <v>0</v>
      </c>
      <c r="G129"/>
      <c r="H129" s="5">
        <v>0</v>
      </c>
      <c r="I129" s="5">
        <v>0</v>
      </c>
      <c r="K129">
        <v>0</v>
      </c>
      <c r="L129"/>
      <c r="M129"/>
      <c r="N129"/>
      <c r="O129"/>
    </row>
    <row r="130" spans="1:15" x14ac:dyDescent="0.35">
      <c r="A130" t="s">
        <v>3528</v>
      </c>
      <c r="B130" t="s">
        <v>3529</v>
      </c>
      <c r="C130" t="s">
        <v>3530</v>
      </c>
      <c r="D130">
        <v>968844.9</v>
      </c>
      <c r="E130">
        <v>968844.9</v>
      </c>
      <c r="F130">
        <v>0</v>
      </c>
      <c r="G130">
        <v>0</v>
      </c>
      <c r="K130"/>
      <c r="L130"/>
      <c r="M130"/>
      <c r="N130"/>
      <c r="O130"/>
    </row>
    <row r="131" spans="1:15" x14ac:dyDescent="0.35">
      <c r="A131" t="s">
        <v>19</v>
      </c>
      <c r="B131" t="s">
        <v>695</v>
      </c>
      <c r="C131" t="s">
        <v>696</v>
      </c>
      <c r="D131">
        <v>516469.95999999996</v>
      </c>
      <c r="E131">
        <v>516469.95999999996</v>
      </c>
      <c r="F131">
        <v>0</v>
      </c>
      <c r="G131">
        <v>0</v>
      </c>
      <c r="H131" s="5">
        <v>0</v>
      </c>
      <c r="I131" s="5">
        <v>0</v>
      </c>
      <c r="J131" s="5">
        <v>0</v>
      </c>
      <c r="K131"/>
      <c r="L131"/>
      <c r="M131"/>
      <c r="N131"/>
      <c r="O131"/>
    </row>
    <row r="132" spans="1:15" x14ac:dyDescent="0.35">
      <c r="A132" t="s">
        <v>19</v>
      </c>
      <c r="B132" t="s">
        <v>611</v>
      </c>
      <c r="C132" t="s">
        <v>612</v>
      </c>
      <c r="D132">
        <v>706050.3600000001</v>
      </c>
      <c r="E132">
        <v>706050.3600000001</v>
      </c>
      <c r="F132">
        <v>0</v>
      </c>
      <c r="G132">
        <v>0</v>
      </c>
      <c r="H132" s="5">
        <v>0</v>
      </c>
      <c r="I132" s="5">
        <v>0</v>
      </c>
      <c r="J132" s="5">
        <v>0</v>
      </c>
      <c r="K132"/>
      <c r="L132"/>
      <c r="M132"/>
      <c r="N132"/>
      <c r="O132"/>
    </row>
    <row r="133" spans="1:15" x14ac:dyDescent="0.35">
      <c r="A133" t="s">
        <v>111</v>
      </c>
      <c r="B133" t="s">
        <v>345</v>
      </c>
      <c r="C133" t="s">
        <v>346</v>
      </c>
      <c r="D133">
        <v>654426.28</v>
      </c>
      <c r="E133">
        <v>564407.73</v>
      </c>
      <c r="F133">
        <v>90018.55</v>
      </c>
      <c r="G133"/>
      <c r="H133" s="5">
        <v>90018.55</v>
      </c>
      <c r="I133" s="5">
        <v>0</v>
      </c>
      <c r="J133" s="5">
        <v>0</v>
      </c>
      <c r="K133">
        <v>0</v>
      </c>
      <c r="L133"/>
      <c r="M133"/>
      <c r="N133"/>
      <c r="O133"/>
    </row>
    <row r="134" spans="1:15" x14ac:dyDescent="0.35">
      <c r="A134" t="s">
        <v>33</v>
      </c>
      <c r="B134" t="s">
        <v>847</v>
      </c>
      <c r="C134" t="s">
        <v>848</v>
      </c>
      <c r="D134">
        <v>511618.02</v>
      </c>
      <c r="E134">
        <v>511618.02</v>
      </c>
      <c r="F134">
        <v>0</v>
      </c>
      <c r="G134">
        <v>0</v>
      </c>
      <c r="H134" s="5">
        <v>0</v>
      </c>
      <c r="I134" s="5">
        <v>0</v>
      </c>
      <c r="K134"/>
      <c r="L134"/>
      <c r="M134"/>
      <c r="N134"/>
      <c r="O134"/>
    </row>
    <row r="135" spans="1:15" x14ac:dyDescent="0.35">
      <c r="A135" t="s">
        <v>111</v>
      </c>
      <c r="B135" t="s">
        <v>825</v>
      </c>
      <c r="C135" t="s">
        <v>826</v>
      </c>
      <c r="D135">
        <v>458214.14999999997</v>
      </c>
      <c r="E135">
        <v>458214.14999999997</v>
      </c>
      <c r="F135">
        <v>0</v>
      </c>
      <c r="G135"/>
      <c r="I135" s="5">
        <v>0</v>
      </c>
      <c r="K135"/>
      <c r="L135"/>
      <c r="M135"/>
      <c r="N135"/>
      <c r="O135"/>
    </row>
    <row r="136" spans="1:15" x14ac:dyDescent="0.35">
      <c r="A136" t="s">
        <v>111</v>
      </c>
      <c r="B136" t="s">
        <v>501</v>
      </c>
      <c r="C136" t="s">
        <v>502</v>
      </c>
      <c r="D136">
        <v>501799.13999999996</v>
      </c>
      <c r="E136">
        <v>501799.13999999996</v>
      </c>
      <c r="F136">
        <v>0</v>
      </c>
      <c r="G136">
        <v>0</v>
      </c>
      <c r="H136" s="5">
        <v>0</v>
      </c>
      <c r="I136" s="5">
        <v>0</v>
      </c>
      <c r="J136" s="5">
        <v>0</v>
      </c>
      <c r="K136"/>
      <c r="L136"/>
      <c r="M136"/>
      <c r="N136"/>
      <c r="O136"/>
    </row>
    <row r="137" spans="1:15" x14ac:dyDescent="0.35">
      <c r="A137" t="s">
        <v>36</v>
      </c>
      <c r="B137" t="s">
        <v>103</v>
      </c>
      <c r="C137" t="s">
        <v>104</v>
      </c>
      <c r="D137">
        <v>1751710.52</v>
      </c>
      <c r="E137">
        <v>1394132.14</v>
      </c>
      <c r="F137">
        <v>357578.38</v>
      </c>
      <c r="G137">
        <v>357578.38</v>
      </c>
      <c r="H137" s="5">
        <v>0</v>
      </c>
      <c r="I137" s="5">
        <v>0</v>
      </c>
      <c r="K137"/>
      <c r="L137"/>
      <c r="M137"/>
      <c r="N137"/>
      <c r="O137"/>
    </row>
    <row r="138" spans="1:15" x14ac:dyDescent="0.35">
      <c r="A138" t="s">
        <v>55</v>
      </c>
      <c r="B138" t="s">
        <v>186</v>
      </c>
      <c r="C138" t="s">
        <v>187</v>
      </c>
      <c r="D138">
        <v>1885181.6199999999</v>
      </c>
      <c r="E138">
        <v>1885181.6199999999</v>
      </c>
      <c r="F138">
        <v>0</v>
      </c>
      <c r="G138">
        <v>0</v>
      </c>
      <c r="H138" s="5">
        <v>0</v>
      </c>
      <c r="I138" s="5">
        <v>0</v>
      </c>
      <c r="K138"/>
      <c r="L138"/>
      <c r="M138"/>
      <c r="N138"/>
      <c r="O138"/>
    </row>
    <row r="139" spans="1:15" x14ac:dyDescent="0.35">
      <c r="A139" t="s">
        <v>27</v>
      </c>
      <c r="B139" t="s">
        <v>353</v>
      </c>
      <c r="C139" t="s">
        <v>354</v>
      </c>
      <c r="D139">
        <v>543852.01</v>
      </c>
      <c r="E139">
        <v>511958.2</v>
      </c>
      <c r="F139">
        <v>31893.81</v>
      </c>
      <c r="G139">
        <v>31893.81</v>
      </c>
      <c r="H139" s="5">
        <v>0</v>
      </c>
      <c r="I139" s="5">
        <v>0</v>
      </c>
      <c r="J139" s="5">
        <v>0</v>
      </c>
      <c r="K139"/>
      <c r="L139"/>
      <c r="M139"/>
      <c r="N139"/>
      <c r="O139"/>
    </row>
    <row r="140" spans="1:15" x14ac:dyDescent="0.35">
      <c r="A140" t="s">
        <v>19</v>
      </c>
      <c r="B140" t="s">
        <v>429</v>
      </c>
      <c r="C140" t="s">
        <v>430</v>
      </c>
      <c r="D140">
        <v>249585.06</v>
      </c>
      <c r="E140">
        <v>249585.06</v>
      </c>
      <c r="F140">
        <v>0</v>
      </c>
      <c r="G140"/>
      <c r="H140" s="5">
        <v>0</v>
      </c>
      <c r="I140" s="5">
        <v>0</v>
      </c>
      <c r="K140"/>
      <c r="L140"/>
      <c r="M140"/>
      <c r="N140"/>
      <c r="O140"/>
    </row>
    <row r="141" spans="1:15" x14ac:dyDescent="0.35">
      <c r="A141" t="s">
        <v>100</v>
      </c>
      <c r="B141" t="s">
        <v>1125</v>
      </c>
      <c r="C141" t="s">
        <v>1126</v>
      </c>
      <c r="D141">
        <v>142489.25</v>
      </c>
      <c r="E141">
        <v>142489.25</v>
      </c>
      <c r="F141">
        <v>0</v>
      </c>
      <c r="G141"/>
      <c r="I141" s="5">
        <v>0</v>
      </c>
      <c r="J141" s="5">
        <v>0</v>
      </c>
      <c r="K141">
        <v>0</v>
      </c>
      <c r="L141">
        <v>0</v>
      </c>
      <c r="M141"/>
      <c r="N141"/>
      <c r="O141"/>
    </row>
    <row r="142" spans="1:15" x14ac:dyDescent="0.35">
      <c r="A142" t="s">
        <v>55</v>
      </c>
      <c r="B142" t="s">
        <v>200</v>
      </c>
      <c r="C142" t="s">
        <v>201</v>
      </c>
      <c r="D142">
        <v>545270.28999999992</v>
      </c>
      <c r="E142">
        <v>525572.96</v>
      </c>
      <c r="F142">
        <v>19697.330000000002</v>
      </c>
      <c r="G142">
        <v>19697.330000000002</v>
      </c>
      <c r="H142" s="5">
        <v>0</v>
      </c>
      <c r="I142" s="5">
        <v>0</v>
      </c>
      <c r="J142" s="5">
        <v>0</v>
      </c>
      <c r="K142"/>
      <c r="L142"/>
      <c r="M142"/>
      <c r="N142"/>
      <c r="O142"/>
    </row>
    <row r="143" spans="1:15" x14ac:dyDescent="0.35">
      <c r="A143" t="s">
        <v>88</v>
      </c>
      <c r="B143" t="s">
        <v>3531</v>
      </c>
      <c r="C143" t="s">
        <v>3532</v>
      </c>
      <c r="D143">
        <v>535435.14</v>
      </c>
      <c r="E143">
        <v>535435.14</v>
      </c>
      <c r="F143">
        <v>0</v>
      </c>
      <c r="G143"/>
      <c r="J143" s="5">
        <v>0</v>
      </c>
      <c r="K143">
        <v>0</v>
      </c>
      <c r="L143"/>
      <c r="M143"/>
      <c r="N143"/>
      <c r="O143"/>
    </row>
    <row r="144" spans="1:15" x14ac:dyDescent="0.35">
      <c r="A144" t="s">
        <v>55</v>
      </c>
      <c r="B144" t="s">
        <v>989</v>
      </c>
      <c r="C144" t="s">
        <v>990</v>
      </c>
      <c r="D144">
        <v>471680.56</v>
      </c>
      <c r="E144">
        <v>471680.56</v>
      </c>
      <c r="F144">
        <v>0</v>
      </c>
      <c r="G144">
        <v>0</v>
      </c>
      <c r="H144" s="5">
        <v>0</v>
      </c>
      <c r="I144" s="5">
        <v>0</v>
      </c>
      <c r="K144"/>
      <c r="L144"/>
      <c r="M144"/>
      <c r="N144"/>
      <c r="O144"/>
    </row>
    <row r="145" spans="1:15" x14ac:dyDescent="0.35">
      <c r="A145" t="s">
        <v>41</v>
      </c>
      <c r="B145" t="s">
        <v>269</v>
      </c>
      <c r="C145" t="s">
        <v>270</v>
      </c>
      <c r="D145">
        <v>321034.09999999998</v>
      </c>
      <c r="E145">
        <v>321034.09999999998</v>
      </c>
      <c r="F145">
        <v>0</v>
      </c>
      <c r="G145"/>
      <c r="H145" s="5">
        <v>0</v>
      </c>
      <c r="I145" s="5">
        <v>0</v>
      </c>
      <c r="K145"/>
      <c r="L145"/>
      <c r="M145"/>
      <c r="N145"/>
      <c r="O145"/>
    </row>
    <row r="146" spans="1:15" x14ac:dyDescent="0.35">
      <c r="A146" t="s">
        <v>19</v>
      </c>
      <c r="B146" t="s">
        <v>555</v>
      </c>
      <c r="C146" t="s">
        <v>556</v>
      </c>
      <c r="D146">
        <v>799371.48</v>
      </c>
      <c r="E146">
        <v>799371.48</v>
      </c>
      <c r="F146">
        <v>0</v>
      </c>
      <c r="G146">
        <v>0</v>
      </c>
      <c r="H146" s="5">
        <v>0</v>
      </c>
      <c r="I146" s="5">
        <v>0</v>
      </c>
      <c r="J146" s="5">
        <v>0</v>
      </c>
      <c r="K146"/>
      <c r="L146"/>
      <c r="M146"/>
      <c r="N146"/>
      <c r="O146"/>
    </row>
    <row r="147" spans="1:15" x14ac:dyDescent="0.35">
      <c r="A147" t="s">
        <v>19</v>
      </c>
      <c r="B147" t="s">
        <v>949</v>
      </c>
      <c r="C147" t="s">
        <v>950</v>
      </c>
      <c r="D147">
        <v>486354.12</v>
      </c>
      <c r="E147">
        <v>486354.12</v>
      </c>
      <c r="F147">
        <v>0</v>
      </c>
      <c r="G147"/>
      <c r="H147" s="5">
        <v>0</v>
      </c>
      <c r="I147" s="5">
        <v>0</v>
      </c>
      <c r="J147" s="5">
        <v>0</v>
      </c>
      <c r="K147"/>
      <c r="L147"/>
      <c r="M147"/>
      <c r="N147"/>
      <c r="O147"/>
    </row>
    <row r="148" spans="1:15" x14ac:dyDescent="0.35">
      <c r="A148" t="s">
        <v>41</v>
      </c>
      <c r="B148" t="s">
        <v>721</v>
      </c>
      <c r="C148" t="s">
        <v>722</v>
      </c>
      <c r="D148">
        <v>523023.04</v>
      </c>
      <c r="E148">
        <v>523023.04</v>
      </c>
      <c r="F148">
        <v>0</v>
      </c>
      <c r="G148"/>
      <c r="H148" s="5">
        <v>0</v>
      </c>
      <c r="I148" s="5">
        <v>0</v>
      </c>
      <c r="K148"/>
      <c r="L148"/>
      <c r="M148"/>
      <c r="N148"/>
      <c r="O148"/>
    </row>
    <row r="149" spans="1:15" x14ac:dyDescent="0.35">
      <c r="A149" t="s">
        <v>24</v>
      </c>
      <c r="B149" t="s">
        <v>3533</v>
      </c>
      <c r="C149" t="s">
        <v>3534</v>
      </c>
      <c r="D149">
        <v>100723.48</v>
      </c>
      <c r="E149">
        <v>100723.48</v>
      </c>
      <c r="F149">
        <v>0</v>
      </c>
      <c r="G149"/>
      <c r="H149" s="5">
        <v>0</v>
      </c>
      <c r="I149" s="5">
        <v>0</v>
      </c>
      <c r="J149" s="5">
        <v>0</v>
      </c>
      <c r="K149"/>
      <c r="L149"/>
      <c r="M149"/>
      <c r="N149"/>
      <c r="O149"/>
    </row>
    <row r="150" spans="1:15" x14ac:dyDescent="0.35">
      <c r="A150" t="s">
        <v>41</v>
      </c>
      <c r="B150" t="s">
        <v>747</v>
      </c>
      <c r="C150" t="s">
        <v>748</v>
      </c>
      <c r="D150">
        <v>665189.6</v>
      </c>
      <c r="E150">
        <v>665189.6</v>
      </c>
      <c r="F150">
        <v>0</v>
      </c>
      <c r="G150">
        <v>0</v>
      </c>
      <c r="H150" s="5">
        <v>0</v>
      </c>
      <c r="I150" s="5">
        <v>0</v>
      </c>
      <c r="K150"/>
      <c r="L150"/>
      <c r="M150"/>
      <c r="N150"/>
      <c r="O150"/>
    </row>
    <row r="151" spans="1:15" x14ac:dyDescent="0.35">
      <c r="A151" t="s">
        <v>41</v>
      </c>
      <c r="B151" t="s">
        <v>689</v>
      </c>
      <c r="C151" t="s">
        <v>690</v>
      </c>
      <c r="D151">
        <v>541381.46</v>
      </c>
      <c r="E151">
        <v>541381.46</v>
      </c>
      <c r="F151">
        <v>0</v>
      </c>
      <c r="G151">
        <v>0</v>
      </c>
      <c r="H151" s="5">
        <v>0</v>
      </c>
      <c r="I151" s="5">
        <v>0</v>
      </c>
      <c r="K151"/>
      <c r="L151"/>
      <c r="M151"/>
      <c r="N151"/>
      <c r="O151"/>
    </row>
    <row r="152" spans="1:15" x14ac:dyDescent="0.35">
      <c r="A152" t="s">
        <v>55</v>
      </c>
      <c r="B152" t="s">
        <v>869</v>
      </c>
      <c r="C152" t="s">
        <v>870</v>
      </c>
      <c r="D152">
        <v>213891.54</v>
      </c>
      <c r="E152">
        <v>209806.54</v>
      </c>
      <c r="F152">
        <v>4085</v>
      </c>
      <c r="G152">
        <v>4085</v>
      </c>
      <c r="H152" s="5">
        <v>0</v>
      </c>
      <c r="I152" s="5">
        <v>0</v>
      </c>
      <c r="K152"/>
      <c r="L152"/>
      <c r="M152"/>
      <c r="N152"/>
      <c r="O152"/>
    </row>
    <row r="153" spans="1:15" x14ac:dyDescent="0.35">
      <c r="A153" t="s">
        <v>30</v>
      </c>
      <c r="B153" t="s">
        <v>753</v>
      </c>
      <c r="C153" t="s">
        <v>754</v>
      </c>
      <c r="D153">
        <v>510189.04</v>
      </c>
      <c r="E153">
        <v>285724.84999999998</v>
      </c>
      <c r="F153">
        <v>224464.18999999997</v>
      </c>
      <c r="G153">
        <v>33812.239999999998</v>
      </c>
      <c r="H153" s="5">
        <v>190651.94999999998</v>
      </c>
      <c r="I153" s="5">
        <v>0</v>
      </c>
      <c r="K153"/>
      <c r="L153"/>
      <c r="M153"/>
      <c r="N153"/>
      <c r="O153"/>
    </row>
    <row r="154" spans="1:15" x14ac:dyDescent="0.35">
      <c r="A154" t="s">
        <v>30</v>
      </c>
      <c r="B154" t="s">
        <v>773</v>
      </c>
      <c r="C154" t="s">
        <v>774</v>
      </c>
      <c r="D154">
        <v>99699.63</v>
      </c>
      <c r="E154">
        <v>99699.63</v>
      </c>
      <c r="F154">
        <v>0</v>
      </c>
      <c r="G154"/>
      <c r="I154" s="5">
        <v>0</v>
      </c>
      <c r="K154"/>
      <c r="L154"/>
      <c r="M154"/>
      <c r="N154"/>
      <c r="O154"/>
    </row>
    <row r="155" spans="1:15" x14ac:dyDescent="0.35">
      <c r="A155" t="s">
        <v>41</v>
      </c>
      <c r="B155" t="s">
        <v>691</v>
      </c>
      <c r="C155" t="s">
        <v>692</v>
      </c>
      <c r="D155">
        <v>258582.83999999997</v>
      </c>
      <c r="E155">
        <v>258582.83999999997</v>
      </c>
      <c r="F155">
        <v>0</v>
      </c>
      <c r="G155">
        <v>0</v>
      </c>
      <c r="H155" s="5">
        <v>0</v>
      </c>
      <c r="I155" s="5">
        <v>0</v>
      </c>
      <c r="J155" s="5">
        <v>0</v>
      </c>
      <c r="K155">
        <v>0</v>
      </c>
      <c r="L155">
        <v>0</v>
      </c>
      <c r="M155">
        <v>0</v>
      </c>
      <c r="N155"/>
      <c r="O155"/>
    </row>
    <row r="156" spans="1:15" x14ac:dyDescent="0.35">
      <c r="A156" t="s">
        <v>30</v>
      </c>
      <c r="B156" t="s">
        <v>757</v>
      </c>
      <c r="C156" t="s">
        <v>758</v>
      </c>
      <c r="D156">
        <v>1075303.8599999999</v>
      </c>
      <c r="E156">
        <v>862183.7699999999</v>
      </c>
      <c r="F156">
        <v>213120.08999999997</v>
      </c>
      <c r="G156">
        <v>95787.549999999988</v>
      </c>
      <c r="H156" s="5">
        <v>117332.54</v>
      </c>
      <c r="I156" s="5">
        <v>0</v>
      </c>
      <c r="J156" s="5">
        <v>0</v>
      </c>
      <c r="K156"/>
      <c r="L156"/>
      <c r="M156"/>
      <c r="N156"/>
      <c r="O156"/>
    </row>
    <row r="157" spans="1:15" x14ac:dyDescent="0.35">
      <c r="A157" t="s">
        <v>30</v>
      </c>
      <c r="B157" t="s">
        <v>427</v>
      </c>
      <c r="C157" t="s">
        <v>428</v>
      </c>
      <c r="D157">
        <v>456036.31999999995</v>
      </c>
      <c r="E157">
        <v>413812.16</v>
      </c>
      <c r="F157">
        <v>42224.160000000003</v>
      </c>
      <c r="G157">
        <v>42224.160000000003</v>
      </c>
      <c r="H157" s="5">
        <v>0</v>
      </c>
      <c r="I157" s="5">
        <v>0</v>
      </c>
      <c r="J157" s="5">
        <v>0</v>
      </c>
      <c r="K157"/>
      <c r="L157"/>
      <c r="M157"/>
      <c r="N157"/>
      <c r="O157"/>
    </row>
    <row r="158" spans="1:15" x14ac:dyDescent="0.35">
      <c r="A158" t="s">
        <v>30</v>
      </c>
      <c r="B158" t="s">
        <v>685</v>
      </c>
      <c r="C158" t="s">
        <v>686</v>
      </c>
      <c r="D158">
        <v>214676.83000000002</v>
      </c>
      <c r="E158">
        <v>214676.83000000002</v>
      </c>
      <c r="F158">
        <v>0</v>
      </c>
      <c r="G158">
        <v>0</v>
      </c>
      <c r="H158" s="5">
        <v>0</v>
      </c>
      <c r="I158" s="5">
        <v>0</v>
      </c>
      <c r="J158" s="5">
        <v>0</v>
      </c>
      <c r="K158"/>
      <c r="L158"/>
      <c r="M158"/>
      <c r="N158"/>
      <c r="O158"/>
    </row>
    <row r="159" spans="1:15" x14ac:dyDescent="0.35">
      <c r="A159" t="s">
        <v>30</v>
      </c>
      <c r="B159" t="s">
        <v>521</v>
      </c>
      <c r="C159" t="s">
        <v>522</v>
      </c>
      <c r="D159">
        <v>484265.81999999995</v>
      </c>
      <c r="E159">
        <v>456063.99</v>
      </c>
      <c r="F159">
        <v>28201.83</v>
      </c>
      <c r="G159">
        <v>28201.83</v>
      </c>
      <c r="H159" s="5">
        <v>0</v>
      </c>
      <c r="I159" s="5">
        <v>0</v>
      </c>
      <c r="J159" s="5">
        <v>0</v>
      </c>
      <c r="K159"/>
      <c r="L159"/>
      <c r="M159"/>
      <c r="N159"/>
      <c r="O159"/>
    </row>
    <row r="160" spans="1:15" x14ac:dyDescent="0.35">
      <c r="A160" t="s">
        <v>30</v>
      </c>
      <c r="B160" t="s">
        <v>150</v>
      </c>
      <c r="C160" t="s">
        <v>151</v>
      </c>
      <c r="D160">
        <v>669972.25</v>
      </c>
      <c r="E160">
        <v>669972.25</v>
      </c>
      <c r="F160">
        <v>0</v>
      </c>
      <c r="G160">
        <v>0</v>
      </c>
      <c r="H160" s="5">
        <v>0</v>
      </c>
      <c r="I160" s="5">
        <v>0</v>
      </c>
      <c r="J160" s="5">
        <v>0</v>
      </c>
      <c r="K160"/>
      <c r="L160"/>
      <c r="M160"/>
      <c r="N160"/>
      <c r="O160"/>
    </row>
    <row r="161" spans="1:15" x14ac:dyDescent="0.35">
      <c r="A161" t="s">
        <v>30</v>
      </c>
      <c r="B161" t="s">
        <v>64</v>
      </c>
      <c r="C161" t="s">
        <v>65</v>
      </c>
      <c r="D161">
        <v>533214.70000000007</v>
      </c>
      <c r="E161">
        <v>323391.18</v>
      </c>
      <c r="F161">
        <v>209823.52000000002</v>
      </c>
      <c r="G161">
        <v>33083.660000000003</v>
      </c>
      <c r="H161" s="5">
        <v>176739.86</v>
      </c>
      <c r="I161" s="5">
        <v>0</v>
      </c>
      <c r="J161" s="5">
        <v>0</v>
      </c>
      <c r="K161">
        <v>0</v>
      </c>
      <c r="L161"/>
      <c r="M161"/>
      <c r="N161"/>
      <c r="O161"/>
    </row>
    <row r="162" spans="1:15" x14ac:dyDescent="0.35">
      <c r="A162" t="s">
        <v>19</v>
      </c>
      <c r="B162" t="s">
        <v>286</v>
      </c>
      <c r="C162" t="s">
        <v>287</v>
      </c>
      <c r="D162">
        <v>321888.42</v>
      </c>
      <c r="E162">
        <v>321888.42</v>
      </c>
      <c r="F162">
        <v>0</v>
      </c>
      <c r="G162">
        <v>0</v>
      </c>
      <c r="H162" s="5">
        <v>0</v>
      </c>
      <c r="I162" s="5">
        <v>0</v>
      </c>
      <c r="J162" s="5">
        <v>0</v>
      </c>
      <c r="K162"/>
      <c r="L162"/>
      <c r="M162"/>
      <c r="N162"/>
      <c r="O162"/>
    </row>
    <row r="163" spans="1:15" x14ac:dyDescent="0.35">
      <c r="A163" t="s">
        <v>55</v>
      </c>
      <c r="B163" t="s">
        <v>247</v>
      </c>
      <c r="C163" t="s">
        <v>248</v>
      </c>
      <c r="D163">
        <v>556763.55000000005</v>
      </c>
      <c r="E163">
        <v>556763.55000000005</v>
      </c>
      <c r="F163">
        <v>0</v>
      </c>
      <c r="G163">
        <v>0</v>
      </c>
      <c r="H163" s="5">
        <v>0</v>
      </c>
      <c r="I163" s="5">
        <v>0</v>
      </c>
      <c r="J163" s="5">
        <v>0</v>
      </c>
      <c r="K163"/>
      <c r="L163"/>
      <c r="M163">
        <v>0</v>
      </c>
      <c r="N163"/>
      <c r="O163"/>
    </row>
    <row r="164" spans="1:15" x14ac:dyDescent="0.35">
      <c r="A164" t="s">
        <v>41</v>
      </c>
      <c r="B164" t="s">
        <v>3535</v>
      </c>
      <c r="C164" t="s">
        <v>3536</v>
      </c>
      <c r="D164">
        <v>19722.61</v>
      </c>
      <c r="E164">
        <v>19722.61</v>
      </c>
      <c r="F164">
        <v>0</v>
      </c>
      <c r="G164">
        <v>0</v>
      </c>
      <c r="I164" s="5">
        <v>0</v>
      </c>
      <c r="K164">
        <v>0</v>
      </c>
      <c r="L164"/>
      <c r="M164"/>
      <c r="N164"/>
      <c r="O164"/>
    </row>
    <row r="165" spans="1:15" x14ac:dyDescent="0.35">
      <c r="A165" t="s">
        <v>36</v>
      </c>
      <c r="B165" t="s">
        <v>967</v>
      </c>
      <c r="C165" t="s">
        <v>968</v>
      </c>
      <c r="D165">
        <v>335393.76</v>
      </c>
      <c r="E165">
        <v>335393.76</v>
      </c>
      <c r="F165">
        <v>0</v>
      </c>
      <c r="G165">
        <v>0</v>
      </c>
      <c r="H165" s="5">
        <v>0</v>
      </c>
      <c r="I165" s="5">
        <v>0</v>
      </c>
      <c r="J165" s="5">
        <v>0</v>
      </c>
      <c r="K165"/>
      <c r="L165"/>
      <c r="M165"/>
      <c r="N165"/>
      <c r="O165"/>
    </row>
    <row r="166" spans="1:15" x14ac:dyDescent="0.35">
      <c r="A166" t="s">
        <v>88</v>
      </c>
      <c r="B166" t="s">
        <v>296</v>
      </c>
      <c r="C166" t="s">
        <v>297</v>
      </c>
      <c r="D166">
        <v>1566892.96</v>
      </c>
      <c r="E166">
        <v>1566892.96</v>
      </c>
      <c r="F166">
        <v>0</v>
      </c>
      <c r="G166">
        <v>0</v>
      </c>
      <c r="H166" s="5">
        <v>0</v>
      </c>
      <c r="I166" s="5">
        <v>0</v>
      </c>
      <c r="J166" s="5">
        <v>0</v>
      </c>
      <c r="K166">
        <v>0</v>
      </c>
      <c r="L166"/>
      <c r="M166"/>
      <c r="N166"/>
      <c r="O166"/>
    </row>
    <row r="167" spans="1:15" x14ac:dyDescent="0.35">
      <c r="A167" t="s">
        <v>36</v>
      </c>
      <c r="B167" t="s">
        <v>977</v>
      </c>
      <c r="C167" t="s">
        <v>978</v>
      </c>
      <c r="D167">
        <v>117748.2</v>
      </c>
      <c r="E167">
        <v>117748.2</v>
      </c>
      <c r="F167">
        <v>0</v>
      </c>
      <c r="G167">
        <v>0</v>
      </c>
      <c r="H167" s="5">
        <v>0</v>
      </c>
      <c r="I167" s="5">
        <v>0</v>
      </c>
      <c r="K167"/>
      <c r="L167"/>
      <c r="M167"/>
      <c r="N167"/>
      <c r="O167"/>
    </row>
    <row r="168" spans="1:15" x14ac:dyDescent="0.35">
      <c r="A168" t="s">
        <v>88</v>
      </c>
      <c r="B168" t="s">
        <v>485</v>
      </c>
      <c r="C168" t="s">
        <v>486</v>
      </c>
      <c r="D168">
        <v>1661744.39</v>
      </c>
      <c r="E168">
        <v>1661744.39</v>
      </c>
      <c r="F168">
        <v>0</v>
      </c>
      <c r="G168">
        <v>0</v>
      </c>
      <c r="H168" s="5">
        <v>0</v>
      </c>
      <c r="I168" s="5">
        <v>0</v>
      </c>
      <c r="J168" s="5">
        <v>0</v>
      </c>
      <c r="K168"/>
      <c r="L168"/>
      <c r="M168"/>
      <c r="N168"/>
      <c r="O168"/>
    </row>
    <row r="169" spans="1:15" x14ac:dyDescent="0.35">
      <c r="A169" t="s">
        <v>19</v>
      </c>
      <c r="B169" t="s">
        <v>367</v>
      </c>
      <c r="C169" t="s">
        <v>368</v>
      </c>
      <c r="D169">
        <v>73606.66</v>
      </c>
      <c r="E169">
        <v>73606.66</v>
      </c>
      <c r="F169">
        <v>0</v>
      </c>
      <c r="G169">
        <v>0</v>
      </c>
      <c r="H169" s="5">
        <v>0</v>
      </c>
      <c r="I169" s="5">
        <v>0</v>
      </c>
      <c r="J169" s="5">
        <v>0</v>
      </c>
      <c r="K169"/>
      <c r="L169"/>
      <c r="M169"/>
      <c r="N169"/>
      <c r="O169"/>
    </row>
    <row r="170" spans="1:15" x14ac:dyDescent="0.35">
      <c r="A170" t="s">
        <v>93</v>
      </c>
      <c r="B170" t="s">
        <v>1205</v>
      </c>
      <c r="C170" t="s">
        <v>1206</v>
      </c>
      <c r="D170">
        <v>183884.12</v>
      </c>
      <c r="E170">
        <v>183884.12</v>
      </c>
      <c r="F170">
        <v>0</v>
      </c>
      <c r="G170">
        <v>0</v>
      </c>
      <c r="I170" s="5">
        <v>0</v>
      </c>
      <c r="K170"/>
      <c r="L170"/>
      <c r="M170"/>
      <c r="N170"/>
      <c r="O170"/>
    </row>
    <row r="171" spans="1:15" x14ac:dyDescent="0.35">
      <c r="A171" t="s">
        <v>210</v>
      </c>
      <c r="B171" t="s">
        <v>213</v>
      </c>
      <c r="C171" t="s">
        <v>214</v>
      </c>
      <c r="D171">
        <v>842264.67999999993</v>
      </c>
      <c r="E171">
        <v>674326.88</v>
      </c>
      <c r="F171">
        <v>167937.8</v>
      </c>
      <c r="G171">
        <v>167937.8</v>
      </c>
      <c r="H171" s="5">
        <v>0</v>
      </c>
      <c r="I171" s="5">
        <v>0</v>
      </c>
      <c r="J171" s="5">
        <v>0</v>
      </c>
      <c r="K171"/>
      <c r="L171"/>
      <c r="M171"/>
      <c r="N171"/>
      <c r="O171"/>
    </row>
    <row r="172" spans="1:15" x14ac:dyDescent="0.35">
      <c r="A172" t="s">
        <v>210</v>
      </c>
      <c r="B172" t="s">
        <v>911</v>
      </c>
      <c r="C172" t="s">
        <v>912</v>
      </c>
      <c r="D172">
        <v>344594.98</v>
      </c>
      <c r="E172">
        <v>344594.98</v>
      </c>
      <c r="F172">
        <v>0</v>
      </c>
      <c r="G172">
        <v>0</v>
      </c>
      <c r="H172" s="5">
        <v>0</v>
      </c>
      <c r="I172" s="5">
        <v>0</v>
      </c>
      <c r="J172" s="5">
        <v>0</v>
      </c>
      <c r="K172"/>
      <c r="L172"/>
      <c r="M172"/>
      <c r="N172"/>
      <c r="O172"/>
    </row>
    <row r="173" spans="1:15" x14ac:dyDescent="0.35">
      <c r="A173" t="s">
        <v>41</v>
      </c>
      <c r="B173" t="s">
        <v>257</v>
      </c>
      <c r="C173" t="s">
        <v>258</v>
      </c>
      <c r="D173">
        <v>165558.71999999997</v>
      </c>
      <c r="E173">
        <v>165558.71999999997</v>
      </c>
      <c r="F173">
        <v>0</v>
      </c>
      <c r="G173"/>
      <c r="H173" s="5">
        <v>0</v>
      </c>
      <c r="I173" s="5">
        <v>0</v>
      </c>
      <c r="K173"/>
      <c r="L173"/>
      <c r="M173"/>
      <c r="N173"/>
      <c r="O173"/>
    </row>
    <row r="174" spans="1:15" x14ac:dyDescent="0.35">
      <c r="A174" t="s">
        <v>36</v>
      </c>
      <c r="B174" t="s">
        <v>569</v>
      </c>
      <c r="C174" t="s">
        <v>570</v>
      </c>
      <c r="D174">
        <v>116072.1</v>
      </c>
      <c r="E174">
        <v>116072.1</v>
      </c>
      <c r="F174">
        <v>0</v>
      </c>
      <c r="G174"/>
      <c r="H174" s="5">
        <v>0</v>
      </c>
      <c r="I174" s="5">
        <v>0</v>
      </c>
      <c r="J174" s="5">
        <v>0</v>
      </c>
      <c r="K174"/>
      <c r="L174"/>
      <c r="M174"/>
      <c r="N174"/>
      <c r="O174"/>
    </row>
    <row r="175" spans="1:15" x14ac:dyDescent="0.35">
      <c r="A175" t="s">
        <v>111</v>
      </c>
      <c r="B175" t="s">
        <v>1265</v>
      </c>
      <c r="C175" t="s">
        <v>1266</v>
      </c>
      <c r="D175">
        <v>57685.58</v>
      </c>
      <c r="E175">
        <v>57685.58</v>
      </c>
      <c r="F175">
        <v>0</v>
      </c>
      <c r="G175"/>
      <c r="H175" s="5">
        <v>0</v>
      </c>
      <c r="K175"/>
      <c r="L175"/>
      <c r="M175"/>
      <c r="N175"/>
      <c r="O175"/>
    </row>
    <row r="176" spans="1:15" x14ac:dyDescent="0.35">
      <c r="A176" t="s">
        <v>36</v>
      </c>
      <c r="B176" t="s">
        <v>381</v>
      </c>
      <c r="C176" t="s">
        <v>382</v>
      </c>
      <c r="D176">
        <v>126245.28</v>
      </c>
      <c r="E176">
        <v>124642.4</v>
      </c>
      <c r="F176">
        <v>1602.88</v>
      </c>
      <c r="G176"/>
      <c r="H176" s="5">
        <v>1602.88</v>
      </c>
      <c r="I176" s="5">
        <v>0</v>
      </c>
      <c r="K176"/>
      <c r="L176"/>
      <c r="M176"/>
      <c r="N176"/>
      <c r="O176"/>
    </row>
    <row r="177" spans="1:15" x14ac:dyDescent="0.35">
      <c r="A177" t="s">
        <v>210</v>
      </c>
      <c r="B177" t="s">
        <v>306</v>
      </c>
      <c r="C177" t="s">
        <v>307</v>
      </c>
      <c r="D177">
        <v>155428.18</v>
      </c>
      <c r="E177">
        <v>132517.79999999999</v>
      </c>
      <c r="F177">
        <v>22910.37999999999</v>
      </c>
      <c r="G177">
        <v>19930.2</v>
      </c>
      <c r="H177" s="5">
        <v>2980.1799999999898</v>
      </c>
      <c r="I177" s="5">
        <v>0</v>
      </c>
      <c r="J177" s="5">
        <v>0</v>
      </c>
      <c r="K177"/>
      <c r="L177"/>
      <c r="M177"/>
      <c r="N177"/>
      <c r="O177"/>
    </row>
    <row r="178" spans="1:15" x14ac:dyDescent="0.35">
      <c r="A178" t="s">
        <v>93</v>
      </c>
      <c r="B178" t="s">
        <v>1133</v>
      </c>
      <c r="C178" t="s">
        <v>1134</v>
      </c>
      <c r="D178">
        <v>66050.83</v>
      </c>
      <c r="E178">
        <v>66050.83</v>
      </c>
      <c r="F178">
        <v>0</v>
      </c>
      <c r="G178"/>
      <c r="H178" s="5">
        <v>0</v>
      </c>
      <c r="I178" s="5">
        <v>0</v>
      </c>
      <c r="K178"/>
      <c r="L178"/>
      <c r="M178"/>
      <c r="N178"/>
      <c r="O178"/>
    </row>
    <row r="179" spans="1:15" x14ac:dyDescent="0.35">
      <c r="A179" t="s">
        <v>55</v>
      </c>
      <c r="B179" t="s">
        <v>665</v>
      </c>
      <c r="C179" t="s">
        <v>666</v>
      </c>
      <c r="D179">
        <v>73762.37</v>
      </c>
      <c r="E179">
        <v>66188.56</v>
      </c>
      <c r="F179">
        <v>7573.81</v>
      </c>
      <c r="G179">
        <v>7573.81</v>
      </c>
      <c r="H179" s="5">
        <v>0</v>
      </c>
      <c r="I179" s="5">
        <v>0</v>
      </c>
      <c r="J179" s="5">
        <v>0</v>
      </c>
      <c r="K179">
        <v>0</v>
      </c>
      <c r="L179">
        <v>0</v>
      </c>
      <c r="M179"/>
      <c r="N179"/>
      <c r="O179"/>
    </row>
    <row r="180" spans="1:15" x14ac:dyDescent="0.35">
      <c r="A180" t="s">
        <v>19</v>
      </c>
      <c r="B180" t="s">
        <v>975</v>
      </c>
      <c r="C180" t="s">
        <v>976</v>
      </c>
      <c r="D180">
        <v>200768.52</v>
      </c>
      <c r="E180">
        <v>200768.52</v>
      </c>
      <c r="F180">
        <v>0</v>
      </c>
      <c r="G180">
        <v>0</v>
      </c>
      <c r="H180" s="5">
        <v>0</v>
      </c>
      <c r="I180" s="5">
        <v>0</v>
      </c>
      <c r="J180" s="5">
        <v>0</v>
      </c>
      <c r="K180"/>
      <c r="L180"/>
      <c r="M180"/>
      <c r="N180"/>
      <c r="O180"/>
    </row>
    <row r="181" spans="1:15" x14ac:dyDescent="0.35">
      <c r="A181" t="s">
        <v>210</v>
      </c>
      <c r="B181" t="s">
        <v>451</v>
      </c>
      <c r="C181" t="s">
        <v>452</v>
      </c>
      <c r="D181">
        <v>304657.13999999996</v>
      </c>
      <c r="E181">
        <v>304657.13999999996</v>
      </c>
      <c r="F181">
        <v>0</v>
      </c>
      <c r="G181">
        <v>0</v>
      </c>
      <c r="H181" s="5">
        <v>0</v>
      </c>
      <c r="I181" s="5">
        <v>0</v>
      </c>
      <c r="J181" s="5">
        <v>0</v>
      </c>
      <c r="K181"/>
      <c r="L181"/>
      <c r="M181"/>
      <c r="N181"/>
      <c r="O181"/>
    </row>
    <row r="182" spans="1:15" x14ac:dyDescent="0.35">
      <c r="A182" t="s">
        <v>93</v>
      </c>
      <c r="B182" t="s">
        <v>1139</v>
      </c>
      <c r="C182" t="s">
        <v>1140</v>
      </c>
      <c r="D182">
        <v>105736.16</v>
      </c>
      <c r="E182">
        <v>105736.16</v>
      </c>
      <c r="F182">
        <v>0</v>
      </c>
      <c r="G182"/>
      <c r="H182" s="5">
        <v>0</v>
      </c>
      <c r="I182" s="5">
        <v>0</v>
      </c>
      <c r="K182"/>
      <c r="L182"/>
      <c r="M182"/>
      <c r="N182"/>
      <c r="O182"/>
    </row>
    <row r="183" spans="1:15" x14ac:dyDescent="0.35">
      <c r="A183" t="s">
        <v>111</v>
      </c>
      <c r="B183" t="s">
        <v>495</v>
      </c>
      <c r="C183" t="s">
        <v>496</v>
      </c>
      <c r="D183">
        <v>400173.79000000004</v>
      </c>
      <c r="E183">
        <v>354751.58</v>
      </c>
      <c r="F183">
        <v>45422.21</v>
      </c>
      <c r="G183"/>
      <c r="H183" s="5">
        <v>45422.21</v>
      </c>
      <c r="I183" s="5">
        <v>0</v>
      </c>
      <c r="J183" s="5">
        <v>0</v>
      </c>
      <c r="K183"/>
      <c r="L183"/>
      <c r="M183"/>
      <c r="N183"/>
      <c r="O183"/>
    </row>
    <row r="184" spans="1:15" x14ac:dyDescent="0.35">
      <c r="A184" t="s">
        <v>46</v>
      </c>
      <c r="B184" t="s">
        <v>483</v>
      </c>
      <c r="C184" t="s">
        <v>484</v>
      </c>
      <c r="D184">
        <v>412861.73</v>
      </c>
      <c r="E184">
        <v>384697.63</v>
      </c>
      <c r="F184">
        <v>28164.1</v>
      </c>
      <c r="G184">
        <v>28164.1</v>
      </c>
      <c r="H184" s="5">
        <v>0</v>
      </c>
      <c r="I184" s="5">
        <v>0</v>
      </c>
      <c r="J184" s="5">
        <v>0</v>
      </c>
      <c r="K184"/>
      <c r="L184"/>
      <c r="M184"/>
      <c r="N184"/>
      <c r="O184"/>
    </row>
    <row r="185" spans="1:15" x14ac:dyDescent="0.35">
      <c r="A185" t="s">
        <v>46</v>
      </c>
      <c r="B185" t="s">
        <v>120</v>
      </c>
      <c r="C185" t="s">
        <v>121</v>
      </c>
      <c r="D185">
        <v>382069.45999999996</v>
      </c>
      <c r="E185">
        <v>376983.48</v>
      </c>
      <c r="F185">
        <v>5085.9799999999996</v>
      </c>
      <c r="G185">
        <v>5085.9799999999996</v>
      </c>
      <c r="H185" s="5">
        <v>0</v>
      </c>
      <c r="I185" s="5">
        <v>0</v>
      </c>
      <c r="J185" s="5">
        <v>0</v>
      </c>
      <c r="K185"/>
      <c r="L185"/>
      <c r="M185"/>
      <c r="N185"/>
      <c r="O185"/>
    </row>
    <row r="186" spans="1:15" x14ac:dyDescent="0.35">
      <c r="A186" t="s">
        <v>111</v>
      </c>
      <c r="B186" t="s">
        <v>431</v>
      </c>
      <c r="C186" t="s">
        <v>432</v>
      </c>
      <c r="D186">
        <v>25910.04</v>
      </c>
      <c r="E186">
        <v>25910.04</v>
      </c>
      <c r="F186">
        <v>0</v>
      </c>
      <c r="G186">
        <v>0</v>
      </c>
      <c r="H186" s="5">
        <v>0</v>
      </c>
      <c r="I186" s="5">
        <v>0</v>
      </c>
      <c r="K186"/>
      <c r="L186"/>
      <c r="M186"/>
      <c r="N186"/>
      <c r="O186"/>
    </row>
    <row r="187" spans="1:15" x14ac:dyDescent="0.35">
      <c r="A187" t="s">
        <v>41</v>
      </c>
      <c r="B187" t="s">
        <v>405</v>
      </c>
      <c r="C187" t="s">
        <v>406</v>
      </c>
      <c r="D187">
        <v>341185.2</v>
      </c>
      <c r="E187">
        <v>341185.2</v>
      </c>
      <c r="F187">
        <v>0</v>
      </c>
      <c r="G187">
        <v>0</v>
      </c>
      <c r="H187" s="5">
        <v>0</v>
      </c>
      <c r="I187" s="5">
        <v>0</v>
      </c>
      <c r="K187"/>
      <c r="L187"/>
      <c r="M187"/>
      <c r="N187"/>
      <c r="O187"/>
    </row>
    <row r="188" spans="1:15" x14ac:dyDescent="0.35">
      <c r="A188" t="s">
        <v>46</v>
      </c>
      <c r="B188" t="s">
        <v>383</v>
      </c>
      <c r="C188" t="s">
        <v>384</v>
      </c>
      <c r="D188">
        <v>279043.90000000002</v>
      </c>
      <c r="E188">
        <v>279043.90000000002</v>
      </c>
      <c r="F188">
        <v>0</v>
      </c>
      <c r="G188">
        <v>0</v>
      </c>
      <c r="H188" s="5">
        <v>0</v>
      </c>
      <c r="I188" s="5">
        <v>0</v>
      </c>
      <c r="J188" s="5">
        <v>0</v>
      </c>
      <c r="K188"/>
      <c r="L188"/>
      <c r="M188"/>
      <c r="N188"/>
      <c r="O188"/>
    </row>
    <row r="189" spans="1:15" x14ac:dyDescent="0.35">
      <c r="A189" t="s">
        <v>36</v>
      </c>
      <c r="B189" t="s">
        <v>1277</v>
      </c>
      <c r="C189" t="s">
        <v>1278</v>
      </c>
      <c r="D189">
        <v>209582.69999999998</v>
      </c>
      <c r="E189">
        <v>209582.69999999998</v>
      </c>
      <c r="F189">
        <v>0</v>
      </c>
      <c r="G189"/>
      <c r="J189" s="5">
        <v>0</v>
      </c>
      <c r="K189">
        <v>0</v>
      </c>
      <c r="L189">
        <v>0</v>
      </c>
      <c r="M189"/>
      <c r="N189"/>
      <c r="O189"/>
    </row>
    <row r="190" spans="1:15" x14ac:dyDescent="0.35">
      <c r="A190" t="s">
        <v>19</v>
      </c>
      <c r="B190" t="s">
        <v>1029</v>
      </c>
      <c r="C190" t="s">
        <v>1030</v>
      </c>
      <c r="D190">
        <v>69722.700000000012</v>
      </c>
      <c r="E190">
        <v>69720.88</v>
      </c>
      <c r="F190">
        <v>1.8199999999997101</v>
      </c>
      <c r="G190">
        <v>1.8199999999997101</v>
      </c>
      <c r="H190" s="5">
        <v>0</v>
      </c>
      <c r="J190" s="5">
        <v>0</v>
      </c>
      <c r="K190"/>
      <c r="L190"/>
      <c r="M190"/>
      <c r="N190"/>
      <c r="O190"/>
    </row>
    <row r="191" spans="1:15" x14ac:dyDescent="0.35">
      <c r="A191" t="s">
        <v>55</v>
      </c>
      <c r="B191" t="s">
        <v>86</v>
      </c>
      <c r="C191" t="s">
        <v>87</v>
      </c>
      <c r="D191">
        <v>305693.77999999997</v>
      </c>
      <c r="E191">
        <v>283466.01999999996</v>
      </c>
      <c r="F191">
        <v>22227.760000000002</v>
      </c>
      <c r="G191">
        <v>21922.47</v>
      </c>
      <c r="H191" s="5">
        <v>305.29000000000099</v>
      </c>
      <c r="I191" s="5">
        <v>0</v>
      </c>
      <c r="K191"/>
      <c r="L191"/>
      <c r="M191"/>
      <c r="N191"/>
      <c r="O191"/>
    </row>
    <row r="192" spans="1:15" x14ac:dyDescent="0.35">
      <c r="A192" t="s">
        <v>41</v>
      </c>
      <c r="B192" t="s">
        <v>811</v>
      </c>
      <c r="C192" t="s">
        <v>812</v>
      </c>
      <c r="D192">
        <v>235896.18</v>
      </c>
      <c r="E192">
        <v>235896.18</v>
      </c>
      <c r="F192">
        <v>0</v>
      </c>
      <c r="G192"/>
      <c r="H192" s="5">
        <v>0</v>
      </c>
      <c r="I192" s="5">
        <v>0</v>
      </c>
      <c r="J192" s="5">
        <v>0</v>
      </c>
      <c r="K192"/>
      <c r="L192"/>
      <c r="M192"/>
      <c r="N192"/>
      <c r="O192"/>
    </row>
    <row r="193" spans="1:15" x14ac:dyDescent="0.35">
      <c r="A193" t="s">
        <v>55</v>
      </c>
      <c r="B193" t="s">
        <v>765</v>
      </c>
      <c r="C193" t="s">
        <v>766</v>
      </c>
      <c r="D193">
        <v>314234.80000000005</v>
      </c>
      <c r="E193">
        <v>314234.80000000005</v>
      </c>
      <c r="F193">
        <v>0</v>
      </c>
      <c r="G193"/>
      <c r="H193" s="5">
        <v>0</v>
      </c>
      <c r="I193" s="5">
        <v>0</v>
      </c>
      <c r="J193" s="5">
        <v>0</v>
      </c>
      <c r="K193"/>
      <c r="L193"/>
      <c r="M193"/>
      <c r="N193"/>
      <c r="O193"/>
    </row>
    <row r="194" spans="1:15" x14ac:dyDescent="0.35">
      <c r="A194" t="s">
        <v>111</v>
      </c>
      <c r="B194" t="s">
        <v>3537</v>
      </c>
      <c r="C194" t="s">
        <v>3538</v>
      </c>
      <c r="D194">
        <v>42513.04</v>
      </c>
      <c r="E194">
        <v>42513.04</v>
      </c>
      <c r="F194"/>
      <c r="G194"/>
      <c r="K194"/>
      <c r="L194"/>
      <c r="M194"/>
      <c r="N194"/>
      <c r="O194"/>
    </row>
    <row r="195" spans="1:15" x14ac:dyDescent="0.35">
      <c r="A195" t="s">
        <v>275</v>
      </c>
      <c r="B195" t="s">
        <v>787</v>
      </c>
      <c r="C195" t="s">
        <v>788</v>
      </c>
      <c r="D195">
        <v>1395429.82</v>
      </c>
      <c r="E195">
        <v>1395429.82</v>
      </c>
      <c r="F195">
        <v>0</v>
      </c>
      <c r="G195"/>
      <c r="H195" s="5">
        <v>0</v>
      </c>
      <c r="I195" s="5">
        <v>0</v>
      </c>
      <c r="K195"/>
      <c r="L195"/>
      <c r="M195"/>
      <c r="N195"/>
      <c r="O195"/>
    </row>
    <row r="196" spans="1:15" x14ac:dyDescent="0.35">
      <c r="A196" t="s">
        <v>46</v>
      </c>
      <c r="B196" t="s">
        <v>681</v>
      </c>
      <c r="C196" t="s">
        <v>682</v>
      </c>
      <c r="D196">
        <v>573919.93999999994</v>
      </c>
      <c r="E196">
        <v>502245.54</v>
      </c>
      <c r="F196">
        <v>71674.399999999994</v>
      </c>
      <c r="G196">
        <v>71674.399999999994</v>
      </c>
      <c r="H196" s="5">
        <v>0</v>
      </c>
      <c r="I196" s="5">
        <v>0</v>
      </c>
      <c r="J196" s="5">
        <v>0</v>
      </c>
      <c r="K196"/>
      <c r="L196"/>
      <c r="M196"/>
      <c r="N196"/>
      <c r="O196"/>
    </row>
    <row r="197" spans="1:15" x14ac:dyDescent="0.35">
      <c r="A197" t="s">
        <v>88</v>
      </c>
      <c r="B197" t="s">
        <v>587</v>
      </c>
      <c r="C197" t="s">
        <v>588</v>
      </c>
      <c r="D197">
        <v>209608.20000000004</v>
      </c>
      <c r="E197">
        <v>207360.50000000003</v>
      </c>
      <c r="F197">
        <v>2247.6999999999971</v>
      </c>
      <c r="G197">
        <v>2247.6999999999971</v>
      </c>
      <c r="H197" s="5">
        <v>0</v>
      </c>
      <c r="I197" s="5">
        <v>0</v>
      </c>
      <c r="J197" s="5">
        <v>0</v>
      </c>
      <c r="K197"/>
      <c r="L197"/>
      <c r="M197"/>
      <c r="N197"/>
      <c r="O197"/>
    </row>
    <row r="198" spans="1:15" x14ac:dyDescent="0.35">
      <c r="A198" t="s">
        <v>164</v>
      </c>
      <c r="B198" t="s">
        <v>3539</v>
      </c>
      <c r="C198" t="s">
        <v>3540</v>
      </c>
      <c r="D198">
        <v>140099.03999999998</v>
      </c>
      <c r="E198">
        <v>140099.03999999998</v>
      </c>
      <c r="F198">
        <v>0</v>
      </c>
      <c r="G198">
        <v>0</v>
      </c>
      <c r="H198" s="5">
        <v>0</v>
      </c>
      <c r="I198" s="5">
        <v>0</v>
      </c>
      <c r="K198"/>
      <c r="L198"/>
      <c r="M198"/>
      <c r="N198"/>
      <c r="O198"/>
    </row>
    <row r="199" spans="1:15" x14ac:dyDescent="0.35">
      <c r="A199" t="s">
        <v>164</v>
      </c>
      <c r="B199" t="s">
        <v>278</v>
      </c>
      <c r="C199" t="s">
        <v>279</v>
      </c>
      <c r="D199">
        <v>0.91999999998370197</v>
      </c>
      <c r="E199"/>
      <c r="F199">
        <v>0.91999999998370197</v>
      </c>
      <c r="G199">
        <v>0.91999999998370197</v>
      </c>
      <c r="H199" s="5">
        <v>0</v>
      </c>
      <c r="K199"/>
      <c r="L199"/>
      <c r="M199"/>
      <c r="N199"/>
      <c r="O199"/>
    </row>
    <row r="200" spans="1:15" x14ac:dyDescent="0.35">
      <c r="A200" t="s">
        <v>46</v>
      </c>
      <c r="B200" t="s">
        <v>359</v>
      </c>
      <c r="C200" t="s">
        <v>360</v>
      </c>
      <c r="D200">
        <v>150752.45000000001</v>
      </c>
      <c r="E200">
        <v>93283.48</v>
      </c>
      <c r="F200">
        <v>57468.97</v>
      </c>
      <c r="G200">
        <v>57468.97</v>
      </c>
      <c r="H200" s="5">
        <v>0</v>
      </c>
      <c r="I200" s="5">
        <v>0</v>
      </c>
      <c r="J200" s="5">
        <v>0</v>
      </c>
      <c r="K200"/>
      <c r="L200"/>
      <c r="M200"/>
      <c r="N200"/>
      <c r="O200"/>
    </row>
    <row r="201" spans="1:15" x14ac:dyDescent="0.35">
      <c r="A201" t="s">
        <v>36</v>
      </c>
      <c r="B201" t="s">
        <v>3541</v>
      </c>
      <c r="C201" t="s">
        <v>3542</v>
      </c>
      <c r="D201">
        <v>209.04000000000099</v>
      </c>
      <c r="E201"/>
      <c r="F201">
        <v>209.04000000000099</v>
      </c>
      <c r="G201">
        <v>209.04000000000099</v>
      </c>
      <c r="H201" s="5">
        <v>0</v>
      </c>
      <c r="I201" s="5">
        <v>0</v>
      </c>
      <c r="K201"/>
      <c r="L201"/>
      <c r="M201"/>
      <c r="N201"/>
      <c r="O201"/>
    </row>
    <row r="202" spans="1:15" x14ac:dyDescent="0.35">
      <c r="A202" t="s">
        <v>46</v>
      </c>
      <c r="B202" t="s">
        <v>273</v>
      </c>
      <c r="C202" t="s">
        <v>274</v>
      </c>
      <c r="D202">
        <v>994517.48</v>
      </c>
      <c r="E202">
        <v>994517.48</v>
      </c>
      <c r="F202">
        <v>0</v>
      </c>
      <c r="G202">
        <v>0</v>
      </c>
      <c r="H202" s="5">
        <v>0</v>
      </c>
      <c r="I202" s="5">
        <v>0</v>
      </c>
      <c r="K202"/>
      <c r="L202"/>
      <c r="M202"/>
      <c r="N202"/>
      <c r="O202"/>
    </row>
    <row r="203" spans="1:15" x14ac:dyDescent="0.35">
      <c r="A203" t="s">
        <v>41</v>
      </c>
      <c r="B203" t="s">
        <v>389</v>
      </c>
      <c r="C203" t="s">
        <v>390</v>
      </c>
      <c r="D203">
        <v>321247.92000000004</v>
      </c>
      <c r="E203">
        <v>321247.92000000004</v>
      </c>
      <c r="F203">
        <v>0</v>
      </c>
      <c r="G203">
        <v>0</v>
      </c>
      <c r="H203" s="5">
        <v>0</v>
      </c>
      <c r="I203" s="5">
        <v>0</v>
      </c>
      <c r="K203"/>
      <c r="L203"/>
      <c r="M203"/>
      <c r="N203"/>
      <c r="O203"/>
    </row>
    <row r="204" spans="1:15" x14ac:dyDescent="0.35">
      <c r="A204" t="s">
        <v>27</v>
      </c>
      <c r="B204" t="s">
        <v>523</v>
      </c>
      <c r="C204" t="s">
        <v>524</v>
      </c>
      <c r="D204">
        <v>1370489.64</v>
      </c>
      <c r="E204">
        <v>1310097.69</v>
      </c>
      <c r="F204">
        <v>60391.95</v>
      </c>
      <c r="G204">
        <v>60391.95</v>
      </c>
      <c r="H204" s="5">
        <v>0</v>
      </c>
      <c r="I204" s="5">
        <v>0</v>
      </c>
      <c r="J204" s="5">
        <v>0</v>
      </c>
      <c r="K204"/>
      <c r="L204"/>
      <c r="M204"/>
      <c r="N204"/>
      <c r="O204"/>
    </row>
    <row r="205" spans="1:15" x14ac:dyDescent="0.35">
      <c r="A205" t="s">
        <v>55</v>
      </c>
      <c r="B205" t="s">
        <v>3543</v>
      </c>
      <c r="C205" t="s">
        <v>3544</v>
      </c>
      <c r="D205">
        <v>2038.53</v>
      </c>
      <c r="E205"/>
      <c r="F205">
        <v>2038.53</v>
      </c>
      <c r="G205">
        <v>2038.53</v>
      </c>
      <c r="I205" s="5">
        <v>0</v>
      </c>
      <c r="J205" s="5">
        <v>0</v>
      </c>
      <c r="K205"/>
      <c r="L205"/>
      <c r="M205"/>
      <c r="N205"/>
      <c r="O205"/>
    </row>
    <row r="206" spans="1:15" x14ac:dyDescent="0.35">
      <c r="A206" t="s">
        <v>41</v>
      </c>
      <c r="B206" t="s">
        <v>202</v>
      </c>
      <c r="C206" t="s">
        <v>203</v>
      </c>
      <c r="D206">
        <v>657307.19999999995</v>
      </c>
      <c r="E206">
        <v>657307.19999999995</v>
      </c>
      <c r="F206">
        <v>0</v>
      </c>
      <c r="G206">
        <v>0</v>
      </c>
      <c r="H206" s="5">
        <v>0</v>
      </c>
      <c r="I206" s="5">
        <v>0</v>
      </c>
      <c r="K206">
        <v>0</v>
      </c>
      <c r="L206"/>
      <c r="M206"/>
      <c r="N206"/>
      <c r="O206"/>
    </row>
    <row r="207" spans="1:15" x14ac:dyDescent="0.35">
      <c r="A207" t="s">
        <v>111</v>
      </c>
      <c r="B207" t="s">
        <v>903</v>
      </c>
      <c r="C207" t="s">
        <v>904</v>
      </c>
      <c r="D207">
        <v>557766.02</v>
      </c>
      <c r="E207">
        <v>479141.32</v>
      </c>
      <c r="F207">
        <v>78624.700000000012</v>
      </c>
      <c r="G207"/>
      <c r="H207" s="5">
        <v>78624.700000000012</v>
      </c>
      <c r="I207" s="5">
        <v>0</v>
      </c>
      <c r="K207"/>
      <c r="L207"/>
      <c r="M207"/>
      <c r="N207"/>
      <c r="O207"/>
    </row>
    <row r="208" spans="1:15" x14ac:dyDescent="0.35">
      <c r="A208" t="s">
        <v>36</v>
      </c>
      <c r="B208" t="s">
        <v>635</v>
      </c>
      <c r="C208" t="s">
        <v>636</v>
      </c>
      <c r="D208">
        <v>358184.18</v>
      </c>
      <c r="E208">
        <v>273703.44</v>
      </c>
      <c r="F208">
        <v>84480.74</v>
      </c>
      <c r="G208">
        <v>84480.74</v>
      </c>
      <c r="H208" s="5">
        <v>0</v>
      </c>
      <c r="I208" s="5">
        <v>0</v>
      </c>
      <c r="K208"/>
      <c r="L208"/>
      <c r="M208"/>
      <c r="N208"/>
      <c r="O208"/>
    </row>
    <row r="209" spans="1:15" x14ac:dyDescent="0.35">
      <c r="A209" t="s">
        <v>111</v>
      </c>
      <c r="B209" t="s">
        <v>419</v>
      </c>
      <c r="C209" t="s">
        <v>420</v>
      </c>
      <c r="D209">
        <v>227082.42</v>
      </c>
      <c r="E209">
        <v>171986.53</v>
      </c>
      <c r="F209">
        <v>55095.889999999992</v>
      </c>
      <c r="G209">
        <v>55095.889999999992</v>
      </c>
      <c r="H209" s="5">
        <v>0</v>
      </c>
      <c r="I209" s="5">
        <v>0</v>
      </c>
      <c r="K209"/>
      <c r="L209"/>
      <c r="M209"/>
      <c r="N209"/>
      <c r="O209"/>
    </row>
    <row r="210" spans="1:15" x14ac:dyDescent="0.35">
      <c r="A210" t="s">
        <v>55</v>
      </c>
      <c r="B210" t="s">
        <v>198</v>
      </c>
      <c r="C210" t="s">
        <v>199</v>
      </c>
      <c r="D210">
        <v>326174.65999999997</v>
      </c>
      <c r="E210">
        <v>326174.65999999997</v>
      </c>
      <c r="F210">
        <v>0</v>
      </c>
      <c r="G210"/>
      <c r="H210" s="5">
        <v>0</v>
      </c>
      <c r="I210" s="5">
        <v>0</v>
      </c>
      <c r="J210" s="5">
        <v>0</v>
      </c>
      <c r="K210"/>
      <c r="L210"/>
      <c r="M210"/>
      <c r="N210"/>
      <c r="O210"/>
    </row>
    <row r="211" spans="1:15" x14ac:dyDescent="0.35">
      <c r="A211" t="s">
        <v>55</v>
      </c>
      <c r="B211" t="s">
        <v>3545</v>
      </c>
      <c r="C211" t="s">
        <v>3546</v>
      </c>
      <c r="D211">
        <v>29509.57</v>
      </c>
      <c r="E211">
        <v>29509.57</v>
      </c>
      <c r="F211">
        <v>0</v>
      </c>
      <c r="G211">
        <v>0</v>
      </c>
      <c r="H211" s="5">
        <v>0</v>
      </c>
      <c r="I211" s="5">
        <v>0</v>
      </c>
      <c r="J211" s="5">
        <v>0</v>
      </c>
      <c r="K211">
        <v>0</v>
      </c>
      <c r="L211">
        <v>0</v>
      </c>
      <c r="M211"/>
      <c r="N211"/>
      <c r="O211"/>
    </row>
    <row r="212" spans="1:15" x14ac:dyDescent="0.35">
      <c r="A212" t="s">
        <v>55</v>
      </c>
      <c r="B212" t="s">
        <v>130</v>
      </c>
      <c r="C212" t="s">
        <v>131</v>
      </c>
      <c r="D212">
        <v>144431.21999999997</v>
      </c>
      <c r="E212">
        <v>144431.21999999997</v>
      </c>
      <c r="F212">
        <v>0</v>
      </c>
      <c r="G212">
        <v>0</v>
      </c>
      <c r="H212" s="5">
        <v>0</v>
      </c>
      <c r="I212" s="5">
        <v>0</v>
      </c>
      <c r="J212" s="5">
        <v>0</v>
      </c>
      <c r="K212"/>
      <c r="L212"/>
      <c r="M212">
        <v>0</v>
      </c>
      <c r="N212"/>
      <c r="O212"/>
    </row>
    <row r="213" spans="1:15" x14ac:dyDescent="0.35">
      <c r="A213" t="s">
        <v>16</v>
      </c>
      <c r="B213" t="s">
        <v>833</v>
      </c>
      <c r="C213" t="s">
        <v>834</v>
      </c>
      <c r="D213">
        <v>78173.239999999991</v>
      </c>
      <c r="E213">
        <v>78173.239999999991</v>
      </c>
      <c r="F213">
        <v>0</v>
      </c>
      <c r="G213">
        <v>0</v>
      </c>
      <c r="H213" s="5">
        <v>0</v>
      </c>
      <c r="I213" s="5">
        <v>0</v>
      </c>
      <c r="J213" s="5">
        <v>0</v>
      </c>
      <c r="K213">
        <v>0</v>
      </c>
      <c r="L213"/>
      <c r="M213"/>
      <c r="N213"/>
      <c r="O213"/>
    </row>
    <row r="214" spans="1:15" x14ac:dyDescent="0.35">
      <c r="A214" t="s">
        <v>19</v>
      </c>
      <c r="B214" t="s">
        <v>877</v>
      </c>
      <c r="C214" t="s">
        <v>878</v>
      </c>
      <c r="D214">
        <v>382570.4</v>
      </c>
      <c r="E214">
        <v>381390.2</v>
      </c>
      <c r="F214">
        <v>1180.2</v>
      </c>
      <c r="G214">
        <v>1180.2</v>
      </c>
      <c r="H214" s="5">
        <v>0</v>
      </c>
      <c r="I214" s="5">
        <v>0</v>
      </c>
      <c r="K214"/>
      <c r="L214"/>
      <c r="M214"/>
      <c r="N214"/>
      <c r="O214"/>
    </row>
    <row r="215" spans="1:15" x14ac:dyDescent="0.35">
      <c r="A215" t="s">
        <v>88</v>
      </c>
      <c r="B215" t="s">
        <v>335</v>
      </c>
      <c r="C215" t="s">
        <v>336</v>
      </c>
      <c r="D215">
        <v>282717.48</v>
      </c>
      <c r="E215">
        <v>282717.48</v>
      </c>
      <c r="F215">
        <v>0</v>
      </c>
      <c r="G215">
        <v>0</v>
      </c>
      <c r="H215" s="5">
        <v>0</v>
      </c>
      <c r="I215" s="5">
        <v>0</v>
      </c>
      <c r="J215" s="5">
        <v>0</v>
      </c>
      <c r="K215"/>
      <c r="L215"/>
      <c r="M215"/>
      <c r="N215"/>
      <c r="O215"/>
    </row>
    <row r="216" spans="1:15" x14ac:dyDescent="0.35">
      <c r="A216" t="s">
        <v>16</v>
      </c>
      <c r="B216" t="s">
        <v>837</v>
      </c>
      <c r="C216" t="s">
        <v>838</v>
      </c>
      <c r="D216">
        <v>147334.68000000002</v>
      </c>
      <c r="E216">
        <v>147334.68000000002</v>
      </c>
      <c r="F216">
        <v>0</v>
      </c>
      <c r="G216">
        <v>0</v>
      </c>
      <c r="H216" s="5">
        <v>0</v>
      </c>
      <c r="I216" s="5">
        <v>0</v>
      </c>
      <c r="K216"/>
      <c r="L216"/>
      <c r="M216"/>
      <c r="N216"/>
      <c r="O216"/>
    </row>
    <row r="217" spans="1:15" x14ac:dyDescent="0.35">
      <c r="A217" t="s">
        <v>210</v>
      </c>
      <c r="B217" t="s">
        <v>1189</v>
      </c>
      <c r="C217" t="s">
        <v>1190</v>
      </c>
      <c r="D217">
        <v>657454.56999999995</v>
      </c>
      <c r="E217">
        <v>553926.62</v>
      </c>
      <c r="F217">
        <v>103527.95</v>
      </c>
      <c r="G217">
        <v>103527.95</v>
      </c>
      <c r="I217" s="5">
        <v>0</v>
      </c>
      <c r="J217" s="5">
        <v>0</v>
      </c>
      <c r="K217"/>
      <c r="L217"/>
      <c r="M217"/>
      <c r="N217"/>
      <c r="O217"/>
    </row>
    <row r="218" spans="1:15" x14ac:dyDescent="0.35">
      <c r="A218" t="s">
        <v>19</v>
      </c>
      <c r="B218" t="s">
        <v>909</v>
      </c>
      <c r="C218" t="s">
        <v>910</v>
      </c>
      <c r="D218">
        <v>133044.41999999998</v>
      </c>
      <c r="E218">
        <v>133044.41999999998</v>
      </c>
      <c r="F218">
        <v>0</v>
      </c>
      <c r="G218"/>
      <c r="H218" s="5">
        <v>0</v>
      </c>
      <c r="I218" s="5">
        <v>0</v>
      </c>
      <c r="K218">
        <v>0</v>
      </c>
      <c r="L218"/>
      <c r="M218"/>
      <c r="N218"/>
      <c r="O218"/>
    </row>
    <row r="219" spans="1:15" x14ac:dyDescent="0.35">
      <c r="A219" t="s">
        <v>88</v>
      </c>
      <c r="B219" t="s">
        <v>1077</v>
      </c>
      <c r="C219" t="s">
        <v>1078</v>
      </c>
      <c r="D219">
        <v>237493.44</v>
      </c>
      <c r="E219">
        <v>234840.82</v>
      </c>
      <c r="F219">
        <v>2652.62</v>
      </c>
      <c r="G219">
        <v>2652.62</v>
      </c>
      <c r="J219" s="5">
        <v>0</v>
      </c>
      <c r="K219"/>
      <c r="L219"/>
      <c r="M219"/>
      <c r="N219"/>
      <c r="O219"/>
    </row>
    <row r="220" spans="1:15" x14ac:dyDescent="0.35">
      <c r="A220" t="s">
        <v>164</v>
      </c>
      <c r="B220" t="s">
        <v>707</v>
      </c>
      <c r="C220" t="s">
        <v>708</v>
      </c>
      <c r="D220">
        <v>144851.94999999998</v>
      </c>
      <c r="E220">
        <v>140843.62</v>
      </c>
      <c r="F220">
        <v>4008.33</v>
      </c>
      <c r="G220"/>
      <c r="H220" s="5">
        <v>4008.33</v>
      </c>
      <c r="I220" s="5">
        <v>0</v>
      </c>
      <c r="K220">
        <v>0</v>
      </c>
      <c r="L220"/>
      <c r="M220"/>
      <c r="N220"/>
      <c r="O220"/>
    </row>
    <row r="221" spans="1:15" x14ac:dyDescent="0.35">
      <c r="A221" t="s">
        <v>16</v>
      </c>
      <c r="B221" t="s">
        <v>312</v>
      </c>
      <c r="C221" t="s">
        <v>313</v>
      </c>
      <c r="D221">
        <v>450116.51</v>
      </c>
      <c r="E221">
        <v>387650.44</v>
      </c>
      <c r="F221">
        <v>62466.069999999992</v>
      </c>
      <c r="G221">
        <v>62466.069999999992</v>
      </c>
      <c r="H221" s="5">
        <v>0</v>
      </c>
      <c r="I221" s="5">
        <v>0</v>
      </c>
      <c r="J221" s="5">
        <v>0</v>
      </c>
      <c r="K221">
        <v>0</v>
      </c>
      <c r="L221"/>
      <c r="M221"/>
      <c r="N221"/>
      <c r="O221"/>
    </row>
    <row r="222" spans="1:15" x14ac:dyDescent="0.35">
      <c r="A222" t="s">
        <v>55</v>
      </c>
      <c r="B222" t="s">
        <v>969</v>
      </c>
      <c r="C222" t="s">
        <v>970</v>
      </c>
      <c r="D222">
        <v>321923.67000000004</v>
      </c>
      <c r="E222">
        <v>314733.84000000003</v>
      </c>
      <c r="F222">
        <v>7189.83</v>
      </c>
      <c r="G222">
        <v>7189.83</v>
      </c>
      <c r="H222" s="5">
        <v>0</v>
      </c>
      <c r="I222" s="5">
        <v>0</v>
      </c>
      <c r="K222"/>
      <c r="L222">
        <v>0</v>
      </c>
      <c r="M222"/>
      <c r="N222"/>
      <c r="O222"/>
    </row>
    <row r="223" spans="1:15" x14ac:dyDescent="0.35">
      <c r="A223" t="s">
        <v>19</v>
      </c>
      <c r="B223" t="s">
        <v>435</v>
      </c>
      <c r="C223" t="s">
        <v>436</v>
      </c>
      <c r="D223">
        <v>281188.58</v>
      </c>
      <c r="E223">
        <v>281188.58</v>
      </c>
      <c r="F223">
        <v>0</v>
      </c>
      <c r="G223">
        <v>0</v>
      </c>
      <c r="H223" s="5">
        <v>0</v>
      </c>
      <c r="I223" s="5">
        <v>0</v>
      </c>
      <c r="J223" s="5">
        <v>0</v>
      </c>
      <c r="K223"/>
      <c r="L223"/>
      <c r="M223"/>
      <c r="N223"/>
      <c r="O223"/>
    </row>
    <row r="224" spans="1:15" x14ac:dyDescent="0.35">
      <c r="A224" t="s">
        <v>210</v>
      </c>
      <c r="B224" t="s">
        <v>805</v>
      </c>
      <c r="C224" t="s">
        <v>806</v>
      </c>
      <c r="D224">
        <v>66080</v>
      </c>
      <c r="E224">
        <v>66080</v>
      </c>
      <c r="F224">
        <v>0</v>
      </c>
      <c r="G224">
        <v>0</v>
      </c>
      <c r="H224" s="5">
        <v>0</v>
      </c>
      <c r="I224" s="5">
        <v>0</v>
      </c>
      <c r="K224"/>
      <c r="L224"/>
      <c r="M224"/>
      <c r="N224"/>
      <c r="O224"/>
    </row>
    <row r="225" spans="1:15" x14ac:dyDescent="0.35">
      <c r="A225" t="s">
        <v>210</v>
      </c>
      <c r="B225" t="s">
        <v>573</v>
      </c>
      <c r="C225" t="s">
        <v>574</v>
      </c>
      <c r="D225">
        <v>460163.36</v>
      </c>
      <c r="E225">
        <v>454008.04</v>
      </c>
      <c r="F225">
        <v>6155.32</v>
      </c>
      <c r="G225">
        <v>6155.32</v>
      </c>
      <c r="H225" s="5">
        <v>0</v>
      </c>
      <c r="I225" s="5">
        <v>0</v>
      </c>
      <c r="J225" s="5">
        <v>0</v>
      </c>
      <c r="K225">
        <v>0</v>
      </c>
      <c r="L225"/>
      <c r="M225"/>
      <c r="N225"/>
      <c r="O225"/>
    </row>
    <row r="226" spans="1:15" x14ac:dyDescent="0.35">
      <c r="A226" t="s">
        <v>55</v>
      </c>
      <c r="B226" t="s">
        <v>861</v>
      </c>
      <c r="C226" t="s">
        <v>862</v>
      </c>
      <c r="D226">
        <v>140314.99</v>
      </c>
      <c r="E226">
        <v>115365.06</v>
      </c>
      <c r="F226">
        <v>24949.93</v>
      </c>
      <c r="G226">
        <v>24949.93</v>
      </c>
      <c r="H226" s="5">
        <v>0</v>
      </c>
      <c r="I226" s="5">
        <v>0</v>
      </c>
      <c r="K226"/>
      <c r="L226"/>
      <c r="M226"/>
      <c r="N226"/>
      <c r="O226"/>
    </row>
    <row r="227" spans="1:15" x14ac:dyDescent="0.35">
      <c r="A227" t="s">
        <v>16</v>
      </c>
      <c r="B227" t="s">
        <v>74</v>
      </c>
      <c r="C227" t="s">
        <v>75</v>
      </c>
      <c r="D227">
        <v>359488.24</v>
      </c>
      <c r="E227">
        <v>359488.24</v>
      </c>
      <c r="F227">
        <v>0</v>
      </c>
      <c r="G227">
        <v>0</v>
      </c>
      <c r="H227" s="5">
        <v>0</v>
      </c>
      <c r="I227" s="5">
        <v>0</v>
      </c>
      <c r="K227"/>
      <c r="L227"/>
      <c r="M227"/>
      <c r="N227"/>
      <c r="O227"/>
    </row>
    <row r="228" spans="1:15" x14ac:dyDescent="0.35">
      <c r="A228" t="s">
        <v>19</v>
      </c>
      <c r="B228" t="s">
        <v>621</v>
      </c>
      <c r="C228" t="s">
        <v>622</v>
      </c>
      <c r="D228">
        <v>207767.64</v>
      </c>
      <c r="E228">
        <v>205406.9</v>
      </c>
      <c r="F228">
        <v>2360.7400000000098</v>
      </c>
      <c r="G228">
        <v>2360.7400000000098</v>
      </c>
      <c r="H228" s="5">
        <v>0</v>
      </c>
      <c r="I228" s="5">
        <v>0</v>
      </c>
      <c r="J228" s="5">
        <v>0</v>
      </c>
      <c r="K228"/>
      <c r="L228"/>
      <c r="M228"/>
      <c r="N228"/>
      <c r="O228"/>
    </row>
    <row r="229" spans="1:15" x14ac:dyDescent="0.35">
      <c r="A229" t="s">
        <v>88</v>
      </c>
      <c r="B229" t="s">
        <v>300</v>
      </c>
      <c r="C229" t="s">
        <v>301</v>
      </c>
      <c r="D229">
        <v>298740.59999999998</v>
      </c>
      <c r="E229">
        <v>298740.59999999998</v>
      </c>
      <c r="F229">
        <v>0</v>
      </c>
      <c r="G229">
        <v>0</v>
      </c>
      <c r="H229" s="5">
        <v>0</v>
      </c>
      <c r="I229" s="5">
        <v>0</v>
      </c>
      <c r="J229" s="5">
        <v>0</v>
      </c>
      <c r="K229"/>
      <c r="L229"/>
      <c r="M229"/>
      <c r="N229"/>
      <c r="O229"/>
    </row>
    <row r="230" spans="1:15" x14ac:dyDescent="0.35">
      <c r="A230" t="s">
        <v>88</v>
      </c>
      <c r="B230" t="s">
        <v>887</v>
      </c>
      <c r="C230" t="s">
        <v>888</v>
      </c>
      <c r="D230">
        <v>697778.54000000015</v>
      </c>
      <c r="E230">
        <v>697778.54000000015</v>
      </c>
      <c r="F230">
        <v>0</v>
      </c>
      <c r="G230"/>
      <c r="H230" s="5">
        <v>0</v>
      </c>
      <c r="I230" s="5">
        <v>0</v>
      </c>
      <c r="J230" s="5">
        <v>0</v>
      </c>
      <c r="K230"/>
      <c r="L230"/>
      <c r="M230"/>
      <c r="N230"/>
      <c r="O230"/>
    </row>
    <row r="231" spans="1:15" x14ac:dyDescent="0.35">
      <c r="A231" t="s">
        <v>55</v>
      </c>
      <c r="B231" t="s">
        <v>777</v>
      </c>
      <c r="C231" t="s">
        <v>778</v>
      </c>
      <c r="D231">
        <v>1233559.02</v>
      </c>
      <c r="E231">
        <v>1233559.02</v>
      </c>
      <c r="F231">
        <v>0</v>
      </c>
      <c r="G231">
        <v>0</v>
      </c>
      <c r="H231" s="5">
        <v>0</v>
      </c>
      <c r="I231" s="5">
        <v>0</v>
      </c>
      <c r="J231" s="5">
        <v>0</v>
      </c>
      <c r="K231"/>
      <c r="L231"/>
      <c r="M231"/>
      <c r="N231"/>
      <c r="O231"/>
    </row>
    <row r="232" spans="1:15" x14ac:dyDescent="0.35">
      <c r="A232" t="s">
        <v>55</v>
      </c>
      <c r="B232" t="s">
        <v>282</v>
      </c>
      <c r="C232" t="s">
        <v>283</v>
      </c>
      <c r="D232">
        <v>491191.94</v>
      </c>
      <c r="E232">
        <v>491191.94</v>
      </c>
      <c r="F232">
        <v>0</v>
      </c>
      <c r="G232">
        <v>0</v>
      </c>
      <c r="H232" s="5">
        <v>0</v>
      </c>
      <c r="I232" s="5">
        <v>0</v>
      </c>
      <c r="J232" s="5">
        <v>0</v>
      </c>
      <c r="K232"/>
      <c r="L232">
        <v>0</v>
      </c>
      <c r="M232"/>
      <c r="N232"/>
      <c r="O232"/>
    </row>
    <row r="233" spans="1:15" x14ac:dyDescent="0.35">
      <c r="A233" t="s">
        <v>41</v>
      </c>
      <c r="B233" t="s">
        <v>693</v>
      </c>
      <c r="C233" t="s">
        <v>694</v>
      </c>
      <c r="D233">
        <v>1188774.6399999999</v>
      </c>
      <c r="E233">
        <v>1188774.6399999999</v>
      </c>
      <c r="F233">
        <v>0</v>
      </c>
      <c r="G233">
        <v>0</v>
      </c>
      <c r="H233" s="5">
        <v>0</v>
      </c>
      <c r="I233" s="5">
        <v>0</v>
      </c>
      <c r="J233" s="5">
        <v>0</v>
      </c>
      <c r="K233"/>
      <c r="L233"/>
      <c r="M233"/>
      <c r="N233"/>
      <c r="O233"/>
    </row>
    <row r="234" spans="1:15" x14ac:dyDescent="0.35">
      <c r="A234" t="s">
        <v>111</v>
      </c>
      <c r="B234" t="s">
        <v>112</v>
      </c>
      <c r="C234" t="s">
        <v>113</v>
      </c>
      <c r="D234">
        <v>184442.64</v>
      </c>
      <c r="E234">
        <v>184442.64</v>
      </c>
      <c r="F234">
        <v>0</v>
      </c>
      <c r="G234">
        <v>0</v>
      </c>
      <c r="H234" s="5">
        <v>0</v>
      </c>
      <c r="I234" s="5">
        <v>0</v>
      </c>
      <c r="J234" s="5">
        <v>0</v>
      </c>
      <c r="K234">
        <v>0</v>
      </c>
      <c r="L234"/>
      <c r="M234"/>
      <c r="N234"/>
      <c r="O234"/>
    </row>
    <row r="235" spans="1:15" x14ac:dyDescent="0.35">
      <c r="A235" t="s">
        <v>41</v>
      </c>
      <c r="B235" t="s">
        <v>673</v>
      </c>
      <c r="C235" t="s">
        <v>674</v>
      </c>
      <c r="D235">
        <v>70274.62</v>
      </c>
      <c r="E235">
        <v>70274.62</v>
      </c>
      <c r="F235">
        <v>0</v>
      </c>
      <c r="G235"/>
      <c r="H235" s="5">
        <v>0</v>
      </c>
      <c r="K235"/>
      <c r="L235"/>
      <c r="M235"/>
      <c r="N235"/>
      <c r="O235"/>
    </row>
    <row r="236" spans="1:15" x14ac:dyDescent="0.35">
      <c r="A236" t="s">
        <v>210</v>
      </c>
      <c r="B236" t="s">
        <v>211</v>
      </c>
      <c r="C236" t="s">
        <v>212</v>
      </c>
      <c r="D236">
        <v>969861.30999999982</v>
      </c>
      <c r="E236">
        <v>941172.84999999986</v>
      </c>
      <c r="F236">
        <v>28688.46</v>
      </c>
      <c r="G236">
        <v>28688.46</v>
      </c>
      <c r="H236" s="5">
        <v>0</v>
      </c>
      <c r="I236" s="5">
        <v>0</v>
      </c>
      <c r="J236" s="5">
        <v>0</v>
      </c>
      <c r="K236"/>
      <c r="L236"/>
      <c r="M236"/>
      <c r="N236"/>
      <c r="O236"/>
    </row>
    <row r="237" spans="1:15" x14ac:dyDescent="0.35">
      <c r="A237" t="s">
        <v>41</v>
      </c>
      <c r="B237" t="s">
        <v>743</v>
      </c>
      <c r="C237" t="s">
        <v>744</v>
      </c>
      <c r="D237">
        <v>520238.4</v>
      </c>
      <c r="E237">
        <v>520238.4</v>
      </c>
      <c r="F237">
        <v>0</v>
      </c>
      <c r="G237"/>
      <c r="H237" s="5">
        <v>0</v>
      </c>
      <c r="I237" s="5">
        <v>0</v>
      </c>
      <c r="K237"/>
      <c r="L237"/>
      <c r="M237"/>
      <c r="N237"/>
      <c r="O237"/>
    </row>
    <row r="238" spans="1:15" x14ac:dyDescent="0.35">
      <c r="A238" t="s">
        <v>19</v>
      </c>
      <c r="B238" t="s">
        <v>963</v>
      </c>
      <c r="C238" t="s">
        <v>964</v>
      </c>
      <c r="D238">
        <v>217186.7</v>
      </c>
      <c r="E238">
        <v>217186.7</v>
      </c>
      <c r="F238">
        <v>0</v>
      </c>
      <c r="G238">
        <v>0</v>
      </c>
      <c r="H238" s="5">
        <v>0</v>
      </c>
      <c r="I238" s="5">
        <v>0</v>
      </c>
      <c r="J238" s="5">
        <v>0</v>
      </c>
      <c r="K238"/>
      <c r="L238"/>
      <c r="M238"/>
      <c r="N238"/>
      <c r="O238"/>
    </row>
    <row r="239" spans="1:15" x14ac:dyDescent="0.35">
      <c r="A239" t="s">
        <v>19</v>
      </c>
      <c r="B239" t="s">
        <v>3547</v>
      </c>
      <c r="C239" t="s">
        <v>3548</v>
      </c>
      <c r="D239">
        <v>4289.96</v>
      </c>
      <c r="E239"/>
      <c r="F239">
        <v>4289.96</v>
      </c>
      <c r="G239">
        <v>4289.96</v>
      </c>
      <c r="I239" s="5">
        <v>0</v>
      </c>
      <c r="K239"/>
      <c r="L239"/>
      <c r="M239"/>
      <c r="N239"/>
      <c r="O239"/>
    </row>
    <row r="240" spans="1:15" x14ac:dyDescent="0.35">
      <c r="A240" t="s">
        <v>210</v>
      </c>
      <c r="B240" t="s">
        <v>931</v>
      </c>
      <c r="C240" t="s">
        <v>932</v>
      </c>
      <c r="D240">
        <v>605904.27999999991</v>
      </c>
      <c r="E240">
        <v>578744.07999999996</v>
      </c>
      <c r="F240">
        <v>27160.2</v>
      </c>
      <c r="G240">
        <v>27160.2</v>
      </c>
      <c r="H240" s="5">
        <v>0</v>
      </c>
      <c r="I240" s="5">
        <v>0</v>
      </c>
      <c r="J240" s="5">
        <v>0</v>
      </c>
      <c r="K240"/>
      <c r="L240"/>
      <c r="M240"/>
      <c r="N240"/>
      <c r="O240"/>
    </row>
    <row r="241" spans="1:15" x14ac:dyDescent="0.35">
      <c r="A241" t="s">
        <v>93</v>
      </c>
      <c r="B241" t="s">
        <v>809</v>
      </c>
      <c r="C241" t="s">
        <v>810</v>
      </c>
      <c r="D241">
        <v>422643.1</v>
      </c>
      <c r="E241">
        <v>422643.1</v>
      </c>
      <c r="F241">
        <v>0</v>
      </c>
      <c r="G241"/>
      <c r="H241" s="5">
        <v>0</v>
      </c>
      <c r="I241" s="5">
        <v>0</v>
      </c>
      <c r="K241"/>
      <c r="L241"/>
      <c r="M241"/>
      <c r="N241"/>
      <c r="O241"/>
    </row>
    <row r="242" spans="1:15" x14ac:dyDescent="0.35">
      <c r="A242" t="s">
        <v>100</v>
      </c>
      <c r="B242" t="s">
        <v>457</v>
      </c>
      <c r="C242" t="s">
        <v>458</v>
      </c>
      <c r="D242">
        <v>123417.37000000001</v>
      </c>
      <c r="E242">
        <v>122908.8</v>
      </c>
      <c r="F242">
        <v>508.57000000000698</v>
      </c>
      <c r="G242">
        <v>115.5</v>
      </c>
      <c r="H242" s="5">
        <v>393.07000000000698</v>
      </c>
      <c r="I242" s="5">
        <v>0</v>
      </c>
      <c r="K242"/>
      <c r="L242"/>
      <c r="M242"/>
      <c r="N242"/>
      <c r="O242"/>
    </row>
    <row r="243" spans="1:15" x14ac:dyDescent="0.35">
      <c r="A243" t="s">
        <v>93</v>
      </c>
      <c r="B243" t="s">
        <v>3549</v>
      </c>
      <c r="C243" t="s">
        <v>3550</v>
      </c>
      <c r="D243">
        <v>837.38</v>
      </c>
      <c r="E243"/>
      <c r="F243">
        <v>837.38</v>
      </c>
      <c r="G243">
        <v>837.38</v>
      </c>
      <c r="H243" s="5">
        <v>0</v>
      </c>
      <c r="I243" s="5">
        <v>0</v>
      </c>
      <c r="J243" s="5">
        <v>0</v>
      </c>
      <c r="K243"/>
      <c r="L243"/>
      <c r="M243"/>
      <c r="N243"/>
      <c r="O243"/>
    </row>
    <row r="244" spans="1:15" x14ac:dyDescent="0.35">
      <c r="A244" t="s">
        <v>164</v>
      </c>
      <c r="B244" t="s">
        <v>543</v>
      </c>
      <c r="C244" t="s">
        <v>544</v>
      </c>
      <c r="D244">
        <v>718091.79999999981</v>
      </c>
      <c r="E244">
        <v>718091.79999999981</v>
      </c>
      <c r="F244">
        <v>0</v>
      </c>
      <c r="G244">
        <v>0</v>
      </c>
      <c r="H244" s="5">
        <v>0</v>
      </c>
      <c r="I244" s="5">
        <v>0</v>
      </c>
      <c r="J244" s="5">
        <v>0</v>
      </c>
      <c r="K244"/>
      <c r="L244"/>
      <c r="M244"/>
      <c r="N244"/>
      <c r="O244"/>
    </row>
    <row r="245" spans="1:15" x14ac:dyDescent="0.35">
      <c r="A245" t="s">
        <v>19</v>
      </c>
      <c r="B245" t="s">
        <v>1127</v>
      </c>
      <c r="C245" t="s">
        <v>1128</v>
      </c>
      <c r="D245">
        <v>70076.42</v>
      </c>
      <c r="E245">
        <v>70076.42</v>
      </c>
      <c r="F245"/>
      <c r="G245"/>
      <c r="K245"/>
      <c r="L245"/>
      <c r="M245"/>
      <c r="N245"/>
      <c r="O245"/>
    </row>
    <row r="246" spans="1:15" x14ac:dyDescent="0.35">
      <c r="A246" t="s">
        <v>169</v>
      </c>
      <c r="B246" t="s">
        <v>411</v>
      </c>
      <c r="C246" t="s">
        <v>412</v>
      </c>
      <c r="D246">
        <v>276669.56</v>
      </c>
      <c r="E246">
        <v>276669.56</v>
      </c>
      <c r="F246">
        <v>0</v>
      </c>
      <c r="G246">
        <v>0</v>
      </c>
      <c r="H246" s="5">
        <v>0</v>
      </c>
      <c r="I246" s="5">
        <v>0</v>
      </c>
      <c r="J246" s="5">
        <v>0</v>
      </c>
      <c r="K246"/>
      <c r="L246"/>
      <c r="M246"/>
      <c r="N246"/>
      <c r="O246"/>
    </row>
    <row r="247" spans="1:15" x14ac:dyDescent="0.35">
      <c r="A247" t="s">
        <v>210</v>
      </c>
      <c r="B247" t="s">
        <v>333</v>
      </c>
      <c r="C247" t="s">
        <v>334</v>
      </c>
      <c r="D247">
        <v>357640.57999999996</v>
      </c>
      <c r="E247">
        <v>357640.57999999996</v>
      </c>
      <c r="F247">
        <v>0</v>
      </c>
      <c r="G247">
        <v>0</v>
      </c>
      <c r="H247" s="5">
        <v>0</v>
      </c>
      <c r="I247" s="5">
        <v>0</v>
      </c>
      <c r="K247"/>
      <c r="L247"/>
      <c r="M247"/>
      <c r="N247"/>
      <c r="O247"/>
    </row>
    <row r="248" spans="1:15" x14ac:dyDescent="0.35">
      <c r="A248" t="s">
        <v>19</v>
      </c>
      <c r="B248" t="s">
        <v>937</v>
      </c>
      <c r="C248" t="s">
        <v>938</v>
      </c>
      <c r="D248">
        <v>429779.4</v>
      </c>
      <c r="E248">
        <v>429779.4</v>
      </c>
      <c r="F248">
        <v>0</v>
      </c>
      <c r="G248">
        <v>0</v>
      </c>
      <c r="H248" s="5">
        <v>0</v>
      </c>
      <c r="I248" s="5">
        <v>0</v>
      </c>
      <c r="J248" s="5">
        <v>0</v>
      </c>
      <c r="K248"/>
      <c r="L248"/>
      <c r="M248"/>
      <c r="N248"/>
      <c r="O248"/>
    </row>
    <row r="249" spans="1:15" x14ac:dyDescent="0.35">
      <c r="A249" t="s">
        <v>169</v>
      </c>
      <c r="B249" t="s">
        <v>1083</v>
      </c>
      <c r="C249" t="s">
        <v>1084</v>
      </c>
      <c r="D249">
        <v>235939.73</v>
      </c>
      <c r="E249">
        <v>235939.73</v>
      </c>
      <c r="F249">
        <v>0</v>
      </c>
      <c r="G249"/>
      <c r="I249" s="5">
        <v>0</v>
      </c>
      <c r="J249" s="5">
        <v>0</v>
      </c>
      <c r="K249"/>
      <c r="L249"/>
      <c r="M249"/>
      <c r="N249"/>
      <c r="O249"/>
    </row>
    <row r="250" spans="1:15" x14ac:dyDescent="0.35">
      <c r="A250" t="s">
        <v>169</v>
      </c>
      <c r="B250" t="s">
        <v>919</v>
      </c>
      <c r="C250" t="s">
        <v>920</v>
      </c>
      <c r="D250">
        <v>112048.08</v>
      </c>
      <c r="E250">
        <v>112048.08</v>
      </c>
      <c r="F250">
        <v>0</v>
      </c>
      <c r="G250">
        <v>0</v>
      </c>
      <c r="I250" s="5">
        <v>0</v>
      </c>
      <c r="K250"/>
      <c r="L250"/>
      <c r="M250"/>
      <c r="N250"/>
      <c r="O250"/>
    </row>
    <row r="251" spans="1:15" x14ac:dyDescent="0.35">
      <c r="A251" t="s">
        <v>36</v>
      </c>
      <c r="B251" t="s">
        <v>124</v>
      </c>
      <c r="C251" t="s">
        <v>125</v>
      </c>
      <c r="D251">
        <v>644053.27999999991</v>
      </c>
      <c r="E251">
        <v>481438.09999999992</v>
      </c>
      <c r="F251">
        <v>162615.18</v>
      </c>
      <c r="G251">
        <v>162615.18</v>
      </c>
      <c r="H251" s="5">
        <v>0</v>
      </c>
      <c r="I251" s="5">
        <v>0</v>
      </c>
      <c r="J251" s="5">
        <v>0</v>
      </c>
      <c r="K251">
        <v>0</v>
      </c>
      <c r="L251"/>
      <c r="M251"/>
      <c r="N251"/>
      <c r="O251"/>
    </row>
    <row r="252" spans="1:15" x14ac:dyDescent="0.35">
      <c r="A252" t="s">
        <v>169</v>
      </c>
      <c r="B252" t="s">
        <v>170</v>
      </c>
      <c r="C252" t="s">
        <v>171</v>
      </c>
      <c r="D252">
        <v>328706.28000000003</v>
      </c>
      <c r="E252">
        <v>328706.28000000003</v>
      </c>
      <c r="F252">
        <v>0</v>
      </c>
      <c r="G252">
        <v>0</v>
      </c>
      <c r="H252" s="5">
        <v>0</v>
      </c>
      <c r="I252" s="5">
        <v>0</v>
      </c>
      <c r="J252" s="5">
        <v>0</v>
      </c>
      <c r="K252"/>
      <c r="L252"/>
      <c r="M252"/>
      <c r="N252"/>
      <c r="O252"/>
    </row>
    <row r="253" spans="1:15" x14ac:dyDescent="0.35">
      <c r="A253" t="s">
        <v>275</v>
      </c>
      <c r="B253" t="s">
        <v>1101</v>
      </c>
      <c r="C253" t="s">
        <v>1102</v>
      </c>
      <c r="D253">
        <v>13179.64</v>
      </c>
      <c r="E253"/>
      <c r="F253">
        <v>13179.64</v>
      </c>
      <c r="G253">
        <v>13179.64</v>
      </c>
      <c r="K253">
        <v>0</v>
      </c>
      <c r="L253"/>
      <c r="M253"/>
      <c r="N253"/>
      <c r="O253"/>
    </row>
    <row r="254" spans="1:15" x14ac:dyDescent="0.35">
      <c r="A254" t="s">
        <v>27</v>
      </c>
      <c r="B254" t="s">
        <v>134</v>
      </c>
      <c r="C254" t="s">
        <v>135</v>
      </c>
      <c r="D254">
        <v>91311.039999999979</v>
      </c>
      <c r="E254">
        <v>91290.059999999983</v>
      </c>
      <c r="F254">
        <v>20.979999999999599</v>
      </c>
      <c r="G254">
        <v>20.979999999999599</v>
      </c>
      <c r="H254" s="5">
        <v>0</v>
      </c>
      <c r="I254" s="5">
        <v>0</v>
      </c>
      <c r="J254" s="5">
        <v>0</v>
      </c>
      <c r="K254"/>
      <c r="L254"/>
      <c r="M254"/>
      <c r="N254"/>
      <c r="O254"/>
    </row>
    <row r="255" spans="1:15" x14ac:dyDescent="0.35">
      <c r="A255" t="s">
        <v>27</v>
      </c>
      <c r="B255" t="s">
        <v>565</v>
      </c>
      <c r="C255" t="s">
        <v>566</v>
      </c>
      <c r="D255">
        <v>441700.13</v>
      </c>
      <c r="E255">
        <v>441700.13</v>
      </c>
      <c r="F255">
        <v>0</v>
      </c>
      <c r="G255">
        <v>0</v>
      </c>
      <c r="H255" s="5">
        <v>0</v>
      </c>
      <c r="I255" s="5">
        <v>0</v>
      </c>
      <c r="K255"/>
      <c r="L255"/>
      <c r="M255"/>
      <c r="N255"/>
      <c r="O255"/>
    </row>
    <row r="256" spans="1:15" x14ac:dyDescent="0.35">
      <c r="A256" t="s">
        <v>27</v>
      </c>
      <c r="B256" t="s">
        <v>28</v>
      </c>
      <c r="C256" t="s">
        <v>29</v>
      </c>
      <c r="D256">
        <v>689499.58</v>
      </c>
      <c r="E256">
        <v>664873</v>
      </c>
      <c r="F256">
        <v>24626.579999999998</v>
      </c>
      <c r="G256">
        <v>24626.579999999998</v>
      </c>
      <c r="H256" s="5">
        <v>0</v>
      </c>
      <c r="I256" s="5">
        <v>0</v>
      </c>
      <c r="J256" s="5">
        <v>0</v>
      </c>
      <c r="K256"/>
      <c r="L256"/>
      <c r="M256"/>
      <c r="N256"/>
      <c r="O256"/>
    </row>
    <row r="257" spans="1:15" x14ac:dyDescent="0.35">
      <c r="A257" t="s">
        <v>27</v>
      </c>
      <c r="B257" t="s">
        <v>679</v>
      </c>
      <c r="C257" t="s">
        <v>680</v>
      </c>
      <c r="D257">
        <v>588774.33000000007</v>
      </c>
      <c r="E257">
        <v>588774.33000000007</v>
      </c>
      <c r="F257">
        <v>0</v>
      </c>
      <c r="G257">
        <v>0</v>
      </c>
      <c r="H257" s="5">
        <v>0</v>
      </c>
      <c r="I257" s="5">
        <v>0</v>
      </c>
      <c r="J257" s="5">
        <v>0</v>
      </c>
      <c r="K257">
        <v>0</v>
      </c>
      <c r="L257"/>
      <c r="M257"/>
      <c r="N257"/>
      <c r="O257"/>
    </row>
    <row r="258" spans="1:15" x14ac:dyDescent="0.35">
      <c r="A258" t="s">
        <v>27</v>
      </c>
      <c r="B258" t="s">
        <v>491</v>
      </c>
      <c r="C258" t="s">
        <v>492</v>
      </c>
      <c r="D258">
        <v>2172724.2999999998</v>
      </c>
      <c r="E258">
        <v>2111999.1399999997</v>
      </c>
      <c r="F258">
        <v>60725.16</v>
      </c>
      <c r="G258">
        <v>60725.16</v>
      </c>
      <c r="H258" s="5">
        <v>0</v>
      </c>
      <c r="I258" s="5">
        <v>0</v>
      </c>
      <c r="J258" s="5">
        <v>0</v>
      </c>
      <c r="K258"/>
      <c r="L258"/>
      <c r="M258"/>
      <c r="N258"/>
      <c r="O258"/>
    </row>
    <row r="259" spans="1:15" x14ac:dyDescent="0.35">
      <c r="A259" t="s">
        <v>27</v>
      </c>
      <c r="B259" t="s">
        <v>597</v>
      </c>
      <c r="C259" t="s">
        <v>598</v>
      </c>
      <c r="D259">
        <v>169321.36</v>
      </c>
      <c r="E259">
        <v>169321.36</v>
      </c>
      <c r="F259">
        <v>0</v>
      </c>
      <c r="G259">
        <v>0</v>
      </c>
      <c r="H259" s="5">
        <v>0</v>
      </c>
      <c r="I259" s="5">
        <v>0</v>
      </c>
      <c r="K259"/>
      <c r="L259"/>
      <c r="M259"/>
      <c r="N259"/>
      <c r="O259"/>
    </row>
    <row r="260" spans="1:15" x14ac:dyDescent="0.35">
      <c r="A260" t="s">
        <v>27</v>
      </c>
      <c r="B260" t="s">
        <v>144</v>
      </c>
      <c r="C260" t="s">
        <v>145</v>
      </c>
      <c r="D260">
        <v>307352.08</v>
      </c>
      <c r="E260">
        <v>307352.08</v>
      </c>
      <c r="F260">
        <v>0</v>
      </c>
      <c r="G260">
        <v>0</v>
      </c>
      <c r="H260" s="5">
        <v>0</v>
      </c>
      <c r="I260" s="5">
        <v>0</v>
      </c>
      <c r="K260"/>
      <c r="L260"/>
      <c r="M260"/>
      <c r="N260"/>
      <c r="O260"/>
    </row>
    <row r="261" spans="1:15" x14ac:dyDescent="0.35">
      <c r="A261" t="s">
        <v>27</v>
      </c>
      <c r="B261" t="s">
        <v>767</v>
      </c>
      <c r="C261" t="s">
        <v>768</v>
      </c>
      <c r="D261">
        <v>2864320.42</v>
      </c>
      <c r="E261">
        <v>2533266.54</v>
      </c>
      <c r="F261">
        <v>331053.88</v>
      </c>
      <c r="G261">
        <v>331053.88</v>
      </c>
      <c r="H261" s="5">
        <v>0</v>
      </c>
      <c r="I261" s="5">
        <v>0</v>
      </c>
      <c r="J261" s="5">
        <v>0</v>
      </c>
      <c r="K261"/>
      <c r="L261"/>
      <c r="M261"/>
      <c r="N261"/>
      <c r="O261"/>
    </row>
    <row r="262" spans="1:15" x14ac:dyDescent="0.35">
      <c r="A262" t="s">
        <v>27</v>
      </c>
      <c r="B262" t="s">
        <v>623</v>
      </c>
      <c r="C262" t="s">
        <v>624</v>
      </c>
      <c r="D262">
        <v>1038205.7100000001</v>
      </c>
      <c r="E262">
        <v>1038205.7100000001</v>
      </c>
      <c r="F262">
        <v>0</v>
      </c>
      <c r="G262">
        <v>0</v>
      </c>
      <c r="H262" s="5">
        <v>0</v>
      </c>
      <c r="I262" s="5">
        <v>0</v>
      </c>
      <c r="J262" s="5">
        <v>0</v>
      </c>
      <c r="K262"/>
      <c r="L262"/>
      <c r="M262"/>
      <c r="N262"/>
      <c r="O262"/>
    </row>
    <row r="263" spans="1:15" x14ac:dyDescent="0.35">
      <c r="A263" t="s">
        <v>27</v>
      </c>
      <c r="B263" t="s">
        <v>595</v>
      </c>
      <c r="C263" t="s">
        <v>596</v>
      </c>
      <c r="D263">
        <v>251640.03999999998</v>
      </c>
      <c r="E263">
        <v>251640.03999999998</v>
      </c>
      <c r="F263">
        <v>0</v>
      </c>
      <c r="G263">
        <v>0</v>
      </c>
      <c r="H263" s="5">
        <v>0</v>
      </c>
      <c r="I263" s="5">
        <v>0</v>
      </c>
      <c r="J263" s="5">
        <v>0</v>
      </c>
      <c r="K263"/>
      <c r="L263"/>
      <c r="M263"/>
      <c r="N263"/>
      <c r="O263"/>
    </row>
    <row r="264" spans="1:15" x14ac:dyDescent="0.35">
      <c r="A264" t="s">
        <v>27</v>
      </c>
      <c r="B264" t="s">
        <v>791</v>
      </c>
      <c r="C264" t="s">
        <v>792</v>
      </c>
      <c r="D264">
        <v>466770.72</v>
      </c>
      <c r="E264">
        <v>451579.27999999997</v>
      </c>
      <c r="F264">
        <v>15191.440000000002</v>
      </c>
      <c r="G264">
        <v>14632</v>
      </c>
      <c r="H264" s="5">
        <v>559.44000000000199</v>
      </c>
      <c r="I264" s="5">
        <v>0</v>
      </c>
      <c r="J264" s="5">
        <v>0</v>
      </c>
      <c r="K264"/>
      <c r="L264"/>
      <c r="M264"/>
      <c r="N264"/>
      <c r="O264"/>
    </row>
    <row r="265" spans="1:15" x14ac:dyDescent="0.35">
      <c r="A265" t="s">
        <v>24</v>
      </c>
      <c r="B265" t="s">
        <v>627</v>
      </c>
      <c r="C265" t="s">
        <v>628</v>
      </c>
      <c r="D265">
        <v>735951.8</v>
      </c>
      <c r="E265">
        <v>735951.8</v>
      </c>
      <c r="F265">
        <v>0</v>
      </c>
      <c r="G265">
        <v>0</v>
      </c>
      <c r="H265" s="5">
        <v>0</v>
      </c>
      <c r="I265" s="5">
        <v>0</v>
      </c>
      <c r="J265" s="5">
        <v>0</v>
      </c>
      <c r="K265">
        <v>0</v>
      </c>
      <c r="L265"/>
      <c r="M265"/>
      <c r="N265"/>
      <c r="O265"/>
    </row>
    <row r="266" spans="1:15" x14ac:dyDescent="0.35">
      <c r="A266" t="s">
        <v>24</v>
      </c>
      <c r="B266" t="s">
        <v>659</v>
      </c>
      <c r="C266" t="s">
        <v>660</v>
      </c>
      <c r="D266">
        <v>337645.82</v>
      </c>
      <c r="E266">
        <v>337645.82</v>
      </c>
      <c r="F266">
        <v>0</v>
      </c>
      <c r="G266">
        <v>0</v>
      </c>
      <c r="H266" s="5">
        <v>0</v>
      </c>
      <c r="I266" s="5">
        <v>0</v>
      </c>
      <c r="J266" s="5">
        <v>0</v>
      </c>
      <c r="K266"/>
      <c r="L266"/>
      <c r="M266"/>
      <c r="N266"/>
      <c r="O266"/>
    </row>
    <row r="267" spans="1:15" x14ac:dyDescent="0.35">
      <c r="A267" t="s">
        <v>19</v>
      </c>
      <c r="B267" t="s">
        <v>1213</v>
      </c>
      <c r="C267" t="s">
        <v>1214</v>
      </c>
      <c r="D267">
        <v>114390.37</v>
      </c>
      <c r="E267">
        <v>113244.48</v>
      </c>
      <c r="F267">
        <v>1145.8900000000001</v>
      </c>
      <c r="G267">
        <v>1145.8900000000001</v>
      </c>
      <c r="H267" s="5">
        <v>0</v>
      </c>
      <c r="I267" s="5">
        <v>0</v>
      </c>
      <c r="J267" s="5">
        <v>0</v>
      </c>
      <c r="K267"/>
      <c r="L267"/>
      <c r="M267"/>
      <c r="N267"/>
      <c r="O267"/>
    </row>
    <row r="268" spans="1:15" x14ac:dyDescent="0.35">
      <c r="A268" t="s">
        <v>36</v>
      </c>
      <c r="B268" t="s">
        <v>725</v>
      </c>
      <c r="C268" t="s">
        <v>726</v>
      </c>
      <c r="D268">
        <v>513258.73</v>
      </c>
      <c r="E268">
        <v>436387.2</v>
      </c>
      <c r="F268">
        <v>76871.53</v>
      </c>
      <c r="G268">
        <v>76871.53</v>
      </c>
      <c r="H268" s="5">
        <v>0</v>
      </c>
      <c r="I268" s="5">
        <v>0</v>
      </c>
      <c r="J268" s="5">
        <v>0</v>
      </c>
      <c r="K268">
        <v>0</v>
      </c>
      <c r="L268"/>
      <c r="M268"/>
      <c r="N268"/>
      <c r="O268"/>
    </row>
    <row r="269" spans="1:15" x14ac:dyDescent="0.35">
      <c r="A269" t="s">
        <v>33</v>
      </c>
      <c r="B269" t="s">
        <v>857</v>
      </c>
      <c r="C269" t="s">
        <v>858</v>
      </c>
      <c r="D269">
        <v>437354.63999999996</v>
      </c>
      <c r="E269">
        <v>431188.98</v>
      </c>
      <c r="F269">
        <v>6165.66</v>
      </c>
      <c r="G269">
        <v>6165.66</v>
      </c>
      <c r="H269" s="5">
        <v>0</v>
      </c>
      <c r="I269" s="5">
        <v>0</v>
      </c>
      <c r="J269" s="5">
        <v>0</v>
      </c>
      <c r="K269"/>
      <c r="L269"/>
      <c r="M269"/>
      <c r="N269"/>
      <c r="O269"/>
    </row>
    <row r="270" spans="1:15" x14ac:dyDescent="0.35">
      <c r="A270" t="s">
        <v>46</v>
      </c>
      <c r="B270" t="s">
        <v>267</v>
      </c>
      <c r="C270" t="s">
        <v>268</v>
      </c>
      <c r="D270">
        <v>480209.01999999996</v>
      </c>
      <c r="E270">
        <v>480209.01999999996</v>
      </c>
      <c r="F270">
        <v>0</v>
      </c>
      <c r="G270">
        <v>0</v>
      </c>
      <c r="H270" s="5">
        <v>0</v>
      </c>
      <c r="I270" s="5">
        <v>0</v>
      </c>
      <c r="J270" s="5">
        <v>0</v>
      </c>
      <c r="K270"/>
      <c r="L270"/>
      <c r="M270"/>
      <c r="N270"/>
      <c r="O270"/>
    </row>
    <row r="271" spans="1:15" x14ac:dyDescent="0.35">
      <c r="A271" t="s">
        <v>46</v>
      </c>
      <c r="B271" t="s">
        <v>3555</v>
      </c>
      <c r="C271" t="s">
        <v>3556</v>
      </c>
      <c r="D271">
        <v>514933.12</v>
      </c>
      <c r="E271">
        <v>514933.12</v>
      </c>
      <c r="F271">
        <v>0</v>
      </c>
      <c r="G271">
        <v>0</v>
      </c>
      <c r="H271" s="5">
        <v>0</v>
      </c>
      <c r="I271" s="5">
        <v>0</v>
      </c>
      <c r="K271"/>
      <c r="L271"/>
      <c r="M271"/>
      <c r="N271"/>
      <c r="O271"/>
    </row>
    <row r="272" spans="1:15" x14ac:dyDescent="0.35">
      <c r="A272" t="s">
        <v>46</v>
      </c>
      <c r="B272" t="s">
        <v>671</v>
      </c>
      <c r="C272" t="s">
        <v>672</v>
      </c>
      <c r="D272">
        <v>599565.07999999996</v>
      </c>
      <c r="E272">
        <v>599565.07999999996</v>
      </c>
      <c r="F272">
        <v>0</v>
      </c>
      <c r="G272"/>
      <c r="H272" s="5">
        <v>0</v>
      </c>
      <c r="I272" s="5">
        <v>0</v>
      </c>
      <c r="J272" s="5">
        <v>0</v>
      </c>
      <c r="K272"/>
      <c r="L272"/>
      <c r="M272"/>
      <c r="N272"/>
      <c r="O272"/>
    </row>
    <row r="273" spans="1:15" x14ac:dyDescent="0.35">
      <c r="A273" t="s">
        <v>24</v>
      </c>
      <c r="B273" t="s">
        <v>945</v>
      </c>
      <c r="C273" t="s">
        <v>946</v>
      </c>
      <c r="D273">
        <v>168454.2</v>
      </c>
      <c r="E273">
        <v>168454.2</v>
      </c>
      <c r="F273">
        <v>0</v>
      </c>
      <c r="G273">
        <v>0</v>
      </c>
      <c r="I273" s="5">
        <v>0</v>
      </c>
      <c r="J273" s="5">
        <v>0</v>
      </c>
      <c r="K273"/>
      <c r="L273"/>
      <c r="M273"/>
      <c r="N273"/>
      <c r="O273"/>
    </row>
    <row r="274" spans="1:15" x14ac:dyDescent="0.35">
      <c r="A274" t="s">
        <v>46</v>
      </c>
      <c r="B274" t="s">
        <v>3557</v>
      </c>
      <c r="C274" t="s">
        <v>3558</v>
      </c>
      <c r="D274">
        <v>1266300.48</v>
      </c>
      <c r="E274">
        <v>1266300.48</v>
      </c>
      <c r="F274">
        <v>0</v>
      </c>
      <c r="G274">
        <v>0</v>
      </c>
      <c r="H274" s="5">
        <v>0</v>
      </c>
      <c r="I274" s="5">
        <v>0</v>
      </c>
      <c r="K274"/>
      <c r="L274"/>
      <c r="M274"/>
      <c r="N274"/>
      <c r="O274"/>
    </row>
    <row r="275" spans="1:15" x14ac:dyDescent="0.35">
      <c r="A275" t="s">
        <v>46</v>
      </c>
      <c r="B275" t="s">
        <v>1047</v>
      </c>
      <c r="C275" t="s">
        <v>1048</v>
      </c>
      <c r="D275">
        <v>268895.68000000005</v>
      </c>
      <c r="E275">
        <v>202556.68000000002</v>
      </c>
      <c r="F275">
        <v>66339</v>
      </c>
      <c r="G275">
        <v>66339</v>
      </c>
      <c r="H275" s="5">
        <v>0</v>
      </c>
      <c r="I275" s="5">
        <v>0</v>
      </c>
      <c r="J275" s="5">
        <v>0</v>
      </c>
      <c r="K275">
        <v>0</v>
      </c>
      <c r="L275"/>
      <c r="M275"/>
      <c r="N275"/>
      <c r="O275"/>
    </row>
    <row r="276" spans="1:15" x14ac:dyDescent="0.35">
      <c r="A276" t="s">
        <v>24</v>
      </c>
      <c r="B276" t="s">
        <v>467</v>
      </c>
      <c r="C276" t="s">
        <v>468</v>
      </c>
      <c r="D276">
        <v>73994.740000000005</v>
      </c>
      <c r="E276">
        <v>73994.740000000005</v>
      </c>
      <c r="F276">
        <v>0</v>
      </c>
      <c r="G276">
        <v>0</v>
      </c>
      <c r="H276" s="5">
        <v>0</v>
      </c>
      <c r="I276" s="5">
        <v>0</v>
      </c>
      <c r="K276">
        <v>0</v>
      </c>
      <c r="L276"/>
      <c r="M276"/>
      <c r="N276"/>
      <c r="O276"/>
    </row>
    <row r="277" spans="1:15" x14ac:dyDescent="0.35">
      <c r="A277" t="s">
        <v>169</v>
      </c>
      <c r="B277" t="s">
        <v>3559</v>
      </c>
      <c r="C277" t="s">
        <v>3560</v>
      </c>
      <c r="D277">
        <v>196894.8</v>
      </c>
      <c r="E277">
        <v>196894.8</v>
      </c>
      <c r="F277">
        <v>0</v>
      </c>
      <c r="G277"/>
      <c r="H277" s="5">
        <v>0</v>
      </c>
      <c r="I277" s="5">
        <v>0</v>
      </c>
      <c r="J277" s="5">
        <v>0</v>
      </c>
      <c r="K277"/>
      <c r="L277"/>
      <c r="M277"/>
      <c r="N277"/>
      <c r="O277"/>
    </row>
    <row r="278" spans="1:15" x14ac:dyDescent="0.35">
      <c r="A278" t="s">
        <v>24</v>
      </c>
      <c r="B278" t="s">
        <v>68</v>
      </c>
      <c r="C278" t="s">
        <v>69</v>
      </c>
      <c r="D278">
        <v>202121.38</v>
      </c>
      <c r="E278">
        <v>202121.38</v>
      </c>
      <c r="F278">
        <v>0</v>
      </c>
      <c r="G278">
        <v>0</v>
      </c>
      <c r="H278" s="5">
        <v>0</v>
      </c>
      <c r="I278" s="5">
        <v>0</v>
      </c>
      <c r="K278"/>
      <c r="L278"/>
      <c r="M278"/>
      <c r="N278"/>
      <c r="O278"/>
    </row>
    <row r="279" spans="1:15" x14ac:dyDescent="0.35">
      <c r="A279" t="s">
        <v>24</v>
      </c>
      <c r="B279" t="s">
        <v>463</v>
      </c>
      <c r="C279" t="s">
        <v>464</v>
      </c>
      <c r="D279">
        <v>907943.22</v>
      </c>
      <c r="E279">
        <v>907943.22</v>
      </c>
      <c r="F279">
        <v>0</v>
      </c>
      <c r="G279">
        <v>0</v>
      </c>
      <c r="H279" s="5">
        <v>0</v>
      </c>
      <c r="K279">
        <v>0</v>
      </c>
      <c r="L279"/>
      <c r="M279"/>
      <c r="N279"/>
      <c r="O279"/>
    </row>
    <row r="280" spans="1:15" x14ac:dyDescent="0.35">
      <c r="A280" t="s">
        <v>24</v>
      </c>
      <c r="B280" t="s">
        <v>647</v>
      </c>
      <c r="C280" t="s">
        <v>648</v>
      </c>
      <c r="D280">
        <v>389653.45999999996</v>
      </c>
      <c r="E280">
        <v>389653.45999999996</v>
      </c>
      <c r="F280">
        <v>0</v>
      </c>
      <c r="G280"/>
      <c r="H280" s="5">
        <v>0</v>
      </c>
      <c r="I280" s="5">
        <v>0</v>
      </c>
      <c r="J280" s="5">
        <v>0</v>
      </c>
      <c r="K280"/>
      <c r="L280"/>
      <c r="M280"/>
      <c r="N280"/>
      <c r="O280"/>
    </row>
    <row r="281" spans="1:15" x14ac:dyDescent="0.35">
      <c r="A281" t="s">
        <v>100</v>
      </c>
      <c r="B281" t="s">
        <v>1123</v>
      </c>
      <c r="C281" t="s">
        <v>1124</v>
      </c>
      <c r="D281">
        <v>25468.81</v>
      </c>
      <c r="E281"/>
      <c r="F281">
        <v>25468.81</v>
      </c>
      <c r="G281">
        <v>25468.81</v>
      </c>
      <c r="I281" s="5">
        <v>0</v>
      </c>
      <c r="J281" s="5">
        <v>0</v>
      </c>
      <c r="K281">
        <v>0</v>
      </c>
      <c r="L281"/>
      <c r="M281"/>
      <c r="N281"/>
      <c r="O281"/>
    </row>
    <row r="282" spans="1:15" x14ac:dyDescent="0.35">
      <c r="A282" t="s">
        <v>169</v>
      </c>
      <c r="B282" t="s">
        <v>3561</v>
      </c>
      <c r="C282" t="s">
        <v>3562</v>
      </c>
      <c r="D282">
        <v>1093157.75</v>
      </c>
      <c r="E282">
        <v>1090615</v>
      </c>
      <c r="F282">
        <v>2542.75</v>
      </c>
      <c r="G282">
        <v>2542.75</v>
      </c>
      <c r="H282" s="5">
        <v>0</v>
      </c>
      <c r="I282" s="5">
        <v>0</v>
      </c>
      <c r="K282"/>
      <c r="L282"/>
      <c r="M282"/>
      <c r="N282"/>
      <c r="O282"/>
    </row>
    <row r="283" spans="1:15" x14ac:dyDescent="0.35">
      <c r="A283" t="s">
        <v>27</v>
      </c>
      <c r="B283" t="s">
        <v>841</v>
      </c>
      <c r="C283" t="s">
        <v>842</v>
      </c>
      <c r="D283">
        <v>152273.80000000002</v>
      </c>
      <c r="E283">
        <v>152273.80000000002</v>
      </c>
      <c r="F283">
        <v>0</v>
      </c>
      <c r="G283"/>
      <c r="H283" s="5">
        <v>0</v>
      </c>
      <c r="I283" s="5">
        <v>0</v>
      </c>
      <c r="K283"/>
      <c r="L283"/>
      <c r="M283"/>
      <c r="N283"/>
      <c r="O283"/>
    </row>
    <row r="284" spans="1:15" x14ac:dyDescent="0.35">
      <c r="A284" t="s">
        <v>46</v>
      </c>
      <c r="B284" t="s">
        <v>499</v>
      </c>
      <c r="C284" t="s">
        <v>500</v>
      </c>
      <c r="D284">
        <v>454444.81999999995</v>
      </c>
      <c r="E284">
        <v>454444.81999999995</v>
      </c>
      <c r="F284">
        <v>0</v>
      </c>
      <c r="G284">
        <v>0</v>
      </c>
      <c r="H284" s="5">
        <v>0</v>
      </c>
      <c r="I284" s="5">
        <v>0</v>
      </c>
      <c r="K284"/>
      <c r="L284"/>
      <c r="M284"/>
      <c r="N284"/>
      <c r="O284"/>
    </row>
    <row r="285" spans="1:15" x14ac:dyDescent="0.35">
      <c r="A285" t="s">
        <v>27</v>
      </c>
      <c r="B285" t="s">
        <v>239</v>
      </c>
      <c r="C285" t="s">
        <v>240</v>
      </c>
      <c r="D285">
        <v>370561.54</v>
      </c>
      <c r="E285">
        <v>370561.54</v>
      </c>
      <c r="F285">
        <v>0</v>
      </c>
      <c r="G285">
        <v>0</v>
      </c>
      <c r="H285" s="5">
        <v>0</v>
      </c>
      <c r="I285" s="5">
        <v>0</v>
      </c>
      <c r="K285"/>
      <c r="L285"/>
      <c r="M285"/>
      <c r="N285"/>
      <c r="O285"/>
    </row>
    <row r="286" spans="1:15" x14ac:dyDescent="0.35">
      <c r="A286" t="s">
        <v>169</v>
      </c>
      <c r="B286" t="s">
        <v>441</v>
      </c>
      <c r="C286" t="s">
        <v>442</v>
      </c>
      <c r="D286">
        <v>192066.57</v>
      </c>
      <c r="E286">
        <v>192066.24</v>
      </c>
      <c r="F286">
        <v>0.33000000001629798</v>
      </c>
      <c r="G286">
        <v>0.33000000001629798</v>
      </c>
      <c r="H286" s="5">
        <v>0</v>
      </c>
      <c r="I286" s="5">
        <v>0</v>
      </c>
      <c r="J286" s="5">
        <v>0</v>
      </c>
      <c r="K286"/>
      <c r="L286"/>
      <c r="M286"/>
      <c r="N286"/>
      <c r="O286"/>
    </row>
    <row r="287" spans="1:15" x14ac:dyDescent="0.35">
      <c r="A287" t="s">
        <v>24</v>
      </c>
      <c r="B287" t="s">
        <v>717</v>
      </c>
      <c r="C287" t="s">
        <v>718</v>
      </c>
      <c r="D287">
        <v>335063.57</v>
      </c>
      <c r="E287">
        <v>331301.06</v>
      </c>
      <c r="F287">
        <v>3762.51</v>
      </c>
      <c r="G287">
        <v>3762.51</v>
      </c>
      <c r="H287" s="5">
        <v>0</v>
      </c>
      <c r="I287" s="5">
        <v>0</v>
      </c>
      <c r="K287"/>
      <c r="L287"/>
      <c r="M287"/>
      <c r="N287"/>
      <c r="O287"/>
    </row>
    <row r="288" spans="1:15" x14ac:dyDescent="0.35">
      <c r="A288" t="s">
        <v>275</v>
      </c>
      <c r="B288" t="s">
        <v>999</v>
      </c>
      <c r="C288" t="s">
        <v>1000</v>
      </c>
      <c r="D288">
        <v>347670.48</v>
      </c>
      <c r="E288">
        <v>347670.48</v>
      </c>
      <c r="F288">
        <v>0</v>
      </c>
      <c r="G288">
        <v>0</v>
      </c>
      <c r="H288" s="5">
        <v>0</v>
      </c>
      <c r="I288" s="5">
        <v>0</v>
      </c>
      <c r="K288"/>
      <c r="L288"/>
      <c r="M288"/>
      <c r="N288"/>
      <c r="O288"/>
    </row>
    <row r="289" spans="1:15" x14ac:dyDescent="0.35">
      <c r="A289" t="s">
        <v>36</v>
      </c>
      <c r="B289" t="s">
        <v>208</v>
      </c>
      <c r="C289" t="s">
        <v>209</v>
      </c>
      <c r="D289">
        <v>350498.9</v>
      </c>
      <c r="E289">
        <v>350498.9</v>
      </c>
      <c r="F289">
        <v>0</v>
      </c>
      <c r="G289">
        <v>0</v>
      </c>
      <c r="H289" s="5">
        <v>0</v>
      </c>
      <c r="I289" s="5">
        <v>0</v>
      </c>
      <c r="K289"/>
      <c r="L289"/>
      <c r="M289"/>
      <c r="N289"/>
      <c r="O289"/>
    </row>
    <row r="290" spans="1:15" x14ac:dyDescent="0.35">
      <c r="A290" t="s">
        <v>36</v>
      </c>
      <c r="B290" t="s">
        <v>158</v>
      </c>
      <c r="C290" t="s">
        <v>159</v>
      </c>
      <c r="D290">
        <v>431344.29000000004</v>
      </c>
      <c r="E290">
        <v>356549.58</v>
      </c>
      <c r="F290">
        <v>74794.709999999992</v>
      </c>
      <c r="G290">
        <v>74794.709999999992</v>
      </c>
      <c r="H290" s="5">
        <v>0</v>
      </c>
      <c r="I290" s="5">
        <v>0</v>
      </c>
      <c r="K290"/>
      <c r="L290"/>
      <c r="M290"/>
      <c r="N290"/>
      <c r="O290"/>
    </row>
    <row r="291" spans="1:15" x14ac:dyDescent="0.35">
      <c r="A291" t="s">
        <v>24</v>
      </c>
      <c r="B291" t="s">
        <v>1053</v>
      </c>
      <c r="C291" t="s">
        <v>1054</v>
      </c>
      <c r="D291">
        <v>201297.78000000003</v>
      </c>
      <c r="E291">
        <v>201297.78000000003</v>
      </c>
      <c r="F291">
        <v>0</v>
      </c>
      <c r="G291"/>
      <c r="H291" s="5">
        <v>0</v>
      </c>
      <c r="I291" s="5">
        <v>0</v>
      </c>
      <c r="K291"/>
      <c r="L291"/>
      <c r="M291"/>
      <c r="N291"/>
      <c r="O291"/>
    </row>
    <row r="292" spans="1:15" x14ac:dyDescent="0.35">
      <c r="A292" t="s">
        <v>210</v>
      </c>
      <c r="B292" t="s">
        <v>473</v>
      </c>
      <c r="C292" t="s">
        <v>474</v>
      </c>
      <c r="D292">
        <v>284606.82</v>
      </c>
      <c r="E292">
        <v>284606.82</v>
      </c>
      <c r="F292">
        <v>0</v>
      </c>
      <c r="G292">
        <v>0</v>
      </c>
      <c r="H292" s="5">
        <v>0</v>
      </c>
      <c r="I292" s="5">
        <v>0</v>
      </c>
      <c r="J292" s="5">
        <v>0</v>
      </c>
      <c r="K292"/>
      <c r="L292"/>
      <c r="M292"/>
      <c r="N292"/>
      <c r="O292"/>
    </row>
    <row r="293" spans="1:15" x14ac:dyDescent="0.35">
      <c r="A293" t="s">
        <v>41</v>
      </c>
      <c r="B293" t="s">
        <v>719</v>
      </c>
      <c r="C293" t="s">
        <v>720</v>
      </c>
      <c r="D293">
        <v>660224.77999999991</v>
      </c>
      <c r="E293">
        <v>660224.77999999991</v>
      </c>
      <c r="F293">
        <v>0</v>
      </c>
      <c r="G293"/>
      <c r="H293" s="5">
        <v>0</v>
      </c>
      <c r="I293" s="5">
        <v>0</v>
      </c>
      <c r="K293"/>
      <c r="L293"/>
      <c r="M293"/>
      <c r="N293"/>
      <c r="O293"/>
    </row>
    <row r="294" spans="1:15" x14ac:dyDescent="0.35">
      <c r="A294" t="s">
        <v>210</v>
      </c>
      <c r="B294" t="s">
        <v>331</v>
      </c>
      <c r="C294" t="s">
        <v>332</v>
      </c>
      <c r="D294">
        <v>622100.87</v>
      </c>
      <c r="E294">
        <v>555189.74</v>
      </c>
      <c r="F294">
        <v>66911.13</v>
      </c>
      <c r="G294">
        <v>66911.13</v>
      </c>
      <c r="H294" s="5">
        <v>0</v>
      </c>
      <c r="I294" s="5">
        <v>0</v>
      </c>
      <c r="J294" s="5">
        <v>0</v>
      </c>
      <c r="K294"/>
      <c r="L294"/>
      <c r="M294"/>
      <c r="N294"/>
      <c r="O294"/>
    </row>
    <row r="295" spans="1:15" x14ac:dyDescent="0.35">
      <c r="A295" t="s">
        <v>41</v>
      </c>
      <c r="B295" t="s">
        <v>263</v>
      </c>
      <c r="C295" t="s">
        <v>264</v>
      </c>
      <c r="D295">
        <v>648382.6</v>
      </c>
      <c r="E295">
        <v>648382.6</v>
      </c>
      <c r="F295">
        <v>0</v>
      </c>
      <c r="G295">
        <v>0</v>
      </c>
      <c r="H295" s="5">
        <v>0</v>
      </c>
      <c r="I295" s="5">
        <v>0</v>
      </c>
      <c r="K295"/>
      <c r="L295"/>
      <c r="M295"/>
      <c r="N295"/>
      <c r="O295"/>
    </row>
    <row r="296" spans="1:15" x14ac:dyDescent="0.35">
      <c r="A296" t="s">
        <v>93</v>
      </c>
      <c r="B296" t="s">
        <v>867</v>
      </c>
      <c r="C296" t="s">
        <v>868</v>
      </c>
      <c r="D296">
        <v>11741.48</v>
      </c>
      <c r="E296">
        <v>11741.48</v>
      </c>
      <c r="F296">
        <v>0</v>
      </c>
      <c r="G296">
        <v>0</v>
      </c>
      <c r="H296" s="5">
        <v>0</v>
      </c>
      <c r="I296" s="5">
        <v>0</v>
      </c>
      <c r="J296" s="5">
        <v>0</v>
      </c>
      <c r="K296"/>
      <c r="L296"/>
      <c r="M296"/>
      <c r="N296"/>
      <c r="O296"/>
    </row>
    <row r="297" spans="1:15" x14ac:dyDescent="0.35">
      <c r="A297" t="s">
        <v>36</v>
      </c>
      <c r="B297" t="s">
        <v>859</v>
      </c>
      <c r="C297" t="s">
        <v>860</v>
      </c>
      <c r="D297">
        <v>330982.92000000004</v>
      </c>
      <c r="E297">
        <v>330982.92000000004</v>
      </c>
      <c r="F297">
        <v>0</v>
      </c>
      <c r="G297">
        <v>0</v>
      </c>
      <c r="J297" s="5">
        <v>0</v>
      </c>
      <c r="K297"/>
      <c r="L297"/>
      <c r="M297"/>
      <c r="N297"/>
      <c r="O297"/>
    </row>
    <row r="298" spans="1:15" x14ac:dyDescent="0.35">
      <c r="A298" t="s">
        <v>169</v>
      </c>
      <c r="B298" t="s">
        <v>889</v>
      </c>
      <c r="C298" t="s">
        <v>890</v>
      </c>
      <c r="D298">
        <v>258481.17</v>
      </c>
      <c r="E298">
        <v>258480.54</v>
      </c>
      <c r="F298">
        <v>0.63000000000465695</v>
      </c>
      <c r="G298"/>
      <c r="H298" s="5">
        <v>0.63000000000465695</v>
      </c>
      <c r="I298" s="5">
        <v>0</v>
      </c>
      <c r="K298"/>
      <c r="L298"/>
      <c r="M298"/>
      <c r="N298"/>
      <c r="O298"/>
    </row>
    <row r="299" spans="1:15" x14ac:dyDescent="0.35">
      <c r="A299" t="s">
        <v>19</v>
      </c>
      <c r="B299" t="s">
        <v>182</v>
      </c>
      <c r="C299" t="s">
        <v>183</v>
      </c>
      <c r="D299">
        <v>734837.84</v>
      </c>
      <c r="E299">
        <v>734837.84</v>
      </c>
      <c r="F299">
        <v>0</v>
      </c>
      <c r="G299">
        <v>0</v>
      </c>
      <c r="H299" s="5">
        <v>0</v>
      </c>
      <c r="I299" s="5">
        <v>0</v>
      </c>
      <c r="K299"/>
      <c r="L299"/>
      <c r="M299"/>
      <c r="N299"/>
      <c r="O299"/>
    </row>
    <row r="300" spans="1:15" x14ac:dyDescent="0.35">
      <c r="A300" t="s">
        <v>19</v>
      </c>
      <c r="B300" t="s">
        <v>701</v>
      </c>
      <c r="C300" t="s">
        <v>702</v>
      </c>
      <c r="D300">
        <v>453955.52</v>
      </c>
      <c r="E300">
        <v>453955.52</v>
      </c>
      <c r="F300">
        <v>0</v>
      </c>
      <c r="G300">
        <v>0</v>
      </c>
      <c r="H300" s="5">
        <v>0</v>
      </c>
      <c r="I300" s="5">
        <v>0</v>
      </c>
      <c r="K300"/>
      <c r="L300"/>
      <c r="M300"/>
      <c r="N300"/>
      <c r="O300"/>
    </row>
    <row r="301" spans="1:15" x14ac:dyDescent="0.35">
      <c r="A301" t="s">
        <v>164</v>
      </c>
      <c r="B301" t="s">
        <v>3563</v>
      </c>
      <c r="C301" t="s">
        <v>3564</v>
      </c>
      <c r="D301">
        <v>382860.92</v>
      </c>
      <c r="E301">
        <v>382860.92</v>
      </c>
      <c r="F301">
        <v>0</v>
      </c>
      <c r="G301">
        <v>0</v>
      </c>
      <c r="H301" s="5">
        <v>0</v>
      </c>
      <c r="I301" s="5">
        <v>0</v>
      </c>
      <c r="J301" s="5">
        <v>0</v>
      </c>
      <c r="K301"/>
      <c r="L301"/>
      <c r="M301"/>
      <c r="N301"/>
      <c r="O301"/>
    </row>
    <row r="302" spans="1:15" x14ac:dyDescent="0.35">
      <c r="A302" t="s">
        <v>328</v>
      </c>
      <c r="B302" t="s">
        <v>851</v>
      </c>
      <c r="C302" t="s">
        <v>852</v>
      </c>
      <c r="D302">
        <v>347102.80999999994</v>
      </c>
      <c r="E302">
        <v>347102.80999999994</v>
      </c>
      <c r="F302">
        <v>0</v>
      </c>
      <c r="G302"/>
      <c r="H302" s="5">
        <v>0</v>
      </c>
      <c r="I302" s="5">
        <v>0</v>
      </c>
      <c r="J302" s="5">
        <v>0</v>
      </c>
      <c r="K302">
        <v>0</v>
      </c>
      <c r="L302"/>
      <c r="M302"/>
      <c r="N302"/>
      <c r="O302"/>
    </row>
    <row r="303" spans="1:15" x14ac:dyDescent="0.35">
      <c r="A303" t="s">
        <v>36</v>
      </c>
      <c r="B303" t="s">
        <v>3565</v>
      </c>
      <c r="C303" t="s">
        <v>3566</v>
      </c>
      <c r="D303">
        <v>149959.87</v>
      </c>
      <c r="E303">
        <v>57628.62</v>
      </c>
      <c r="F303">
        <v>92331.25</v>
      </c>
      <c r="G303">
        <v>92331.25</v>
      </c>
      <c r="H303" s="5">
        <v>0</v>
      </c>
      <c r="I303" s="5">
        <v>0</v>
      </c>
      <c r="K303"/>
      <c r="L303"/>
      <c r="M303"/>
      <c r="N303"/>
      <c r="O303"/>
    </row>
    <row r="304" spans="1:15" x14ac:dyDescent="0.35">
      <c r="A304" t="s">
        <v>36</v>
      </c>
      <c r="B304" t="s">
        <v>835</v>
      </c>
      <c r="C304" t="s">
        <v>836</v>
      </c>
      <c r="D304">
        <v>65624.399999999994</v>
      </c>
      <c r="E304">
        <v>65624.399999999994</v>
      </c>
      <c r="F304">
        <v>0</v>
      </c>
      <c r="G304"/>
      <c r="H304" s="5">
        <v>0</v>
      </c>
      <c r="K304"/>
      <c r="L304"/>
      <c r="M304"/>
      <c r="N304"/>
      <c r="O304"/>
    </row>
    <row r="305" spans="1:15" x14ac:dyDescent="0.35">
      <c r="A305" t="s">
        <v>100</v>
      </c>
      <c r="B305" t="s">
        <v>643</v>
      </c>
      <c r="C305" t="s">
        <v>644</v>
      </c>
      <c r="D305">
        <v>358340.33000000007</v>
      </c>
      <c r="E305">
        <v>328369.50000000006</v>
      </c>
      <c r="F305">
        <v>29970.829999999998</v>
      </c>
      <c r="G305">
        <v>29180.69</v>
      </c>
      <c r="H305" s="5">
        <v>790.13999999999896</v>
      </c>
      <c r="I305" s="5">
        <v>0</v>
      </c>
      <c r="J305" s="5">
        <v>0</v>
      </c>
      <c r="K305"/>
      <c r="L305"/>
      <c r="M305"/>
      <c r="N305"/>
      <c r="O305"/>
    </row>
    <row r="306" spans="1:15" x14ac:dyDescent="0.35">
      <c r="A306" t="s">
        <v>24</v>
      </c>
      <c r="B306" t="s">
        <v>459</v>
      </c>
      <c r="C306" t="s">
        <v>460</v>
      </c>
      <c r="D306">
        <v>335767.7</v>
      </c>
      <c r="E306">
        <v>335767.7</v>
      </c>
      <c r="F306">
        <v>0</v>
      </c>
      <c r="G306"/>
      <c r="H306" s="5">
        <v>0</v>
      </c>
      <c r="I306" s="5">
        <v>0</v>
      </c>
      <c r="J306" s="5">
        <v>0</v>
      </c>
      <c r="K306">
        <v>0</v>
      </c>
      <c r="L306"/>
      <c r="M306"/>
      <c r="N306">
        <v>0</v>
      </c>
      <c r="O306"/>
    </row>
    <row r="307" spans="1:15" x14ac:dyDescent="0.35">
      <c r="A307" t="s">
        <v>55</v>
      </c>
      <c r="B307" t="s">
        <v>3567</v>
      </c>
      <c r="C307" t="s">
        <v>3568</v>
      </c>
      <c r="D307">
        <v>49.3200000000015</v>
      </c>
      <c r="E307"/>
      <c r="F307">
        <v>49.3200000000015</v>
      </c>
      <c r="G307">
        <v>49.3200000000015</v>
      </c>
      <c r="J307" s="5">
        <v>0</v>
      </c>
      <c r="K307"/>
      <c r="L307"/>
      <c r="M307"/>
      <c r="N307"/>
      <c r="O307"/>
    </row>
    <row r="308" spans="1:15" x14ac:dyDescent="0.35">
      <c r="A308" t="s">
        <v>41</v>
      </c>
      <c r="B308" t="s">
        <v>893</v>
      </c>
      <c r="C308" t="s">
        <v>894</v>
      </c>
      <c r="D308">
        <v>190967.90000000002</v>
      </c>
      <c r="E308">
        <v>190967.90000000002</v>
      </c>
      <c r="F308">
        <v>0</v>
      </c>
      <c r="G308">
        <v>0</v>
      </c>
      <c r="H308" s="5">
        <v>0</v>
      </c>
      <c r="I308" s="5">
        <v>0</v>
      </c>
      <c r="K308"/>
      <c r="L308"/>
      <c r="M308"/>
      <c r="N308"/>
      <c r="O308"/>
    </row>
    <row r="309" spans="1:15" x14ac:dyDescent="0.35">
      <c r="A309" t="s">
        <v>16</v>
      </c>
      <c r="B309" t="s">
        <v>318</v>
      </c>
      <c r="C309" t="s">
        <v>319</v>
      </c>
      <c r="D309">
        <v>83766.109999999986</v>
      </c>
      <c r="E309">
        <v>33397.54</v>
      </c>
      <c r="F309">
        <v>50368.569999999992</v>
      </c>
      <c r="G309">
        <v>49689.14</v>
      </c>
      <c r="H309" s="5">
        <v>679.42999999999302</v>
      </c>
      <c r="J309" s="5">
        <v>0</v>
      </c>
      <c r="K309"/>
      <c r="L309">
        <v>0</v>
      </c>
      <c r="M309"/>
      <c r="N309"/>
      <c r="O309"/>
    </row>
    <row r="310" spans="1:15" x14ac:dyDescent="0.35">
      <c r="A310" t="s">
        <v>55</v>
      </c>
      <c r="B310" t="s">
        <v>347</v>
      </c>
      <c r="C310" t="s">
        <v>348</v>
      </c>
      <c r="D310">
        <v>845074.14</v>
      </c>
      <c r="E310">
        <v>831539.74</v>
      </c>
      <c r="F310">
        <v>13534.400000000001</v>
      </c>
      <c r="G310">
        <v>171.62</v>
      </c>
      <c r="H310" s="5">
        <v>13362.78</v>
      </c>
      <c r="I310" s="5">
        <v>0</v>
      </c>
      <c r="J310" s="5">
        <v>0</v>
      </c>
      <c r="K310"/>
      <c r="L310">
        <v>0</v>
      </c>
      <c r="M310"/>
      <c r="N310"/>
      <c r="O310"/>
    </row>
    <row r="311" spans="1:15" x14ac:dyDescent="0.35">
      <c r="A311" t="s">
        <v>88</v>
      </c>
      <c r="B311" t="s">
        <v>3569</v>
      </c>
      <c r="C311" t="s">
        <v>3570</v>
      </c>
      <c r="D311">
        <v>190.88000000000099</v>
      </c>
      <c r="E311"/>
      <c r="F311">
        <v>190.88000000000099</v>
      </c>
      <c r="G311">
        <v>190.88000000000099</v>
      </c>
      <c r="K311"/>
      <c r="L311"/>
      <c r="M311"/>
      <c r="N311"/>
      <c r="O311"/>
    </row>
    <row r="312" spans="1:15" x14ac:dyDescent="0.35">
      <c r="A312" t="s">
        <v>55</v>
      </c>
      <c r="B312" t="s">
        <v>469</v>
      </c>
      <c r="C312" t="s">
        <v>470</v>
      </c>
      <c r="D312">
        <v>478431.7</v>
      </c>
      <c r="E312">
        <v>478431.7</v>
      </c>
      <c r="F312">
        <v>0</v>
      </c>
      <c r="G312"/>
      <c r="H312" s="5">
        <v>0</v>
      </c>
      <c r="I312" s="5">
        <v>0</v>
      </c>
      <c r="K312"/>
      <c r="L312"/>
      <c r="M312"/>
      <c r="N312"/>
      <c r="O312"/>
    </row>
    <row r="313" spans="1:15" x14ac:dyDescent="0.35">
      <c r="A313" t="s">
        <v>16</v>
      </c>
      <c r="B313" t="s">
        <v>53</v>
      </c>
      <c r="C313" t="s">
        <v>54</v>
      </c>
      <c r="D313">
        <v>178834.9</v>
      </c>
      <c r="E313">
        <v>178834.9</v>
      </c>
      <c r="F313">
        <v>0</v>
      </c>
      <c r="G313">
        <v>0</v>
      </c>
      <c r="H313" s="5">
        <v>0</v>
      </c>
      <c r="J313" s="5">
        <v>0</v>
      </c>
      <c r="K313"/>
      <c r="L313"/>
      <c r="M313"/>
      <c r="N313"/>
      <c r="O313"/>
    </row>
    <row r="314" spans="1:15" x14ac:dyDescent="0.35">
      <c r="A314" t="s">
        <v>88</v>
      </c>
      <c r="B314" t="s">
        <v>943</v>
      </c>
      <c r="C314" t="s">
        <v>944</v>
      </c>
      <c r="D314">
        <v>1012.47</v>
      </c>
      <c r="E314"/>
      <c r="F314">
        <v>1012.47</v>
      </c>
      <c r="G314">
        <v>1012.47</v>
      </c>
      <c r="I314" s="5">
        <v>0</v>
      </c>
      <c r="K314"/>
      <c r="L314"/>
      <c r="M314"/>
      <c r="N314"/>
      <c r="O314"/>
    </row>
    <row r="315" spans="1:15" x14ac:dyDescent="0.35">
      <c r="A315" t="s">
        <v>100</v>
      </c>
      <c r="B315" t="s">
        <v>180</v>
      </c>
      <c r="C315" t="s">
        <v>181</v>
      </c>
      <c r="D315">
        <v>140665.44</v>
      </c>
      <c r="E315">
        <v>140665.44</v>
      </c>
      <c r="F315">
        <v>0</v>
      </c>
      <c r="G315">
        <v>0</v>
      </c>
      <c r="H315" s="5">
        <v>0</v>
      </c>
      <c r="I315" s="5">
        <v>0</v>
      </c>
      <c r="K315"/>
      <c r="L315"/>
      <c r="M315"/>
      <c r="N315"/>
      <c r="O315"/>
    </row>
    <row r="316" spans="1:15" x14ac:dyDescent="0.35">
      <c r="A316" t="s">
        <v>16</v>
      </c>
      <c r="B316" t="s">
        <v>1057</v>
      </c>
      <c r="C316" t="s">
        <v>1058</v>
      </c>
      <c r="D316">
        <v>522307.87999999995</v>
      </c>
      <c r="E316">
        <v>520575.97999999992</v>
      </c>
      <c r="F316">
        <v>1731.9</v>
      </c>
      <c r="G316">
        <v>117.62</v>
      </c>
      <c r="I316" s="5">
        <v>1614.28</v>
      </c>
      <c r="J316" s="5">
        <v>0</v>
      </c>
      <c r="K316">
        <v>0</v>
      </c>
      <c r="L316"/>
      <c r="M316"/>
      <c r="N316"/>
      <c r="O316"/>
    </row>
    <row r="317" spans="1:15" x14ac:dyDescent="0.35">
      <c r="A317" t="s">
        <v>169</v>
      </c>
      <c r="B317" t="s">
        <v>1011</v>
      </c>
      <c r="C317" t="s">
        <v>1012</v>
      </c>
      <c r="D317">
        <v>252713.52</v>
      </c>
      <c r="E317">
        <v>252713.52</v>
      </c>
      <c r="F317">
        <v>0</v>
      </c>
      <c r="G317">
        <v>0</v>
      </c>
      <c r="H317" s="5">
        <v>0</v>
      </c>
      <c r="J317" s="5">
        <v>0</v>
      </c>
      <c r="K317"/>
      <c r="L317"/>
      <c r="M317"/>
      <c r="N317"/>
      <c r="O317"/>
    </row>
    <row r="318" spans="1:15" x14ac:dyDescent="0.35">
      <c r="A318" t="s">
        <v>100</v>
      </c>
      <c r="B318" t="s">
        <v>188</v>
      </c>
      <c r="C318" t="s">
        <v>189</v>
      </c>
      <c r="D318">
        <v>142783.29999999999</v>
      </c>
      <c r="E318">
        <v>142783.29999999999</v>
      </c>
      <c r="F318">
        <v>0</v>
      </c>
      <c r="G318">
        <v>0</v>
      </c>
      <c r="H318" s="5">
        <v>0</v>
      </c>
      <c r="I318" s="5">
        <v>0</v>
      </c>
      <c r="J318" s="5">
        <v>0</v>
      </c>
      <c r="K318"/>
      <c r="L318"/>
      <c r="M318"/>
      <c r="N318"/>
      <c r="O318"/>
    </row>
    <row r="319" spans="1:15" x14ac:dyDescent="0.35">
      <c r="A319" t="s">
        <v>88</v>
      </c>
      <c r="B319" t="s">
        <v>987</v>
      </c>
      <c r="C319" t="s">
        <v>988</v>
      </c>
      <c r="D319">
        <v>285841.59999999998</v>
      </c>
      <c r="E319">
        <v>285841.59999999998</v>
      </c>
      <c r="F319">
        <v>0</v>
      </c>
      <c r="G319">
        <v>0</v>
      </c>
      <c r="H319" s="5">
        <v>0</v>
      </c>
      <c r="I319" s="5">
        <v>0</v>
      </c>
      <c r="K319"/>
      <c r="L319"/>
      <c r="M319"/>
      <c r="N319"/>
      <c r="O319"/>
    </row>
    <row r="320" spans="1:15" x14ac:dyDescent="0.35">
      <c r="A320" t="s">
        <v>55</v>
      </c>
      <c r="B320" t="s">
        <v>91</v>
      </c>
      <c r="C320" t="s">
        <v>92</v>
      </c>
      <c r="D320">
        <v>375124.5</v>
      </c>
      <c r="E320">
        <v>375124.5</v>
      </c>
      <c r="F320">
        <v>0</v>
      </c>
      <c r="G320">
        <v>0</v>
      </c>
      <c r="H320" s="5">
        <v>0</v>
      </c>
      <c r="I320" s="5">
        <v>0</v>
      </c>
      <c r="J320" s="5">
        <v>0</v>
      </c>
      <c r="K320"/>
      <c r="L320"/>
      <c r="M320"/>
      <c r="N320"/>
      <c r="O320"/>
    </row>
    <row r="321" spans="1:15" x14ac:dyDescent="0.35">
      <c r="A321" t="s">
        <v>55</v>
      </c>
      <c r="B321" t="s">
        <v>731</v>
      </c>
      <c r="C321" t="s">
        <v>732</v>
      </c>
      <c r="D321">
        <v>387561.56</v>
      </c>
      <c r="E321">
        <v>387561.56</v>
      </c>
      <c r="F321">
        <v>0</v>
      </c>
      <c r="G321">
        <v>0</v>
      </c>
      <c r="H321" s="5">
        <v>0</v>
      </c>
      <c r="I321" s="5">
        <v>0</v>
      </c>
      <c r="J321" s="5">
        <v>0</v>
      </c>
      <c r="K321">
        <v>0</v>
      </c>
      <c r="L321"/>
      <c r="M321"/>
      <c r="N321"/>
      <c r="O321"/>
    </row>
    <row r="322" spans="1:15" x14ac:dyDescent="0.35">
      <c r="A322" t="s">
        <v>46</v>
      </c>
      <c r="B322" t="s">
        <v>1209</v>
      </c>
      <c r="C322" t="s">
        <v>1210</v>
      </c>
      <c r="D322">
        <v>33063.599999999999</v>
      </c>
      <c r="E322">
        <v>33063.599999999999</v>
      </c>
      <c r="F322">
        <v>0</v>
      </c>
      <c r="G322"/>
      <c r="H322" s="5">
        <v>0</v>
      </c>
      <c r="I322" s="5">
        <v>0</v>
      </c>
      <c r="K322"/>
      <c r="L322"/>
      <c r="M322"/>
      <c r="N322"/>
      <c r="O322"/>
    </row>
    <row r="323" spans="1:15" x14ac:dyDescent="0.35">
      <c r="A323" t="s">
        <v>100</v>
      </c>
      <c r="B323" t="s">
        <v>3571</v>
      </c>
      <c r="C323" t="s">
        <v>3572</v>
      </c>
      <c r="D323">
        <v>54348.800000000003</v>
      </c>
      <c r="E323">
        <v>53040.05</v>
      </c>
      <c r="F323">
        <v>1308.75</v>
      </c>
      <c r="G323">
        <v>1308.75</v>
      </c>
      <c r="H323" s="5">
        <v>0</v>
      </c>
      <c r="I323" s="5">
        <v>0</v>
      </c>
      <c r="K323"/>
      <c r="L323"/>
      <c r="M323"/>
      <c r="N323"/>
      <c r="O323"/>
    </row>
    <row r="324" spans="1:15" x14ac:dyDescent="0.35">
      <c r="A324" t="s">
        <v>19</v>
      </c>
      <c r="B324" t="s">
        <v>3573</v>
      </c>
      <c r="C324" t="s">
        <v>3574</v>
      </c>
      <c r="D324">
        <v>105249.68</v>
      </c>
      <c r="E324">
        <v>105249.68</v>
      </c>
      <c r="F324">
        <v>0</v>
      </c>
      <c r="G324"/>
      <c r="H324" s="5">
        <v>0</v>
      </c>
      <c r="I324" s="5">
        <v>0</v>
      </c>
      <c r="K324"/>
      <c r="L324"/>
      <c r="M324"/>
      <c r="N324"/>
      <c r="O324"/>
    </row>
    <row r="325" spans="1:15" x14ac:dyDescent="0.35">
      <c r="A325" t="s">
        <v>100</v>
      </c>
      <c r="B325" t="s">
        <v>881</v>
      </c>
      <c r="C325" t="s">
        <v>882</v>
      </c>
      <c r="D325">
        <v>56367.109999999993</v>
      </c>
      <c r="E325">
        <v>55234.5</v>
      </c>
      <c r="F325">
        <v>1132.6099999999899</v>
      </c>
      <c r="G325">
        <v>1132.6099999999899</v>
      </c>
      <c r="I325" s="5">
        <v>0</v>
      </c>
      <c r="K325"/>
      <c r="L325"/>
      <c r="M325"/>
      <c r="N325"/>
      <c r="O325"/>
    </row>
    <row r="326" spans="1:15" x14ac:dyDescent="0.35">
      <c r="A326" t="s">
        <v>41</v>
      </c>
      <c r="B326" t="s">
        <v>797</v>
      </c>
      <c r="C326" t="s">
        <v>798</v>
      </c>
      <c r="D326">
        <v>297776.53999999998</v>
      </c>
      <c r="E326">
        <v>297776.53999999998</v>
      </c>
      <c r="F326">
        <v>0</v>
      </c>
      <c r="G326"/>
      <c r="H326" s="5">
        <v>0</v>
      </c>
      <c r="I326" s="5">
        <v>0</v>
      </c>
      <c r="K326"/>
      <c r="L326"/>
      <c r="M326"/>
      <c r="N326"/>
      <c r="O326"/>
    </row>
    <row r="327" spans="1:15" x14ac:dyDescent="0.35">
      <c r="A327" t="s">
        <v>36</v>
      </c>
      <c r="B327" t="s">
        <v>603</v>
      </c>
      <c r="C327" t="s">
        <v>604</v>
      </c>
      <c r="D327">
        <v>102226.43</v>
      </c>
      <c r="E327">
        <v>101680.14</v>
      </c>
      <c r="F327">
        <v>546.28999999999405</v>
      </c>
      <c r="G327">
        <v>59</v>
      </c>
      <c r="I327" s="5">
        <v>487.289999999994</v>
      </c>
      <c r="J327" s="5">
        <v>0</v>
      </c>
      <c r="K327">
        <v>0</v>
      </c>
      <c r="L327"/>
      <c r="M327"/>
      <c r="N327"/>
      <c r="O327"/>
    </row>
    <row r="328" spans="1:15" x14ac:dyDescent="0.35">
      <c r="A328" t="s">
        <v>55</v>
      </c>
      <c r="B328" t="s">
        <v>174</v>
      </c>
      <c r="C328" t="s">
        <v>175</v>
      </c>
      <c r="D328">
        <v>759738.52</v>
      </c>
      <c r="E328">
        <v>698852.74</v>
      </c>
      <c r="F328">
        <v>60885.78</v>
      </c>
      <c r="G328">
        <v>60885.78</v>
      </c>
      <c r="H328" s="5">
        <v>0</v>
      </c>
      <c r="I328" s="5">
        <v>0</v>
      </c>
      <c r="K328"/>
      <c r="L328"/>
      <c r="M328"/>
      <c r="N328"/>
      <c r="O328"/>
    </row>
    <row r="329" spans="1:15" x14ac:dyDescent="0.35">
      <c r="A329" t="s">
        <v>169</v>
      </c>
      <c r="B329" t="s">
        <v>3575</v>
      </c>
      <c r="C329" t="s">
        <v>3576</v>
      </c>
      <c r="D329">
        <v>424763.4</v>
      </c>
      <c r="E329">
        <v>424763.4</v>
      </c>
      <c r="F329">
        <v>0</v>
      </c>
      <c r="G329"/>
      <c r="H329" s="5">
        <v>0</v>
      </c>
      <c r="I329" s="5">
        <v>0</v>
      </c>
      <c r="J329" s="5">
        <v>0</v>
      </c>
      <c r="K329"/>
      <c r="L329"/>
      <c r="M329"/>
      <c r="N329"/>
      <c r="O329"/>
    </row>
    <row r="330" spans="1:15" x14ac:dyDescent="0.35">
      <c r="A330" t="s">
        <v>41</v>
      </c>
      <c r="B330" t="s">
        <v>1017</v>
      </c>
      <c r="C330" t="s">
        <v>1018</v>
      </c>
      <c r="D330">
        <v>186578.94</v>
      </c>
      <c r="E330">
        <v>186578.94</v>
      </c>
      <c r="F330">
        <v>0</v>
      </c>
      <c r="G330"/>
      <c r="I330" s="5">
        <v>0</v>
      </c>
      <c r="K330"/>
      <c r="L330"/>
      <c r="M330"/>
      <c r="N330"/>
      <c r="O330"/>
    </row>
    <row r="331" spans="1:15" x14ac:dyDescent="0.35">
      <c r="A331" t="s">
        <v>36</v>
      </c>
      <c r="B331" t="s">
        <v>322</v>
      </c>
      <c r="C331" t="s">
        <v>323</v>
      </c>
      <c r="D331">
        <v>262217.68</v>
      </c>
      <c r="E331">
        <v>262217.68</v>
      </c>
      <c r="F331">
        <v>0</v>
      </c>
      <c r="G331">
        <v>0</v>
      </c>
      <c r="H331" s="5">
        <v>0</v>
      </c>
      <c r="I331" s="5">
        <v>0</v>
      </c>
      <c r="K331"/>
      <c r="L331"/>
      <c r="M331"/>
      <c r="N331"/>
      <c r="O331"/>
    </row>
    <row r="332" spans="1:15" x14ac:dyDescent="0.35">
      <c r="A332" t="s">
        <v>88</v>
      </c>
      <c r="B332" t="s">
        <v>571</v>
      </c>
      <c r="C332" t="s">
        <v>572</v>
      </c>
      <c r="D332">
        <v>55857.759999999995</v>
      </c>
      <c r="E332">
        <v>55857.759999999995</v>
      </c>
      <c r="F332">
        <v>0</v>
      </c>
      <c r="G332">
        <v>0</v>
      </c>
      <c r="J332" s="5">
        <v>0</v>
      </c>
      <c r="K332"/>
      <c r="L332"/>
      <c r="M332"/>
      <c r="N332"/>
      <c r="O332"/>
    </row>
    <row r="333" spans="1:15" x14ac:dyDescent="0.35">
      <c r="A333" t="s">
        <v>169</v>
      </c>
      <c r="B333" t="s">
        <v>849</v>
      </c>
      <c r="C333" t="s">
        <v>850</v>
      </c>
      <c r="D333">
        <v>248855.40000000002</v>
      </c>
      <c r="E333">
        <v>248855.40000000002</v>
      </c>
      <c r="F333">
        <v>0</v>
      </c>
      <c r="G333"/>
      <c r="H333" s="5">
        <v>0</v>
      </c>
      <c r="I333" s="5">
        <v>0</v>
      </c>
      <c r="K333"/>
      <c r="L333"/>
      <c r="M333"/>
      <c r="N333"/>
      <c r="O333"/>
    </row>
    <row r="334" spans="1:15" x14ac:dyDescent="0.35">
      <c r="A334" t="s">
        <v>55</v>
      </c>
      <c r="B334" t="s">
        <v>559</v>
      </c>
      <c r="C334" t="s">
        <v>560</v>
      </c>
      <c r="D334">
        <v>142732.79999999999</v>
      </c>
      <c r="E334">
        <v>142732.79999999999</v>
      </c>
      <c r="F334">
        <v>0</v>
      </c>
      <c r="G334">
        <v>0</v>
      </c>
      <c r="H334" s="5">
        <v>0</v>
      </c>
      <c r="I334" s="5">
        <v>0</v>
      </c>
      <c r="J334" s="5">
        <v>0</v>
      </c>
      <c r="K334"/>
      <c r="L334"/>
      <c r="M334"/>
      <c r="N334"/>
      <c r="O334"/>
    </row>
    <row r="335" spans="1:15" x14ac:dyDescent="0.35">
      <c r="A335" t="s">
        <v>55</v>
      </c>
      <c r="B335" t="s">
        <v>142</v>
      </c>
      <c r="C335" t="s">
        <v>143</v>
      </c>
      <c r="D335">
        <v>335503.59999999998</v>
      </c>
      <c r="E335">
        <v>335503.59999999998</v>
      </c>
      <c r="F335">
        <v>0</v>
      </c>
      <c r="G335">
        <v>0</v>
      </c>
      <c r="H335" s="5">
        <v>0</v>
      </c>
      <c r="I335" s="5">
        <v>0</v>
      </c>
      <c r="J335" s="5">
        <v>0</v>
      </c>
      <c r="K335"/>
      <c r="L335"/>
      <c r="M335"/>
      <c r="N335"/>
      <c r="O335"/>
    </row>
    <row r="336" spans="1:15" x14ac:dyDescent="0.35">
      <c r="A336" t="s">
        <v>19</v>
      </c>
      <c r="B336" t="s">
        <v>339</v>
      </c>
      <c r="C336" t="s">
        <v>340</v>
      </c>
      <c r="D336">
        <v>162128.6</v>
      </c>
      <c r="E336">
        <v>162128.6</v>
      </c>
      <c r="F336">
        <v>0</v>
      </c>
      <c r="G336">
        <v>0</v>
      </c>
      <c r="H336" s="5">
        <v>0</v>
      </c>
      <c r="I336" s="5">
        <v>0</v>
      </c>
      <c r="J336" s="5">
        <v>0</v>
      </c>
      <c r="K336">
        <v>0</v>
      </c>
      <c r="L336"/>
      <c r="M336"/>
      <c r="N336"/>
      <c r="O336"/>
    </row>
    <row r="337" spans="1:15" x14ac:dyDescent="0.35">
      <c r="A337" t="s">
        <v>36</v>
      </c>
      <c r="B337" t="s">
        <v>229</v>
      </c>
      <c r="C337" t="s">
        <v>230</v>
      </c>
      <c r="D337">
        <v>146159.94</v>
      </c>
      <c r="E337">
        <v>143137.9</v>
      </c>
      <c r="F337">
        <v>3022.04</v>
      </c>
      <c r="G337">
        <v>3022.04</v>
      </c>
      <c r="H337" s="5">
        <v>0</v>
      </c>
      <c r="I337" s="5">
        <v>0</v>
      </c>
      <c r="J337" s="5">
        <v>0</v>
      </c>
      <c r="K337"/>
      <c r="L337"/>
      <c r="M337"/>
      <c r="N337"/>
      <c r="O337"/>
    </row>
    <row r="338" spans="1:15" x14ac:dyDescent="0.35">
      <c r="A338" t="s">
        <v>164</v>
      </c>
      <c r="B338" t="s">
        <v>513</v>
      </c>
      <c r="C338" t="s">
        <v>514</v>
      </c>
      <c r="D338">
        <v>197779.88</v>
      </c>
      <c r="E338">
        <v>197779.88</v>
      </c>
      <c r="F338">
        <v>0</v>
      </c>
      <c r="G338">
        <v>0</v>
      </c>
      <c r="H338" s="5">
        <v>0</v>
      </c>
      <c r="I338" s="5">
        <v>0</v>
      </c>
      <c r="J338" s="5">
        <v>0</v>
      </c>
      <c r="K338"/>
      <c r="L338"/>
      <c r="M338"/>
      <c r="N338"/>
      <c r="O338"/>
    </row>
    <row r="339" spans="1:15" x14ac:dyDescent="0.35">
      <c r="A339" t="s">
        <v>36</v>
      </c>
      <c r="B339" t="s">
        <v>51</v>
      </c>
      <c r="C339" t="s">
        <v>52</v>
      </c>
      <c r="D339">
        <v>196191.59999999998</v>
      </c>
      <c r="E339">
        <v>196191.59999999998</v>
      </c>
      <c r="F339">
        <v>0</v>
      </c>
      <c r="G339">
        <v>0</v>
      </c>
      <c r="H339" s="5">
        <v>0</v>
      </c>
      <c r="I339" s="5">
        <v>0</v>
      </c>
      <c r="J339" s="5">
        <v>0</v>
      </c>
      <c r="K339"/>
      <c r="L339"/>
      <c r="M339"/>
      <c r="N339"/>
      <c r="O339"/>
    </row>
    <row r="340" spans="1:15" x14ac:dyDescent="0.35">
      <c r="A340" t="s">
        <v>33</v>
      </c>
      <c r="B340" t="s">
        <v>563</v>
      </c>
      <c r="C340" t="s">
        <v>564</v>
      </c>
      <c r="D340">
        <v>2435675.92</v>
      </c>
      <c r="E340">
        <v>2435675.92</v>
      </c>
      <c r="F340">
        <v>0</v>
      </c>
      <c r="G340">
        <v>0</v>
      </c>
      <c r="H340" s="5">
        <v>0</v>
      </c>
      <c r="I340" s="5">
        <v>0</v>
      </c>
      <c r="J340" s="5">
        <v>0</v>
      </c>
      <c r="K340"/>
      <c r="L340"/>
      <c r="M340"/>
      <c r="N340"/>
      <c r="O340"/>
    </row>
    <row r="341" spans="1:15" x14ac:dyDescent="0.35">
      <c r="A341" t="s">
        <v>19</v>
      </c>
      <c r="B341" t="s">
        <v>615</v>
      </c>
      <c r="C341" t="s">
        <v>616</v>
      </c>
      <c r="D341">
        <v>207466.62</v>
      </c>
      <c r="E341">
        <v>207466.62</v>
      </c>
      <c r="F341">
        <v>0</v>
      </c>
      <c r="G341">
        <v>0</v>
      </c>
      <c r="H341" s="5">
        <v>0</v>
      </c>
      <c r="I341" s="5">
        <v>0</v>
      </c>
      <c r="K341"/>
      <c r="L341"/>
      <c r="M341"/>
      <c r="N341"/>
      <c r="O341"/>
    </row>
    <row r="342" spans="1:15" x14ac:dyDescent="0.35">
      <c r="A342" t="s">
        <v>16</v>
      </c>
      <c r="B342" t="s">
        <v>567</v>
      </c>
      <c r="C342" t="s">
        <v>568</v>
      </c>
      <c r="D342">
        <v>290039.02</v>
      </c>
      <c r="E342">
        <v>289386.98</v>
      </c>
      <c r="F342">
        <v>652.04000000000804</v>
      </c>
      <c r="G342">
        <v>652.04000000000804</v>
      </c>
      <c r="H342" s="5">
        <v>0</v>
      </c>
      <c r="I342" s="5">
        <v>0</v>
      </c>
      <c r="K342"/>
      <c r="L342"/>
      <c r="M342"/>
      <c r="N342"/>
      <c r="O342"/>
    </row>
    <row r="343" spans="1:15" x14ac:dyDescent="0.35">
      <c r="A343" t="s">
        <v>93</v>
      </c>
      <c r="B343" t="s">
        <v>3577</v>
      </c>
      <c r="C343" t="s">
        <v>3578</v>
      </c>
      <c r="D343">
        <v>288.85000000000002</v>
      </c>
      <c r="E343"/>
      <c r="F343">
        <v>288.85000000000002</v>
      </c>
      <c r="G343">
        <v>288.85000000000002</v>
      </c>
      <c r="H343" s="5">
        <v>0</v>
      </c>
      <c r="I343" s="5">
        <v>0</v>
      </c>
      <c r="K343"/>
      <c r="L343"/>
      <c r="M343"/>
      <c r="N343"/>
      <c r="O343"/>
    </row>
    <row r="344" spans="1:15" x14ac:dyDescent="0.35">
      <c r="A344" t="s">
        <v>46</v>
      </c>
      <c r="B344" t="s">
        <v>479</v>
      </c>
      <c r="C344" t="s">
        <v>480</v>
      </c>
      <c r="D344">
        <v>204105.47999999998</v>
      </c>
      <c r="E344">
        <v>204105.47999999998</v>
      </c>
      <c r="F344">
        <v>0</v>
      </c>
      <c r="G344">
        <v>0</v>
      </c>
      <c r="H344" s="5">
        <v>0</v>
      </c>
      <c r="I344" s="5">
        <v>0</v>
      </c>
      <c r="J344" s="5">
        <v>0</v>
      </c>
      <c r="K344"/>
      <c r="L344"/>
      <c r="M344"/>
      <c r="N344"/>
      <c r="O344"/>
    </row>
    <row r="345" spans="1:15" x14ac:dyDescent="0.35">
      <c r="A345" t="s">
        <v>93</v>
      </c>
      <c r="B345" t="s">
        <v>237</v>
      </c>
      <c r="C345" t="s">
        <v>238</v>
      </c>
      <c r="D345">
        <v>189891.24</v>
      </c>
      <c r="E345">
        <v>189891.24</v>
      </c>
      <c r="F345">
        <v>0</v>
      </c>
      <c r="G345">
        <v>0</v>
      </c>
      <c r="H345" s="5">
        <v>0</v>
      </c>
      <c r="I345" s="5">
        <v>0</v>
      </c>
      <c r="J345" s="5">
        <v>0</v>
      </c>
      <c r="K345">
        <v>0</v>
      </c>
      <c r="L345"/>
      <c r="M345"/>
      <c r="N345"/>
      <c r="O345"/>
    </row>
    <row r="346" spans="1:15" x14ac:dyDescent="0.35">
      <c r="A346" t="s">
        <v>36</v>
      </c>
      <c r="B346" t="s">
        <v>3579</v>
      </c>
      <c r="C346" t="s">
        <v>3580</v>
      </c>
      <c r="D346">
        <v>20146.84</v>
      </c>
      <c r="E346">
        <v>20146.84</v>
      </c>
      <c r="F346">
        <v>0</v>
      </c>
      <c r="G346"/>
      <c r="H346" s="5">
        <v>0</v>
      </c>
      <c r="I346" s="5">
        <v>0</v>
      </c>
      <c r="K346">
        <v>0</v>
      </c>
      <c r="L346"/>
      <c r="M346"/>
      <c r="N346"/>
      <c r="O346"/>
    </row>
    <row r="347" spans="1:15" x14ac:dyDescent="0.35">
      <c r="A347" t="s">
        <v>88</v>
      </c>
      <c r="B347" t="s">
        <v>337</v>
      </c>
      <c r="C347" t="s">
        <v>338</v>
      </c>
      <c r="D347">
        <v>247252.72</v>
      </c>
      <c r="E347">
        <v>247252.72</v>
      </c>
      <c r="F347">
        <v>0</v>
      </c>
      <c r="G347"/>
      <c r="H347" s="5">
        <v>0</v>
      </c>
      <c r="I347" s="5">
        <v>0</v>
      </c>
      <c r="J347" s="5">
        <v>0</v>
      </c>
      <c r="K347">
        <v>0</v>
      </c>
      <c r="L347"/>
      <c r="M347"/>
      <c r="N347"/>
      <c r="O347"/>
    </row>
    <row r="348" spans="1:15" x14ac:dyDescent="0.35">
      <c r="A348" t="s">
        <v>36</v>
      </c>
      <c r="B348" t="s">
        <v>449</v>
      </c>
      <c r="C348" t="s">
        <v>450</v>
      </c>
      <c r="D348">
        <v>418810.19000000006</v>
      </c>
      <c r="E348">
        <v>379802.16000000003</v>
      </c>
      <c r="F348">
        <v>39008.03</v>
      </c>
      <c r="G348">
        <v>39008.03</v>
      </c>
      <c r="H348" s="5">
        <v>0</v>
      </c>
      <c r="I348" s="5">
        <v>0</v>
      </c>
      <c r="K348"/>
      <c r="L348"/>
      <c r="M348"/>
      <c r="N348"/>
      <c r="O348"/>
    </row>
    <row r="349" spans="1:15" x14ac:dyDescent="0.35">
      <c r="A349" t="s">
        <v>275</v>
      </c>
      <c r="B349" t="s">
        <v>1183</v>
      </c>
      <c r="C349" t="s">
        <v>1184</v>
      </c>
      <c r="D349">
        <v>2.8199999999778802</v>
      </c>
      <c r="E349"/>
      <c r="F349">
        <v>2.8199999999778802</v>
      </c>
      <c r="G349">
        <v>2.8199999999778802</v>
      </c>
      <c r="I349" s="5">
        <v>0</v>
      </c>
      <c r="K349"/>
      <c r="L349"/>
      <c r="M349"/>
      <c r="N349"/>
      <c r="O349"/>
    </row>
    <row r="350" spans="1:15" x14ac:dyDescent="0.35">
      <c r="A350" t="s">
        <v>93</v>
      </c>
      <c r="B350" t="s">
        <v>581</v>
      </c>
      <c r="C350" t="s">
        <v>582</v>
      </c>
      <c r="D350">
        <v>102675.01999999999</v>
      </c>
      <c r="E350">
        <v>73950.720000000001</v>
      </c>
      <c r="F350">
        <v>28724.3</v>
      </c>
      <c r="G350">
        <v>28724.3</v>
      </c>
      <c r="H350" s="5">
        <v>0</v>
      </c>
      <c r="I350" s="5">
        <v>0</v>
      </c>
      <c r="J350" s="5">
        <v>0</v>
      </c>
      <c r="K350">
        <v>0</v>
      </c>
      <c r="L350"/>
      <c r="M350"/>
      <c r="N350"/>
      <c r="O350"/>
    </row>
    <row r="351" spans="1:15" x14ac:dyDescent="0.35">
      <c r="A351" t="s">
        <v>24</v>
      </c>
      <c r="B351" t="s">
        <v>697</v>
      </c>
      <c r="C351" t="s">
        <v>698</v>
      </c>
      <c r="D351">
        <v>331454.62</v>
      </c>
      <c r="E351">
        <v>331454.62</v>
      </c>
      <c r="F351">
        <v>0</v>
      </c>
      <c r="G351"/>
      <c r="H351" s="5">
        <v>0</v>
      </c>
      <c r="I351" s="5">
        <v>0</v>
      </c>
      <c r="K351"/>
      <c r="L351"/>
      <c r="M351"/>
      <c r="N351"/>
      <c r="O351"/>
    </row>
    <row r="352" spans="1:15" x14ac:dyDescent="0.35">
      <c r="A352" t="s">
        <v>100</v>
      </c>
      <c r="B352" t="s">
        <v>3581</v>
      </c>
      <c r="C352" t="s">
        <v>3582</v>
      </c>
      <c r="D352">
        <v>917.45000000000095</v>
      </c>
      <c r="E352"/>
      <c r="F352">
        <v>917.45000000000095</v>
      </c>
      <c r="G352">
        <v>917.45000000000095</v>
      </c>
      <c r="I352" s="5">
        <v>0</v>
      </c>
      <c r="K352"/>
      <c r="L352"/>
      <c r="M352"/>
      <c r="N352"/>
      <c r="O352"/>
    </row>
    <row r="353" spans="1:15" x14ac:dyDescent="0.35">
      <c r="A353" t="s">
        <v>16</v>
      </c>
      <c r="B353" t="s">
        <v>941</v>
      </c>
      <c r="C353" t="s">
        <v>942</v>
      </c>
      <c r="D353">
        <v>281317.19</v>
      </c>
      <c r="E353">
        <v>163806.20000000001</v>
      </c>
      <c r="F353">
        <v>117510.98999999999</v>
      </c>
      <c r="G353">
        <v>117510.98999999999</v>
      </c>
      <c r="H353" s="5">
        <v>0</v>
      </c>
      <c r="I353" s="5">
        <v>0</v>
      </c>
      <c r="J353" s="5">
        <v>0</v>
      </c>
      <c r="K353"/>
      <c r="L353"/>
      <c r="M353"/>
      <c r="N353"/>
      <c r="O353"/>
    </row>
    <row r="354" spans="1:15" x14ac:dyDescent="0.35">
      <c r="A354" t="s">
        <v>24</v>
      </c>
      <c r="B354" t="s">
        <v>3583</v>
      </c>
      <c r="C354" t="s">
        <v>3584</v>
      </c>
      <c r="D354">
        <v>511200.03</v>
      </c>
      <c r="E354">
        <v>511200.03</v>
      </c>
      <c r="F354">
        <v>0</v>
      </c>
      <c r="G354"/>
      <c r="H354" s="5">
        <v>0</v>
      </c>
      <c r="I354" s="5">
        <v>0</v>
      </c>
      <c r="K354">
        <v>0</v>
      </c>
      <c r="L354"/>
      <c r="M354"/>
      <c r="N354"/>
      <c r="O354"/>
    </row>
    <row r="355" spans="1:15" x14ac:dyDescent="0.35">
      <c r="A355" t="s">
        <v>36</v>
      </c>
      <c r="B355" t="s">
        <v>98</v>
      </c>
      <c r="C355" t="s">
        <v>99</v>
      </c>
      <c r="D355">
        <v>159650.63</v>
      </c>
      <c r="E355">
        <v>146997.32</v>
      </c>
      <c r="F355">
        <v>12653.31</v>
      </c>
      <c r="G355">
        <v>12653.31</v>
      </c>
      <c r="H355" s="5">
        <v>0</v>
      </c>
      <c r="I355" s="5">
        <v>0</v>
      </c>
      <c r="J355" s="5">
        <v>0</v>
      </c>
      <c r="K355"/>
      <c r="L355"/>
      <c r="M355"/>
      <c r="N355"/>
      <c r="O355"/>
    </row>
    <row r="356" spans="1:15" x14ac:dyDescent="0.35">
      <c r="A356" t="s">
        <v>46</v>
      </c>
      <c r="B356" t="s">
        <v>3585</v>
      </c>
      <c r="C356" t="s">
        <v>3586</v>
      </c>
      <c r="D356">
        <v>148382.64000000001</v>
      </c>
      <c r="E356">
        <v>148382.64000000001</v>
      </c>
      <c r="F356">
        <v>0</v>
      </c>
      <c r="G356">
        <v>0</v>
      </c>
      <c r="H356" s="5">
        <v>0</v>
      </c>
      <c r="I356" s="5">
        <v>0</v>
      </c>
      <c r="K356"/>
      <c r="L356"/>
      <c r="M356"/>
      <c r="N356"/>
      <c r="O356"/>
    </row>
    <row r="357" spans="1:15" x14ac:dyDescent="0.35">
      <c r="A357" t="s">
        <v>16</v>
      </c>
      <c r="B357" t="s">
        <v>1169</v>
      </c>
      <c r="C357" t="s">
        <v>1170</v>
      </c>
      <c r="D357">
        <v>32897.18</v>
      </c>
      <c r="E357">
        <v>31828.62</v>
      </c>
      <c r="F357">
        <v>1068.56</v>
      </c>
      <c r="G357">
        <v>1068.56</v>
      </c>
      <c r="I357" s="5">
        <v>0</v>
      </c>
      <c r="J357" s="5">
        <v>0</v>
      </c>
      <c r="K357"/>
      <c r="L357"/>
      <c r="M357"/>
      <c r="N357"/>
      <c r="O357"/>
    </row>
    <row r="358" spans="1:15" x14ac:dyDescent="0.35">
      <c r="A358" t="s">
        <v>328</v>
      </c>
      <c r="B358" t="s">
        <v>1227</v>
      </c>
      <c r="C358" t="s">
        <v>1228</v>
      </c>
      <c r="D358">
        <v>345022.56</v>
      </c>
      <c r="E358">
        <v>345022.56</v>
      </c>
      <c r="F358">
        <v>0</v>
      </c>
      <c r="G358">
        <v>0</v>
      </c>
      <c r="I358" s="5">
        <v>0</v>
      </c>
      <c r="J358" s="5">
        <v>0</v>
      </c>
      <c r="K358"/>
      <c r="L358"/>
      <c r="M358"/>
      <c r="N358"/>
      <c r="O358"/>
    </row>
    <row r="359" spans="1:15" x14ac:dyDescent="0.35">
      <c r="A359" t="s">
        <v>19</v>
      </c>
      <c r="B359" t="s">
        <v>677</v>
      </c>
      <c r="C359" t="s">
        <v>678</v>
      </c>
      <c r="D359">
        <v>99938.66</v>
      </c>
      <c r="E359">
        <v>99938.66</v>
      </c>
      <c r="F359">
        <v>0</v>
      </c>
      <c r="G359">
        <v>0</v>
      </c>
      <c r="H359" s="5">
        <v>0</v>
      </c>
      <c r="I359" s="5">
        <v>0</v>
      </c>
      <c r="K359"/>
      <c r="L359"/>
      <c r="M359"/>
      <c r="N359"/>
      <c r="O359"/>
    </row>
    <row r="360" spans="1:15" x14ac:dyDescent="0.35">
      <c r="A360" t="s">
        <v>169</v>
      </c>
      <c r="B360" t="s">
        <v>915</v>
      </c>
      <c r="C360" t="s">
        <v>916</v>
      </c>
      <c r="D360">
        <v>298208.52</v>
      </c>
      <c r="E360">
        <v>298208.52</v>
      </c>
      <c r="F360">
        <v>0</v>
      </c>
      <c r="G360">
        <v>0</v>
      </c>
      <c r="H360" s="5">
        <v>0</v>
      </c>
      <c r="I360" s="5">
        <v>0</v>
      </c>
      <c r="J360" s="5">
        <v>0</v>
      </c>
      <c r="K360"/>
      <c r="L360"/>
      <c r="M360"/>
      <c r="N360"/>
      <c r="O360"/>
    </row>
    <row r="361" spans="1:15" x14ac:dyDescent="0.35">
      <c r="A361" t="s">
        <v>16</v>
      </c>
      <c r="B361" t="s">
        <v>17</v>
      </c>
      <c r="C361" t="s">
        <v>18</v>
      </c>
      <c r="D361">
        <v>646555.20000000007</v>
      </c>
      <c r="E361">
        <v>646555.20000000007</v>
      </c>
      <c r="F361">
        <v>0</v>
      </c>
      <c r="G361">
        <v>0</v>
      </c>
      <c r="H361" s="5">
        <v>0</v>
      </c>
      <c r="I361" s="5">
        <v>0</v>
      </c>
      <c r="J361" s="5">
        <v>0</v>
      </c>
      <c r="K361">
        <v>0</v>
      </c>
      <c r="L361"/>
      <c r="M361"/>
      <c r="N361"/>
      <c r="O361"/>
    </row>
    <row r="362" spans="1:15" x14ac:dyDescent="0.35">
      <c r="A362" t="s">
        <v>30</v>
      </c>
      <c r="B362" t="s">
        <v>118</v>
      </c>
      <c r="C362" t="s">
        <v>119</v>
      </c>
      <c r="D362">
        <v>494428.3</v>
      </c>
      <c r="E362">
        <v>387423.38999999996</v>
      </c>
      <c r="F362">
        <v>107004.91</v>
      </c>
      <c r="G362">
        <v>107004.91</v>
      </c>
      <c r="H362" s="5">
        <v>0</v>
      </c>
      <c r="I362" s="5">
        <v>0</v>
      </c>
      <c r="J362" s="5">
        <v>0</v>
      </c>
      <c r="K362"/>
      <c r="L362"/>
      <c r="M362"/>
      <c r="N362"/>
      <c r="O362"/>
    </row>
    <row r="363" spans="1:15" x14ac:dyDescent="0.35">
      <c r="A363" t="s">
        <v>30</v>
      </c>
      <c r="B363" t="s">
        <v>66</v>
      </c>
      <c r="C363" t="s">
        <v>67</v>
      </c>
      <c r="D363">
        <v>2143538.17</v>
      </c>
      <c r="E363">
        <v>1313096.78</v>
      </c>
      <c r="F363">
        <v>830441.39</v>
      </c>
      <c r="G363">
        <v>769445.19</v>
      </c>
      <c r="H363" s="5">
        <v>60996.2</v>
      </c>
      <c r="I363" s="5">
        <v>0</v>
      </c>
      <c r="J363" s="5">
        <v>0</v>
      </c>
      <c r="K363"/>
      <c r="L363"/>
      <c r="M363"/>
      <c r="N363"/>
      <c r="O363"/>
    </row>
    <row r="364" spans="1:15" x14ac:dyDescent="0.35">
      <c r="A364" t="s">
        <v>30</v>
      </c>
      <c r="B364" t="s">
        <v>1195</v>
      </c>
      <c r="C364" t="s">
        <v>1196</v>
      </c>
      <c r="D364">
        <v>47631.17</v>
      </c>
      <c r="E364">
        <v>39270.54</v>
      </c>
      <c r="F364">
        <v>8360.6299999999992</v>
      </c>
      <c r="G364">
        <v>8360.6299999999992</v>
      </c>
      <c r="I364" s="5">
        <v>0</v>
      </c>
      <c r="K364"/>
      <c r="L364"/>
      <c r="M364"/>
      <c r="N364"/>
      <c r="O364"/>
    </row>
    <row r="365" spans="1:15" x14ac:dyDescent="0.35">
      <c r="A365" t="s">
        <v>27</v>
      </c>
      <c r="B365" t="s">
        <v>493</v>
      </c>
      <c r="C365" t="s">
        <v>494</v>
      </c>
      <c r="D365">
        <v>329545.46000000002</v>
      </c>
      <c r="E365">
        <v>282882.48000000004</v>
      </c>
      <c r="F365">
        <v>46662.979999999996</v>
      </c>
      <c r="G365">
        <v>46662.979999999996</v>
      </c>
      <c r="H365" s="5">
        <v>0</v>
      </c>
      <c r="I365" s="5">
        <v>0</v>
      </c>
      <c r="J365" s="5">
        <v>0</v>
      </c>
      <c r="K365"/>
      <c r="L365"/>
      <c r="M365"/>
      <c r="N365"/>
      <c r="O365"/>
    </row>
    <row r="366" spans="1:15" x14ac:dyDescent="0.35">
      <c r="A366" t="s">
        <v>33</v>
      </c>
      <c r="B366" t="s">
        <v>223</v>
      </c>
      <c r="C366" t="s">
        <v>224</v>
      </c>
      <c r="D366">
        <v>248388.86</v>
      </c>
      <c r="E366">
        <v>248388.86</v>
      </c>
      <c r="F366">
        <v>0</v>
      </c>
      <c r="G366"/>
      <c r="H366" s="5">
        <v>0</v>
      </c>
      <c r="I366" s="5">
        <v>0</v>
      </c>
      <c r="J366" s="5">
        <v>0</v>
      </c>
      <c r="K366"/>
      <c r="L366"/>
      <c r="M366"/>
      <c r="N366"/>
      <c r="O366"/>
    </row>
    <row r="367" spans="1:15" x14ac:dyDescent="0.35">
      <c r="A367" t="s">
        <v>36</v>
      </c>
      <c r="B367" t="s">
        <v>377</v>
      </c>
      <c r="C367" t="s">
        <v>378</v>
      </c>
      <c r="D367">
        <v>290181.82</v>
      </c>
      <c r="E367">
        <v>290181.82</v>
      </c>
      <c r="F367">
        <v>0</v>
      </c>
      <c r="G367">
        <v>0</v>
      </c>
      <c r="H367" s="5">
        <v>0</v>
      </c>
      <c r="I367" s="5">
        <v>0</v>
      </c>
      <c r="J367" s="5">
        <v>0</v>
      </c>
      <c r="K367"/>
      <c r="L367"/>
      <c r="M367"/>
      <c r="N367"/>
      <c r="O367"/>
    </row>
    <row r="368" spans="1:15" x14ac:dyDescent="0.35">
      <c r="A368" t="s">
        <v>210</v>
      </c>
      <c r="B368" t="s">
        <v>475</v>
      </c>
      <c r="C368" t="s">
        <v>476</v>
      </c>
      <c r="D368">
        <v>107845.06</v>
      </c>
      <c r="E368">
        <v>107845.06</v>
      </c>
      <c r="F368">
        <v>0</v>
      </c>
      <c r="G368">
        <v>0</v>
      </c>
      <c r="H368" s="5">
        <v>0</v>
      </c>
      <c r="I368" s="5">
        <v>0</v>
      </c>
      <c r="J368" s="5">
        <v>0</v>
      </c>
      <c r="K368"/>
      <c r="L368"/>
      <c r="M368"/>
      <c r="N368"/>
      <c r="O368"/>
    </row>
    <row r="369" spans="1:15" x14ac:dyDescent="0.35">
      <c r="A369" t="s">
        <v>36</v>
      </c>
      <c r="B369" t="s">
        <v>973</v>
      </c>
      <c r="C369" t="s">
        <v>974</v>
      </c>
      <c r="D369">
        <v>561465.84</v>
      </c>
      <c r="E369">
        <v>561465.84</v>
      </c>
      <c r="F369"/>
      <c r="G369"/>
      <c r="K369"/>
      <c r="L369"/>
      <c r="M369"/>
      <c r="N369"/>
      <c r="O369"/>
    </row>
    <row r="370" spans="1:15" x14ac:dyDescent="0.35">
      <c r="A370" t="s">
        <v>27</v>
      </c>
      <c r="B370" t="s">
        <v>509</v>
      </c>
      <c r="C370" t="s">
        <v>510</v>
      </c>
      <c r="D370">
        <v>341033.9</v>
      </c>
      <c r="E370">
        <v>266594.82</v>
      </c>
      <c r="F370">
        <v>74439.08</v>
      </c>
      <c r="G370">
        <v>64817.320000000007</v>
      </c>
      <c r="H370" s="5">
        <v>9621.7599999999893</v>
      </c>
      <c r="I370" s="5">
        <v>0</v>
      </c>
      <c r="J370" s="5">
        <v>0</v>
      </c>
      <c r="K370"/>
      <c r="L370"/>
      <c r="M370"/>
      <c r="N370"/>
      <c r="O370"/>
    </row>
    <row r="371" spans="1:15" x14ac:dyDescent="0.35">
      <c r="A371" t="s">
        <v>24</v>
      </c>
      <c r="B371" t="s">
        <v>751</v>
      </c>
      <c r="C371" t="s">
        <v>752</v>
      </c>
      <c r="D371">
        <v>267231.24</v>
      </c>
      <c r="E371">
        <v>267231.24</v>
      </c>
      <c r="F371">
        <v>0</v>
      </c>
      <c r="G371">
        <v>0</v>
      </c>
      <c r="H371" s="5">
        <v>0</v>
      </c>
      <c r="I371" s="5">
        <v>0</v>
      </c>
      <c r="J371" s="5">
        <v>0</v>
      </c>
      <c r="K371">
        <v>0</v>
      </c>
      <c r="L371"/>
      <c r="M371"/>
      <c r="N371"/>
      <c r="O371"/>
    </row>
    <row r="372" spans="1:15" x14ac:dyDescent="0.35">
      <c r="A372" t="s">
        <v>16</v>
      </c>
      <c r="B372" t="s">
        <v>225</v>
      </c>
      <c r="C372" t="s">
        <v>226</v>
      </c>
      <c r="D372">
        <v>531950.97</v>
      </c>
      <c r="E372">
        <v>531950.97</v>
      </c>
      <c r="F372">
        <v>0</v>
      </c>
      <c r="G372">
        <v>0</v>
      </c>
      <c r="H372" s="5">
        <v>0</v>
      </c>
      <c r="I372" s="5">
        <v>0</v>
      </c>
      <c r="K372"/>
      <c r="L372"/>
      <c r="M372"/>
      <c r="N372"/>
      <c r="O372"/>
    </row>
    <row r="373" spans="1:15" x14ac:dyDescent="0.35">
      <c r="A373" t="s">
        <v>164</v>
      </c>
      <c r="B373" t="s">
        <v>3587</v>
      </c>
      <c r="C373" t="s">
        <v>3588</v>
      </c>
      <c r="D373">
        <v>2178.19</v>
      </c>
      <c r="E373"/>
      <c r="F373">
        <v>2178.19</v>
      </c>
      <c r="G373">
        <v>2178.19</v>
      </c>
      <c r="K373"/>
      <c r="L373"/>
      <c r="M373"/>
      <c r="N373"/>
      <c r="O373"/>
    </row>
    <row r="374" spans="1:15" x14ac:dyDescent="0.35">
      <c r="A374" t="s">
        <v>328</v>
      </c>
      <c r="B374" t="s">
        <v>329</v>
      </c>
      <c r="C374" t="s">
        <v>330</v>
      </c>
      <c r="D374">
        <v>522985.74</v>
      </c>
      <c r="E374">
        <v>522985.74</v>
      </c>
      <c r="F374">
        <v>0</v>
      </c>
      <c r="G374">
        <v>0</v>
      </c>
      <c r="H374" s="5">
        <v>0</v>
      </c>
      <c r="I374" s="5">
        <v>0</v>
      </c>
      <c r="K374"/>
      <c r="L374"/>
      <c r="M374"/>
      <c r="N374"/>
      <c r="O374"/>
    </row>
    <row r="375" spans="1:15" x14ac:dyDescent="0.35">
      <c r="A375" t="s">
        <v>27</v>
      </c>
      <c r="B375" t="s">
        <v>687</v>
      </c>
      <c r="C375" t="s">
        <v>688</v>
      </c>
      <c r="D375">
        <v>262420.44</v>
      </c>
      <c r="E375">
        <v>211598.08999999997</v>
      </c>
      <c r="F375">
        <v>50822.35</v>
      </c>
      <c r="G375">
        <v>50822.35</v>
      </c>
      <c r="H375" s="5">
        <v>0</v>
      </c>
      <c r="I375" s="5">
        <v>0</v>
      </c>
      <c r="J375" s="5">
        <v>0</v>
      </c>
      <c r="K375"/>
      <c r="L375"/>
      <c r="M375"/>
      <c r="N375"/>
      <c r="O375"/>
    </row>
    <row r="376" spans="1:15" x14ac:dyDescent="0.35">
      <c r="A376" t="s">
        <v>93</v>
      </c>
      <c r="B376" t="s">
        <v>3589</v>
      </c>
      <c r="C376" t="s">
        <v>3590</v>
      </c>
      <c r="D376">
        <v>20619.419999999998</v>
      </c>
      <c r="E376">
        <v>20619.419999999998</v>
      </c>
      <c r="F376"/>
      <c r="G376"/>
      <c r="K376"/>
      <c r="L376"/>
      <c r="M376"/>
      <c r="N376"/>
      <c r="O376"/>
    </row>
    <row r="377" spans="1:15" x14ac:dyDescent="0.35">
      <c r="A377" t="s">
        <v>33</v>
      </c>
      <c r="B377" t="s">
        <v>96</v>
      </c>
      <c r="C377" t="s">
        <v>97</v>
      </c>
      <c r="D377">
        <v>1530431.9600000002</v>
      </c>
      <c r="E377">
        <v>1530431.9600000002</v>
      </c>
      <c r="F377">
        <v>0</v>
      </c>
      <c r="G377">
        <v>0</v>
      </c>
      <c r="H377" s="5">
        <v>0</v>
      </c>
      <c r="I377" s="5">
        <v>0</v>
      </c>
      <c r="K377"/>
      <c r="L377"/>
      <c r="M377"/>
      <c r="N377"/>
      <c r="O377"/>
    </row>
    <row r="378" spans="1:15" x14ac:dyDescent="0.35">
      <c r="A378" t="s">
        <v>55</v>
      </c>
      <c r="B378" t="s">
        <v>795</v>
      </c>
      <c r="C378" t="s">
        <v>796</v>
      </c>
      <c r="D378">
        <v>305856</v>
      </c>
      <c r="E378">
        <v>305856</v>
      </c>
      <c r="F378">
        <v>0</v>
      </c>
      <c r="G378">
        <v>0</v>
      </c>
      <c r="H378" s="5">
        <v>0</v>
      </c>
      <c r="I378" s="5">
        <v>0</v>
      </c>
      <c r="K378"/>
      <c r="L378"/>
      <c r="M378"/>
      <c r="N378">
        <v>0</v>
      </c>
      <c r="O378"/>
    </row>
    <row r="379" spans="1:15" x14ac:dyDescent="0.35">
      <c r="A379" t="s">
        <v>36</v>
      </c>
      <c r="B379" t="s">
        <v>527</v>
      </c>
      <c r="C379" t="s">
        <v>528</v>
      </c>
      <c r="D379">
        <v>126647.03999999999</v>
      </c>
      <c r="E379">
        <v>126647.03999999999</v>
      </c>
      <c r="F379">
        <v>0</v>
      </c>
      <c r="G379"/>
      <c r="H379" s="5">
        <v>0</v>
      </c>
      <c r="I379" s="5">
        <v>0</v>
      </c>
      <c r="J379" s="5">
        <v>0</v>
      </c>
      <c r="K379"/>
      <c r="L379"/>
      <c r="M379"/>
      <c r="N379"/>
      <c r="O379"/>
    </row>
    <row r="380" spans="1:15" x14ac:dyDescent="0.35">
      <c r="A380" t="s">
        <v>88</v>
      </c>
      <c r="B380" t="s">
        <v>1073</v>
      </c>
      <c r="C380" t="s">
        <v>1074</v>
      </c>
      <c r="D380">
        <v>417456.82</v>
      </c>
      <c r="E380">
        <v>417456.82</v>
      </c>
      <c r="F380">
        <v>0</v>
      </c>
      <c r="G380">
        <v>0</v>
      </c>
      <c r="H380" s="5">
        <v>0</v>
      </c>
      <c r="I380" s="5">
        <v>0</v>
      </c>
      <c r="J380" s="5">
        <v>0</v>
      </c>
      <c r="K380"/>
      <c r="L380"/>
      <c r="M380"/>
      <c r="N380"/>
      <c r="O380"/>
    </row>
    <row r="381" spans="1:15" x14ac:dyDescent="0.35">
      <c r="A381" t="s">
        <v>36</v>
      </c>
      <c r="B381" t="s">
        <v>625</v>
      </c>
      <c r="C381" t="s">
        <v>626</v>
      </c>
      <c r="D381">
        <v>82190.360000000015</v>
      </c>
      <c r="E381">
        <v>82184.540000000008</v>
      </c>
      <c r="F381">
        <v>5.8199999999997098</v>
      </c>
      <c r="G381">
        <v>5.8199999999997098</v>
      </c>
      <c r="H381" s="5">
        <v>0</v>
      </c>
      <c r="I381" s="5">
        <v>0</v>
      </c>
      <c r="J381" s="5">
        <v>0</v>
      </c>
      <c r="K381">
        <v>0</v>
      </c>
      <c r="L381"/>
      <c r="M381"/>
      <c r="N381"/>
      <c r="O381"/>
    </row>
    <row r="382" spans="1:15" x14ac:dyDescent="0.35">
      <c r="A382" t="s">
        <v>36</v>
      </c>
      <c r="B382" t="s">
        <v>617</v>
      </c>
      <c r="C382" t="s">
        <v>618</v>
      </c>
      <c r="D382">
        <v>273036</v>
      </c>
      <c r="E382">
        <v>273036</v>
      </c>
      <c r="F382">
        <v>0</v>
      </c>
      <c r="G382"/>
      <c r="I382" s="5">
        <v>0</v>
      </c>
      <c r="J382" s="5">
        <v>0</v>
      </c>
      <c r="K382">
        <v>0</v>
      </c>
      <c r="L382"/>
      <c r="M382"/>
      <c r="N382"/>
      <c r="O382"/>
    </row>
    <row r="383" spans="1:15" x14ac:dyDescent="0.35">
      <c r="A383" t="s">
        <v>41</v>
      </c>
      <c r="B383" t="s">
        <v>3591</v>
      </c>
      <c r="C383" t="s">
        <v>3592</v>
      </c>
      <c r="D383">
        <v>27051.26</v>
      </c>
      <c r="E383">
        <v>27051.26</v>
      </c>
      <c r="F383">
        <v>0</v>
      </c>
      <c r="G383"/>
      <c r="I383" s="5">
        <v>0</v>
      </c>
      <c r="K383"/>
      <c r="L383"/>
      <c r="M383"/>
      <c r="N383"/>
      <c r="O383"/>
    </row>
    <row r="384" spans="1:15" x14ac:dyDescent="0.35">
      <c r="A384" t="s">
        <v>111</v>
      </c>
      <c r="B384" t="s">
        <v>813</v>
      </c>
      <c r="C384" t="s">
        <v>814</v>
      </c>
      <c r="D384">
        <v>203055.28999999998</v>
      </c>
      <c r="E384">
        <v>147261.16999999998</v>
      </c>
      <c r="F384">
        <v>55794.119999999995</v>
      </c>
      <c r="G384">
        <v>55793.47</v>
      </c>
      <c r="H384" s="5">
        <v>0.64999999999417901</v>
      </c>
      <c r="I384" s="5">
        <v>0</v>
      </c>
      <c r="J384" s="5">
        <v>0</v>
      </c>
      <c r="K384"/>
      <c r="L384"/>
      <c r="M384"/>
      <c r="N384"/>
      <c r="O384"/>
    </row>
    <row r="385" spans="1:15" x14ac:dyDescent="0.35">
      <c r="A385" t="s">
        <v>93</v>
      </c>
      <c r="B385" t="s">
        <v>194</v>
      </c>
      <c r="C385" t="s">
        <v>195</v>
      </c>
      <c r="D385">
        <v>1096236.1599999999</v>
      </c>
      <c r="E385">
        <v>1096236.1599999999</v>
      </c>
      <c r="F385">
        <v>0</v>
      </c>
      <c r="G385">
        <v>0</v>
      </c>
      <c r="H385" s="5">
        <v>0</v>
      </c>
      <c r="I385" s="5">
        <v>0</v>
      </c>
      <c r="J385" s="5">
        <v>0</v>
      </c>
      <c r="K385"/>
      <c r="L385"/>
      <c r="M385"/>
      <c r="N385"/>
      <c r="O385"/>
    </row>
    <row r="386" spans="1:15" x14ac:dyDescent="0.35">
      <c r="A386" t="s">
        <v>93</v>
      </c>
      <c r="B386" t="s">
        <v>933</v>
      </c>
      <c r="C386" t="s">
        <v>934</v>
      </c>
      <c r="D386">
        <v>56356.09</v>
      </c>
      <c r="E386">
        <v>56356.09</v>
      </c>
      <c r="F386">
        <v>0</v>
      </c>
      <c r="G386">
        <v>0</v>
      </c>
      <c r="H386" s="5">
        <v>0</v>
      </c>
      <c r="I386" s="5">
        <v>0</v>
      </c>
      <c r="K386"/>
      <c r="L386"/>
      <c r="M386"/>
      <c r="N386"/>
      <c r="O386"/>
    </row>
    <row r="387" spans="1:15" x14ac:dyDescent="0.35">
      <c r="A387" t="s">
        <v>169</v>
      </c>
      <c r="B387" t="s">
        <v>901</v>
      </c>
      <c r="C387" t="s">
        <v>902</v>
      </c>
      <c r="D387">
        <v>147547.20000000001</v>
      </c>
      <c r="E387">
        <v>147547.20000000001</v>
      </c>
      <c r="F387">
        <v>0</v>
      </c>
      <c r="G387"/>
      <c r="H387" s="5">
        <v>0</v>
      </c>
      <c r="I387" s="5">
        <v>0</v>
      </c>
      <c r="K387"/>
      <c r="L387"/>
      <c r="M387"/>
      <c r="N387"/>
      <c r="O387"/>
    </row>
    <row r="388" spans="1:15" x14ac:dyDescent="0.35">
      <c r="A388" t="s">
        <v>33</v>
      </c>
      <c r="B388" t="s">
        <v>961</v>
      </c>
      <c r="C388" t="s">
        <v>962</v>
      </c>
      <c r="D388">
        <v>232782.33</v>
      </c>
      <c r="E388">
        <v>231343.96</v>
      </c>
      <c r="F388">
        <v>1438.37</v>
      </c>
      <c r="G388"/>
      <c r="H388" s="5">
        <v>1438.37</v>
      </c>
      <c r="I388" s="5">
        <v>0</v>
      </c>
      <c r="J388" s="5">
        <v>0</v>
      </c>
      <c r="K388"/>
      <c r="L388"/>
      <c r="M388"/>
      <c r="N388"/>
      <c r="O388"/>
    </row>
    <row r="389" spans="1:15" x14ac:dyDescent="0.35">
      <c r="A389" t="s">
        <v>93</v>
      </c>
      <c r="B389" t="s">
        <v>783</v>
      </c>
      <c r="C389" t="s">
        <v>784</v>
      </c>
      <c r="D389">
        <v>180115.26</v>
      </c>
      <c r="E389">
        <v>180115.26</v>
      </c>
      <c r="F389">
        <v>0</v>
      </c>
      <c r="G389"/>
      <c r="H389" s="5">
        <v>0</v>
      </c>
      <c r="I389" s="5">
        <v>0</v>
      </c>
      <c r="K389"/>
      <c r="L389"/>
      <c r="M389"/>
      <c r="N389"/>
      <c r="O389"/>
    </row>
    <row r="390" spans="1:15" x14ac:dyDescent="0.35">
      <c r="A390" t="s">
        <v>19</v>
      </c>
      <c r="B390" t="s">
        <v>1003</v>
      </c>
      <c r="C390" t="s">
        <v>1004</v>
      </c>
      <c r="D390">
        <v>20236.91</v>
      </c>
      <c r="E390">
        <v>20236.91</v>
      </c>
      <c r="F390">
        <v>0</v>
      </c>
      <c r="G390">
        <v>0</v>
      </c>
      <c r="I390" s="5">
        <v>0</v>
      </c>
      <c r="K390"/>
      <c r="L390"/>
      <c r="M390"/>
      <c r="N390"/>
      <c r="O390"/>
    </row>
    <row r="391" spans="1:15" x14ac:dyDescent="0.35">
      <c r="A391" t="s">
        <v>30</v>
      </c>
      <c r="B391" t="s">
        <v>138</v>
      </c>
      <c r="C391" t="s">
        <v>139</v>
      </c>
      <c r="D391">
        <v>215982.42</v>
      </c>
      <c r="E391">
        <v>204993</v>
      </c>
      <c r="F391">
        <v>10989.42</v>
      </c>
      <c r="G391"/>
      <c r="H391" s="5">
        <v>10989.42</v>
      </c>
      <c r="I391" s="5">
        <v>0</v>
      </c>
      <c r="K391"/>
      <c r="L391"/>
      <c r="M391"/>
      <c r="N391"/>
      <c r="O391"/>
    </row>
    <row r="392" spans="1:15" x14ac:dyDescent="0.35">
      <c r="A392" t="s">
        <v>30</v>
      </c>
      <c r="B392" t="s">
        <v>72</v>
      </c>
      <c r="C392" t="s">
        <v>73</v>
      </c>
      <c r="D392">
        <v>191967.82</v>
      </c>
      <c r="E392">
        <v>170544.22</v>
      </c>
      <c r="F392">
        <v>21423.599999999991</v>
      </c>
      <c r="G392">
        <v>15909.33</v>
      </c>
      <c r="H392" s="5">
        <v>5514.2699999999904</v>
      </c>
      <c r="I392" s="5">
        <v>0</v>
      </c>
      <c r="J392" s="5">
        <v>0</v>
      </c>
      <c r="K392"/>
      <c r="L392"/>
      <c r="M392"/>
      <c r="N392"/>
      <c r="O392"/>
    </row>
    <row r="393" spans="1:15" x14ac:dyDescent="0.35">
      <c r="A393" t="s">
        <v>169</v>
      </c>
      <c r="B393" t="s">
        <v>1177</v>
      </c>
      <c r="C393" t="s">
        <v>1178</v>
      </c>
      <c r="D393">
        <v>126410.9</v>
      </c>
      <c r="E393">
        <v>126410.9</v>
      </c>
      <c r="F393">
        <v>0</v>
      </c>
      <c r="G393"/>
      <c r="H393" s="5">
        <v>0</v>
      </c>
      <c r="I393" s="5">
        <v>0</v>
      </c>
      <c r="K393"/>
      <c r="L393"/>
      <c r="M393"/>
      <c r="N393"/>
      <c r="O393"/>
    </row>
    <row r="394" spans="1:15" x14ac:dyDescent="0.35">
      <c r="A394" t="s">
        <v>36</v>
      </c>
      <c r="B394" t="s">
        <v>3593</v>
      </c>
      <c r="C394" t="s">
        <v>3594</v>
      </c>
      <c r="D394">
        <v>151.95999999999901</v>
      </c>
      <c r="E394"/>
      <c r="F394">
        <v>151.95999999999901</v>
      </c>
      <c r="G394">
        <v>151.95999999999901</v>
      </c>
      <c r="I394" s="5">
        <v>0</v>
      </c>
      <c r="K394"/>
      <c r="L394"/>
      <c r="M394"/>
      <c r="N394"/>
      <c r="O394"/>
    </row>
    <row r="395" spans="1:15" x14ac:dyDescent="0.35">
      <c r="A395" t="s">
        <v>55</v>
      </c>
      <c r="B395" t="s">
        <v>375</v>
      </c>
      <c r="C395" t="s">
        <v>376</v>
      </c>
      <c r="D395">
        <v>206173.90999999997</v>
      </c>
      <c r="E395">
        <v>205681.09999999998</v>
      </c>
      <c r="F395">
        <v>492.810000000005</v>
      </c>
      <c r="G395">
        <v>492.810000000005</v>
      </c>
      <c r="H395" s="5">
        <v>0</v>
      </c>
      <c r="I395" s="5">
        <v>0</v>
      </c>
      <c r="K395"/>
      <c r="L395"/>
      <c r="M395"/>
      <c r="N395"/>
      <c r="O395"/>
    </row>
    <row r="396" spans="1:15" x14ac:dyDescent="0.35">
      <c r="A396" t="s">
        <v>33</v>
      </c>
      <c r="B396" t="s">
        <v>34</v>
      </c>
      <c r="C396" t="s">
        <v>35</v>
      </c>
      <c r="D396">
        <v>86587.61</v>
      </c>
      <c r="E396">
        <v>66364.41</v>
      </c>
      <c r="F396">
        <v>20223.2</v>
      </c>
      <c r="G396">
        <v>20223.2</v>
      </c>
      <c r="H396" s="5">
        <v>0</v>
      </c>
      <c r="I396" s="5">
        <v>0</v>
      </c>
      <c r="J396" s="5">
        <v>0</v>
      </c>
      <c r="K396"/>
      <c r="L396"/>
      <c r="M396"/>
      <c r="N396"/>
      <c r="O396"/>
    </row>
    <row r="397" spans="1:15" x14ac:dyDescent="0.35">
      <c r="A397" t="s">
        <v>24</v>
      </c>
      <c r="B397" t="s">
        <v>631</v>
      </c>
      <c r="C397" t="s">
        <v>632</v>
      </c>
      <c r="D397">
        <v>176349.69999999998</v>
      </c>
      <c r="E397">
        <v>176349.69999999998</v>
      </c>
      <c r="F397">
        <v>0</v>
      </c>
      <c r="G397">
        <v>0</v>
      </c>
      <c r="H397" s="5">
        <v>0</v>
      </c>
      <c r="I397" s="5">
        <v>0</v>
      </c>
      <c r="J397" s="5">
        <v>0</v>
      </c>
      <c r="K397"/>
      <c r="L397"/>
      <c r="M397"/>
      <c r="N397"/>
      <c r="O397"/>
    </row>
    <row r="398" spans="1:15" x14ac:dyDescent="0.35">
      <c r="A398" t="s">
        <v>55</v>
      </c>
      <c r="B398" t="s">
        <v>489</v>
      </c>
      <c r="C398" t="s">
        <v>490</v>
      </c>
      <c r="D398">
        <v>234733.97000000003</v>
      </c>
      <c r="E398">
        <v>219589.02000000002</v>
      </c>
      <c r="F398">
        <v>15144.95</v>
      </c>
      <c r="G398">
        <v>15144.95</v>
      </c>
      <c r="H398" s="5">
        <v>0</v>
      </c>
      <c r="I398" s="5">
        <v>0</v>
      </c>
      <c r="J398" s="5">
        <v>0</v>
      </c>
      <c r="K398">
        <v>0</v>
      </c>
      <c r="L398"/>
      <c r="M398"/>
      <c r="N398"/>
      <c r="O398"/>
    </row>
    <row r="399" spans="1:15" x14ac:dyDescent="0.35">
      <c r="A399" t="s">
        <v>41</v>
      </c>
      <c r="B399" t="s">
        <v>255</v>
      </c>
      <c r="C399" t="s">
        <v>256</v>
      </c>
      <c r="D399">
        <v>438048.14999999991</v>
      </c>
      <c r="E399">
        <v>424768.43999999994</v>
      </c>
      <c r="F399">
        <v>13279.71</v>
      </c>
      <c r="G399">
        <v>13279.71</v>
      </c>
      <c r="H399" s="5">
        <v>0</v>
      </c>
      <c r="I399" s="5">
        <v>0</v>
      </c>
      <c r="K399"/>
      <c r="L399"/>
      <c r="M399"/>
      <c r="N399"/>
      <c r="O399"/>
    </row>
    <row r="400" spans="1:15" x14ac:dyDescent="0.35">
      <c r="A400" t="s">
        <v>55</v>
      </c>
      <c r="B400" t="s">
        <v>515</v>
      </c>
      <c r="C400" t="s">
        <v>516</v>
      </c>
      <c r="D400">
        <v>340565.56</v>
      </c>
      <c r="E400">
        <v>319816.42</v>
      </c>
      <c r="F400">
        <v>20749.14</v>
      </c>
      <c r="G400">
        <v>20749.14</v>
      </c>
      <c r="H400" s="5">
        <v>0</v>
      </c>
      <c r="I400" s="5">
        <v>0</v>
      </c>
      <c r="J400" s="5">
        <v>0</v>
      </c>
      <c r="K400"/>
      <c r="L400"/>
      <c r="M400"/>
      <c r="N400"/>
      <c r="O400"/>
    </row>
    <row r="401" spans="1:15" x14ac:dyDescent="0.35">
      <c r="A401" t="s">
        <v>55</v>
      </c>
      <c r="B401" t="s">
        <v>349</v>
      </c>
      <c r="C401" t="s">
        <v>350</v>
      </c>
      <c r="D401">
        <v>192934.32</v>
      </c>
      <c r="E401">
        <v>179556.19</v>
      </c>
      <c r="F401">
        <v>13378.13</v>
      </c>
      <c r="G401">
        <v>13378.13</v>
      </c>
      <c r="H401" s="5">
        <v>0</v>
      </c>
      <c r="I401" s="5">
        <v>0</v>
      </c>
      <c r="K401">
        <v>0</v>
      </c>
      <c r="L401">
        <v>0</v>
      </c>
      <c r="M401"/>
      <c r="N401"/>
      <c r="O401"/>
    </row>
    <row r="402" spans="1:15" x14ac:dyDescent="0.35">
      <c r="A402" t="s">
        <v>46</v>
      </c>
      <c r="B402" t="s">
        <v>3595</v>
      </c>
      <c r="C402" t="s">
        <v>3596</v>
      </c>
      <c r="D402">
        <v>120270.8</v>
      </c>
      <c r="E402">
        <v>120270.8</v>
      </c>
      <c r="F402">
        <v>0</v>
      </c>
      <c r="G402"/>
      <c r="H402" s="5">
        <v>0</v>
      </c>
      <c r="I402" s="5">
        <v>0</v>
      </c>
      <c r="K402"/>
      <c r="L402"/>
      <c r="M402"/>
      <c r="N402"/>
      <c r="O402"/>
    </row>
    <row r="403" spans="1:15" x14ac:dyDescent="0.35">
      <c r="A403" t="s">
        <v>36</v>
      </c>
      <c r="B403" t="s">
        <v>371</v>
      </c>
      <c r="C403" t="s">
        <v>372</v>
      </c>
      <c r="D403">
        <v>70.41</v>
      </c>
      <c r="E403"/>
      <c r="F403">
        <v>70.41</v>
      </c>
      <c r="G403">
        <v>70.41</v>
      </c>
      <c r="H403" s="5">
        <v>0</v>
      </c>
      <c r="I403" s="5">
        <v>0</v>
      </c>
      <c r="K403"/>
      <c r="L403"/>
      <c r="M403"/>
      <c r="N403"/>
      <c r="O403"/>
    </row>
    <row r="404" spans="1:15" x14ac:dyDescent="0.35">
      <c r="A404" t="s">
        <v>19</v>
      </c>
      <c r="B404" t="s">
        <v>935</v>
      </c>
      <c r="C404" t="s">
        <v>936</v>
      </c>
      <c r="D404">
        <v>437985.99</v>
      </c>
      <c r="E404">
        <v>169920</v>
      </c>
      <c r="F404">
        <v>268065.99</v>
      </c>
      <c r="G404">
        <v>268065.99</v>
      </c>
      <c r="H404" s="5">
        <v>0</v>
      </c>
      <c r="I404" s="5">
        <v>0</v>
      </c>
      <c r="K404"/>
      <c r="L404"/>
      <c r="M404"/>
      <c r="N404"/>
      <c r="O404"/>
    </row>
    <row r="405" spans="1:15" x14ac:dyDescent="0.35">
      <c r="A405" t="s">
        <v>36</v>
      </c>
      <c r="B405" t="s">
        <v>1105</v>
      </c>
      <c r="C405" t="s">
        <v>1106</v>
      </c>
      <c r="D405">
        <v>410.79000000000099</v>
      </c>
      <c r="E405"/>
      <c r="F405">
        <v>410.79000000000099</v>
      </c>
      <c r="G405">
        <v>410.79000000000099</v>
      </c>
      <c r="I405" s="5">
        <v>0</v>
      </c>
      <c r="K405"/>
      <c r="L405"/>
      <c r="M405"/>
      <c r="N405"/>
      <c r="O405"/>
    </row>
    <row r="406" spans="1:15" x14ac:dyDescent="0.35">
      <c r="A406" t="s">
        <v>16</v>
      </c>
      <c r="B406" t="s">
        <v>22</v>
      </c>
      <c r="C406" t="s">
        <v>23</v>
      </c>
      <c r="D406">
        <v>369116.16000000003</v>
      </c>
      <c r="E406">
        <v>351134.58</v>
      </c>
      <c r="F406">
        <v>17981.580000000002</v>
      </c>
      <c r="G406">
        <v>17981.580000000002</v>
      </c>
      <c r="H406" s="5">
        <v>0</v>
      </c>
      <c r="I406" s="5">
        <v>0</v>
      </c>
      <c r="J406" s="5">
        <v>0</v>
      </c>
      <c r="K406"/>
      <c r="L406"/>
      <c r="M406"/>
      <c r="N406"/>
      <c r="O406"/>
    </row>
    <row r="407" spans="1:15" x14ac:dyDescent="0.35">
      <c r="A407" t="s">
        <v>111</v>
      </c>
      <c r="B407" t="s">
        <v>401</v>
      </c>
      <c r="C407" t="s">
        <v>402</v>
      </c>
      <c r="D407">
        <v>174000.77000000002</v>
      </c>
      <c r="E407">
        <v>174000.77000000002</v>
      </c>
      <c r="F407">
        <v>0</v>
      </c>
      <c r="G407">
        <v>0</v>
      </c>
      <c r="H407" s="5">
        <v>0</v>
      </c>
      <c r="I407" s="5">
        <v>0</v>
      </c>
      <c r="J407" s="5">
        <v>0</v>
      </c>
      <c r="K407"/>
      <c r="L407"/>
      <c r="M407"/>
      <c r="N407"/>
      <c r="O407"/>
    </row>
    <row r="408" spans="1:15" x14ac:dyDescent="0.35">
      <c r="A408" t="s">
        <v>169</v>
      </c>
      <c r="B408" t="s">
        <v>1179</v>
      </c>
      <c r="C408" t="s">
        <v>1180</v>
      </c>
      <c r="D408">
        <v>245704.32000000001</v>
      </c>
      <c r="E408">
        <v>245704.32000000001</v>
      </c>
      <c r="F408">
        <v>0</v>
      </c>
      <c r="G408"/>
      <c r="I408" s="5">
        <v>0</v>
      </c>
      <c r="K408">
        <v>0</v>
      </c>
      <c r="L408"/>
      <c r="M408"/>
      <c r="N408"/>
      <c r="O408"/>
    </row>
    <row r="409" spans="1:15" x14ac:dyDescent="0.35">
      <c r="A409" t="s">
        <v>210</v>
      </c>
      <c r="B409" t="s">
        <v>415</v>
      </c>
      <c r="C409" t="s">
        <v>416</v>
      </c>
      <c r="D409">
        <v>49014.270000000004</v>
      </c>
      <c r="E409"/>
      <c r="F409">
        <v>49014.270000000004</v>
      </c>
      <c r="G409">
        <v>59</v>
      </c>
      <c r="H409" s="5">
        <v>48587.130000000005</v>
      </c>
      <c r="I409" s="5">
        <v>368.13999999999902</v>
      </c>
      <c r="K409">
        <v>0</v>
      </c>
      <c r="L409"/>
      <c r="M409"/>
      <c r="N409"/>
      <c r="O409"/>
    </row>
    <row r="410" spans="1:15" x14ac:dyDescent="0.35">
      <c r="A410" t="s">
        <v>41</v>
      </c>
      <c r="B410" t="s">
        <v>817</v>
      </c>
      <c r="C410" t="s">
        <v>818</v>
      </c>
      <c r="D410">
        <v>1437073.6</v>
      </c>
      <c r="E410">
        <v>294715.88</v>
      </c>
      <c r="F410">
        <v>1142357.72</v>
      </c>
      <c r="G410">
        <v>59</v>
      </c>
      <c r="H410" s="5">
        <v>1142298.72</v>
      </c>
      <c r="I410" s="5">
        <v>0</v>
      </c>
      <c r="J410" s="5">
        <v>0</v>
      </c>
      <c r="K410"/>
      <c r="L410"/>
      <c r="M410"/>
      <c r="N410"/>
      <c r="O410"/>
    </row>
    <row r="411" spans="1:15" x14ac:dyDescent="0.35">
      <c r="A411" t="s">
        <v>100</v>
      </c>
      <c r="B411" t="s">
        <v>875</v>
      </c>
      <c r="C411" t="s">
        <v>876</v>
      </c>
      <c r="D411">
        <v>222260.28</v>
      </c>
      <c r="E411">
        <v>158782.45000000001</v>
      </c>
      <c r="F411">
        <v>63477.83</v>
      </c>
      <c r="G411">
        <v>59</v>
      </c>
      <c r="H411" s="5">
        <v>63418.83</v>
      </c>
      <c r="I411" s="5">
        <v>0</v>
      </c>
      <c r="K411"/>
      <c r="L411"/>
      <c r="M411"/>
      <c r="N411"/>
      <c r="O411"/>
    </row>
    <row r="412" spans="1:15" x14ac:dyDescent="0.35">
      <c r="A412" t="s">
        <v>41</v>
      </c>
      <c r="B412" t="s">
        <v>745</v>
      </c>
      <c r="C412" t="s">
        <v>746</v>
      </c>
      <c r="D412">
        <v>348923.82</v>
      </c>
      <c r="E412">
        <v>245152.12</v>
      </c>
      <c r="F412">
        <v>103771.70000000001</v>
      </c>
      <c r="G412">
        <v>59</v>
      </c>
      <c r="H412" s="5">
        <v>103712.70000000001</v>
      </c>
      <c r="I412" s="5">
        <v>0</v>
      </c>
      <c r="J412" s="5">
        <v>0</v>
      </c>
      <c r="K412"/>
      <c r="L412"/>
      <c r="M412"/>
      <c r="N412"/>
      <c r="O412"/>
    </row>
    <row r="413" spans="1:15" x14ac:dyDescent="0.35">
      <c r="A413" t="s">
        <v>41</v>
      </c>
      <c r="B413" t="s">
        <v>397</v>
      </c>
      <c r="C413" t="s">
        <v>398</v>
      </c>
      <c r="D413">
        <v>154679.10999999999</v>
      </c>
      <c r="E413">
        <v>139144.97999999998</v>
      </c>
      <c r="F413">
        <v>15534.13</v>
      </c>
      <c r="G413">
        <v>59</v>
      </c>
      <c r="H413" s="5">
        <v>15475.13</v>
      </c>
      <c r="I413" s="5">
        <v>0</v>
      </c>
      <c r="J413" s="5">
        <v>0</v>
      </c>
      <c r="K413"/>
      <c r="L413"/>
      <c r="M413"/>
      <c r="N413"/>
      <c r="O413"/>
    </row>
    <row r="414" spans="1:15" x14ac:dyDescent="0.35">
      <c r="A414" t="s">
        <v>41</v>
      </c>
      <c r="B414" t="s">
        <v>1039</v>
      </c>
      <c r="C414" t="s">
        <v>1040</v>
      </c>
      <c r="D414">
        <v>290447.52</v>
      </c>
      <c r="E414">
        <v>290447.52</v>
      </c>
      <c r="F414">
        <v>0</v>
      </c>
      <c r="G414">
        <v>0</v>
      </c>
      <c r="H414" s="5">
        <v>0</v>
      </c>
      <c r="K414">
        <v>0</v>
      </c>
      <c r="L414"/>
      <c r="M414"/>
      <c r="N414"/>
      <c r="O414"/>
    </row>
    <row r="415" spans="1:15" x14ac:dyDescent="0.35">
      <c r="A415" t="s">
        <v>41</v>
      </c>
      <c r="B415" t="s">
        <v>819</v>
      </c>
      <c r="C415" t="s">
        <v>820</v>
      </c>
      <c r="D415">
        <v>365111.54</v>
      </c>
      <c r="E415">
        <v>43652.92</v>
      </c>
      <c r="F415">
        <v>321458.62</v>
      </c>
      <c r="G415">
        <v>59</v>
      </c>
      <c r="H415" s="5">
        <v>321399.62</v>
      </c>
      <c r="I415" s="5">
        <v>0</v>
      </c>
      <c r="J415" s="5">
        <v>0</v>
      </c>
      <c r="K415"/>
      <c r="L415"/>
      <c r="M415"/>
      <c r="N415"/>
      <c r="O415"/>
    </row>
    <row r="416" spans="1:15" x14ac:dyDescent="0.35">
      <c r="A416" t="s">
        <v>88</v>
      </c>
      <c r="B416" t="s">
        <v>219</v>
      </c>
      <c r="C416" t="s">
        <v>220</v>
      </c>
      <c r="D416">
        <v>240133.43</v>
      </c>
      <c r="E416"/>
      <c r="F416">
        <v>240133.43</v>
      </c>
      <c r="G416">
        <v>59</v>
      </c>
      <c r="H416" s="5">
        <v>238425.69</v>
      </c>
      <c r="I416" s="5">
        <v>1648.73999999999</v>
      </c>
      <c r="K416"/>
      <c r="L416"/>
      <c r="M416"/>
      <c r="N416"/>
      <c r="O416"/>
    </row>
    <row r="417" spans="1:15" x14ac:dyDescent="0.35">
      <c r="A417" t="s">
        <v>88</v>
      </c>
      <c r="B417" t="s">
        <v>215</v>
      </c>
      <c r="C417" t="s">
        <v>216</v>
      </c>
      <c r="D417">
        <v>634927.82999999996</v>
      </c>
      <c r="E417"/>
      <c r="F417">
        <v>634927.82999999996</v>
      </c>
      <c r="G417">
        <v>120194.8</v>
      </c>
      <c r="H417" s="5">
        <v>514733.03</v>
      </c>
      <c r="I417" s="5">
        <v>0</v>
      </c>
      <c r="J417" s="5">
        <v>0</v>
      </c>
      <c r="K417"/>
      <c r="L417"/>
      <c r="M417"/>
      <c r="N417"/>
      <c r="O417"/>
    </row>
    <row r="418" spans="1:15" x14ac:dyDescent="0.35">
      <c r="A418" t="s">
        <v>88</v>
      </c>
      <c r="B418" t="s">
        <v>302</v>
      </c>
      <c r="C418" t="s">
        <v>303</v>
      </c>
      <c r="D418">
        <v>126290.51000000001</v>
      </c>
      <c r="E418">
        <v>40305.279999999999</v>
      </c>
      <c r="F418">
        <v>85985.23</v>
      </c>
      <c r="G418">
        <v>59</v>
      </c>
      <c r="H418" s="5">
        <v>85926.23</v>
      </c>
      <c r="J418" s="5">
        <v>0</v>
      </c>
      <c r="K418">
        <v>0</v>
      </c>
      <c r="L418"/>
      <c r="M418"/>
      <c r="N418"/>
      <c r="O418"/>
    </row>
    <row r="419" spans="1:15" x14ac:dyDescent="0.35">
      <c r="A419" t="s">
        <v>88</v>
      </c>
      <c r="B419" t="s">
        <v>294</v>
      </c>
      <c r="C419" t="s">
        <v>295</v>
      </c>
      <c r="D419">
        <v>236137.00999999998</v>
      </c>
      <c r="E419">
        <v>54246.96</v>
      </c>
      <c r="F419">
        <v>181890.05</v>
      </c>
      <c r="G419">
        <v>59</v>
      </c>
      <c r="H419" s="5">
        <v>181831.05</v>
      </c>
      <c r="J419" s="5">
        <v>0</v>
      </c>
      <c r="K419">
        <v>0</v>
      </c>
      <c r="L419"/>
      <c r="M419"/>
      <c r="N419"/>
      <c r="O419"/>
    </row>
    <row r="420" spans="1:15" x14ac:dyDescent="0.35">
      <c r="A420" t="s">
        <v>36</v>
      </c>
      <c r="B420" t="s">
        <v>290</v>
      </c>
      <c r="C420" t="s">
        <v>291</v>
      </c>
      <c r="D420">
        <v>94822.13</v>
      </c>
      <c r="E420"/>
      <c r="F420">
        <v>94822.13</v>
      </c>
      <c r="G420">
        <v>94822.13</v>
      </c>
      <c r="H420" s="5">
        <v>0</v>
      </c>
      <c r="K420">
        <v>0</v>
      </c>
      <c r="L420"/>
      <c r="M420"/>
      <c r="N420"/>
      <c r="O420"/>
    </row>
    <row r="421" spans="1:15" x14ac:dyDescent="0.35">
      <c r="A421" t="s">
        <v>36</v>
      </c>
      <c r="B421" t="s">
        <v>320</v>
      </c>
      <c r="C421" t="s">
        <v>321</v>
      </c>
      <c r="D421">
        <v>149734.66</v>
      </c>
      <c r="E421">
        <v>149734.66</v>
      </c>
      <c r="F421">
        <v>0</v>
      </c>
      <c r="G421">
        <v>0</v>
      </c>
      <c r="H421" s="5">
        <v>0</v>
      </c>
      <c r="I421" s="5">
        <v>0</v>
      </c>
      <c r="J421" s="5">
        <v>0</v>
      </c>
      <c r="K421">
        <v>0</v>
      </c>
      <c r="L421"/>
      <c r="M421"/>
      <c r="N421"/>
      <c r="O421"/>
    </row>
    <row r="422" spans="1:15" x14ac:dyDescent="0.35">
      <c r="A422" t="s">
        <v>36</v>
      </c>
      <c r="B422" t="s">
        <v>324</v>
      </c>
      <c r="C422" t="s">
        <v>325</v>
      </c>
      <c r="D422">
        <v>139283.21</v>
      </c>
      <c r="E422">
        <v>121761.84</v>
      </c>
      <c r="F422">
        <v>17521.37</v>
      </c>
      <c r="G422">
        <v>59</v>
      </c>
      <c r="H422" s="5">
        <v>17462.37</v>
      </c>
      <c r="I422" s="5">
        <v>0</v>
      </c>
      <c r="K422"/>
      <c r="L422"/>
      <c r="M422"/>
      <c r="N422"/>
      <c r="O422"/>
    </row>
    <row r="423" spans="1:15" x14ac:dyDescent="0.35">
      <c r="A423" t="s">
        <v>169</v>
      </c>
      <c r="B423" t="s">
        <v>288</v>
      </c>
      <c r="C423" t="s">
        <v>289</v>
      </c>
      <c r="D423">
        <v>105044.62</v>
      </c>
      <c r="E423">
        <v>105044.62</v>
      </c>
      <c r="F423">
        <v>0</v>
      </c>
      <c r="G423">
        <v>0</v>
      </c>
      <c r="H423" s="5">
        <v>0</v>
      </c>
      <c r="I423" s="5">
        <v>0</v>
      </c>
      <c r="K423"/>
      <c r="L423"/>
      <c r="M423"/>
      <c r="N423"/>
      <c r="O423"/>
    </row>
    <row r="424" spans="1:15" x14ac:dyDescent="0.35">
      <c r="A424" t="s">
        <v>19</v>
      </c>
      <c r="B424" t="s">
        <v>445</v>
      </c>
      <c r="C424" t="s">
        <v>446</v>
      </c>
      <c r="D424">
        <v>191241.77000000002</v>
      </c>
      <c r="E424">
        <v>168612.74</v>
      </c>
      <c r="F424">
        <v>22629.03</v>
      </c>
      <c r="G424">
        <v>22629.03</v>
      </c>
      <c r="H424" s="5">
        <v>0</v>
      </c>
      <c r="I424" s="5">
        <v>0</v>
      </c>
      <c r="J424" s="5">
        <v>0</v>
      </c>
      <c r="K424"/>
      <c r="L424"/>
      <c r="M424"/>
      <c r="N424"/>
      <c r="O424"/>
    </row>
    <row r="425" spans="1:15" x14ac:dyDescent="0.35">
      <c r="A425" t="s">
        <v>210</v>
      </c>
      <c r="B425" t="s">
        <v>453</v>
      </c>
      <c r="C425" t="s">
        <v>454</v>
      </c>
      <c r="D425">
        <v>537173.63</v>
      </c>
      <c r="E425"/>
      <c r="F425">
        <v>537173.63</v>
      </c>
      <c r="G425">
        <v>59</v>
      </c>
      <c r="H425" s="5">
        <v>537114.63</v>
      </c>
      <c r="I425" s="5">
        <v>0</v>
      </c>
      <c r="J425" s="5">
        <v>0</v>
      </c>
      <c r="K425"/>
      <c r="L425"/>
      <c r="M425"/>
      <c r="N425"/>
      <c r="O425"/>
    </row>
    <row r="426" spans="1:15" x14ac:dyDescent="0.35">
      <c r="A426" t="s">
        <v>24</v>
      </c>
      <c r="B426" t="s">
        <v>655</v>
      </c>
      <c r="C426" t="s">
        <v>656</v>
      </c>
      <c r="D426">
        <v>484178.44000000006</v>
      </c>
      <c r="E426">
        <v>484178.44000000006</v>
      </c>
      <c r="F426">
        <v>0</v>
      </c>
      <c r="G426">
        <v>0</v>
      </c>
      <c r="H426" s="5">
        <v>0</v>
      </c>
      <c r="J426" s="5">
        <v>0</v>
      </c>
      <c r="K426"/>
      <c r="L426"/>
      <c r="M426"/>
      <c r="N426"/>
      <c r="O426"/>
    </row>
    <row r="427" spans="1:15" x14ac:dyDescent="0.35">
      <c r="A427" t="s">
        <v>30</v>
      </c>
      <c r="B427" t="s">
        <v>31</v>
      </c>
      <c r="C427" t="s">
        <v>32</v>
      </c>
      <c r="D427">
        <v>99411.94</v>
      </c>
      <c r="E427">
        <v>82005.66</v>
      </c>
      <c r="F427">
        <v>17406.28</v>
      </c>
      <c r="G427">
        <v>17406.28</v>
      </c>
      <c r="H427" s="5">
        <v>0</v>
      </c>
      <c r="J427" s="5">
        <v>0</v>
      </c>
      <c r="K427"/>
      <c r="L427"/>
      <c r="M427">
        <v>0</v>
      </c>
      <c r="N427"/>
      <c r="O427"/>
    </row>
    <row r="428" spans="1:15" x14ac:dyDescent="0.35">
      <c r="A428" t="s">
        <v>16</v>
      </c>
      <c r="B428" t="s">
        <v>3597</v>
      </c>
      <c r="C428" t="s">
        <v>3598</v>
      </c>
      <c r="D428">
        <v>10000</v>
      </c>
      <c r="E428"/>
      <c r="F428">
        <v>10000</v>
      </c>
      <c r="G428">
        <v>10000</v>
      </c>
      <c r="K428"/>
      <c r="L428"/>
      <c r="M428"/>
      <c r="N428"/>
      <c r="O428"/>
    </row>
    <row r="429" spans="1:15" x14ac:dyDescent="0.35">
      <c r="A429" t="s">
        <v>55</v>
      </c>
      <c r="B429" t="s">
        <v>3599</v>
      </c>
      <c r="C429" t="s">
        <v>3600</v>
      </c>
      <c r="D429">
        <v>574.88999999999896</v>
      </c>
      <c r="E429"/>
      <c r="F429">
        <v>574.88999999999896</v>
      </c>
      <c r="G429">
        <v>574.88999999999896</v>
      </c>
      <c r="H429" s="5">
        <v>0</v>
      </c>
      <c r="I429" s="5">
        <v>0</v>
      </c>
      <c r="K429"/>
      <c r="L429"/>
      <c r="M429"/>
      <c r="N429"/>
      <c r="O429"/>
    </row>
    <row r="430" spans="1:15" x14ac:dyDescent="0.35">
      <c r="A430" t="s">
        <v>169</v>
      </c>
      <c r="B430" t="s">
        <v>557</v>
      </c>
      <c r="C430" t="s">
        <v>558</v>
      </c>
      <c r="D430">
        <v>106840.85</v>
      </c>
      <c r="E430"/>
      <c r="F430">
        <v>106840.85</v>
      </c>
      <c r="G430">
        <v>19708.14</v>
      </c>
      <c r="H430" s="5">
        <v>25143.52</v>
      </c>
      <c r="I430" s="5">
        <v>17311.55</v>
      </c>
      <c r="J430" s="5">
        <v>16476.38</v>
      </c>
      <c r="K430"/>
      <c r="L430">
        <v>24545.63</v>
      </c>
      <c r="M430"/>
      <c r="N430">
        <v>3655.63</v>
      </c>
      <c r="O430"/>
    </row>
    <row r="431" spans="1:15" x14ac:dyDescent="0.35">
      <c r="A431" t="s">
        <v>169</v>
      </c>
      <c r="B431" t="s">
        <v>3601</v>
      </c>
      <c r="C431" t="s">
        <v>3602</v>
      </c>
      <c r="D431">
        <v>33645.81</v>
      </c>
      <c r="E431">
        <v>33645.81</v>
      </c>
      <c r="F431">
        <v>0</v>
      </c>
      <c r="G431">
        <v>0</v>
      </c>
      <c r="I431" s="5">
        <v>0</v>
      </c>
      <c r="K431"/>
      <c r="L431"/>
      <c r="M431"/>
      <c r="N431"/>
      <c r="O431"/>
    </row>
    <row r="432" spans="1:15" x14ac:dyDescent="0.35">
      <c r="A432" t="s">
        <v>55</v>
      </c>
      <c r="B432" t="s">
        <v>905</v>
      </c>
      <c r="C432" t="s">
        <v>906</v>
      </c>
      <c r="D432">
        <v>20093.04</v>
      </c>
      <c r="E432">
        <v>20093.04</v>
      </c>
      <c r="F432">
        <v>0</v>
      </c>
      <c r="G432">
        <v>0</v>
      </c>
      <c r="H432" s="5">
        <v>0</v>
      </c>
      <c r="I432" s="5">
        <v>0</v>
      </c>
      <c r="K432"/>
      <c r="L432"/>
      <c r="M432"/>
      <c r="N432"/>
      <c r="O432"/>
    </row>
    <row r="433" spans="1:15" x14ac:dyDescent="0.35">
      <c r="A433" t="s">
        <v>55</v>
      </c>
      <c r="B433" t="s">
        <v>192</v>
      </c>
      <c r="C433" t="s">
        <v>193</v>
      </c>
      <c r="D433">
        <v>229854.68</v>
      </c>
      <c r="E433">
        <v>229854.68</v>
      </c>
      <c r="F433">
        <v>0</v>
      </c>
      <c r="G433"/>
      <c r="H433" s="5">
        <v>0</v>
      </c>
      <c r="I433" s="5">
        <v>0</v>
      </c>
      <c r="K433"/>
      <c r="L433"/>
      <c r="M433"/>
      <c r="N433"/>
      <c r="O433"/>
    </row>
    <row r="434" spans="1:15" x14ac:dyDescent="0.35">
      <c r="A434" t="s">
        <v>55</v>
      </c>
      <c r="B434" t="s">
        <v>907</v>
      </c>
      <c r="C434" t="s">
        <v>908</v>
      </c>
      <c r="D434">
        <v>257410.4</v>
      </c>
      <c r="E434">
        <v>257410.4</v>
      </c>
      <c r="F434">
        <v>0</v>
      </c>
      <c r="G434"/>
      <c r="H434" s="5">
        <v>0</v>
      </c>
      <c r="I434" s="5">
        <v>0</v>
      </c>
      <c r="K434"/>
      <c r="L434"/>
      <c r="M434"/>
      <c r="N434"/>
      <c r="O434"/>
    </row>
    <row r="435" spans="1:15" x14ac:dyDescent="0.35">
      <c r="A435" t="s">
        <v>275</v>
      </c>
      <c r="B435" t="s">
        <v>3100</v>
      </c>
      <c r="C435" t="s">
        <v>3101</v>
      </c>
      <c r="D435">
        <v>576243.56000000006</v>
      </c>
      <c r="E435">
        <v>576243.56000000006</v>
      </c>
      <c r="F435">
        <v>0</v>
      </c>
      <c r="G435"/>
      <c r="H435" s="5">
        <v>0</v>
      </c>
      <c r="I435" s="5">
        <v>0</v>
      </c>
      <c r="K435"/>
      <c r="L435"/>
      <c r="M435"/>
      <c r="N435"/>
      <c r="O435"/>
    </row>
    <row r="436" spans="1:15" x14ac:dyDescent="0.35">
      <c r="A436" t="s">
        <v>111</v>
      </c>
      <c r="B436" t="s">
        <v>3603</v>
      </c>
      <c r="C436" t="s">
        <v>3604</v>
      </c>
      <c r="D436">
        <v>293618.01</v>
      </c>
      <c r="E436">
        <v>251498.2</v>
      </c>
      <c r="F436">
        <v>42119.81</v>
      </c>
      <c r="G436"/>
      <c r="H436" s="5">
        <v>42119.81</v>
      </c>
      <c r="I436" s="5">
        <v>0</v>
      </c>
      <c r="J436" s="5">
        <v>0</v>
      </c>
      <c r="K436"/>
      <c r="L436"/>
      <c r="M436"/>
      <c r="N436"/>
      <c r="O436"/>
    </row>
    <row r="437" spans="1:15" x14ac:dyDescent="0.35">
      <c r="A437" t="s">
        <v>88</v>
      </c>
      <c r="B437" t="s">
        <v>551</v>
      </c>
      <c r="C437" t="s">
        <v>552</v>
      </c>
      <c r="D437">
        <v>1973.79</v>
      </c>
      <c r="E437"/>
      <c r="F437">
        <v>1973.79</v>
      </c>
      <c r="G437">
        <v>1973.79</v>
      </c>
      <c r="H437" s="5">
        <v>0</v>
      </c>
      <c r="I437" s="5">
        <v>0</v>
      </c>
      <c r="J437" s="5">
        <v>0</v>
      </c>
      <c r="K437"/>
      <c r="L437"/>
      <c r="M437"/>
      <c r="N437"/>
      <c r="O437"/>
    </row>
    <row r="438" spans="1:15" x14ac:dyDescent="0.35">
      <c r="A438" t="s">
        <v>100</v>
      </c>
      <c r="B438" t="s">
        <v>995</v>
      </c>
      <c r="C438" t="s">
        <v>996</v>
      </c>
      <c r="D438">
        <v>3320.1700000000101</v>
      </c>
      <c r="E438"/>
      <c r="F438">
        <v>3320.1700000000101</v>
      </c>
      <c r="G438">
        <v>3320.1700000000101</v>
      </c>
      <c r="I438" s="5">
        <v>0</v>
      </c>
      <c r="K438"/>
      <c r="L438"/>
      <c r="M438"/>
      <c r="N438"/>
      <c r="O438"/>
    </row>
    <row r="439" spans="1:15" x14ac:dyDescent="0.35">
      <c r="A439" t="s">
        <v>93</v>
      </c>
      <c r="B439" t="s">
        <v>1023</v>
      </c>
      <c r="C439" t="s">
        <v>1024</v>
      </c>
      <c r="D439">
        <v>1972689.4599999997</v>
      </c>
      <c r="E439">
        <v>1566417.15</v>
      </c>
      <c r="F439">
        <v>406272.31</v>
      </c>
      <c r="G439">
        <v>406272.31</v>
      </c>
      <c r="H439" s="5">
        <v>0</v>
      </c>
      <c r="I439" s="5">
        <v>0</v>
      </c>
      <c r="K439"/>
      <c r="L439"/>
      <c r="M439"/>
      <c r="N439"/>
      <c r="O439"/>
    </row>
    <row r="440" spans="1:15" x14ac:dyDescent="0.35">
      <c r="A440" t="s">
        <v>100</v>
      </c>
      <c r="B440" t="s">
        <v>1001</v>
      </c>
      <c r="C440" t="s">
        <v>1002</v>
      </c>
      <c r="D440">
        <v>665804.38</v>
      </c>
      <c r="E440">
        <v>665804.38</v>
      </c>
      <c r="F440">
        <v>0</v>
      </c>
      <c r="G440"/>
      <c r="H440" s="5">
        <v>0</v>
      </c>
      <c r="I440" s="5">
        <v>0</v>
      </c>
      <c r="J440" s="5">
        <v>0</v>
      </c>
      <c r="K440"/>
      <c r="L440"/>
      <c r="M440"/>
      <c r="N440"/>
      <c r="O440"/>
    </row>
    <row r="441" spans="1:15" x14ac:dyDescent="0.35">
      <c r="A441" t="s">
        <v>33</v>
      </c>
      <c r="B441" t="s">
        <v>3605</v>
      </c>
      <c r="C441" t="s">
        <v>3606</v>
      </c>
      <c r="D441">
        <v>13911.72</v>
      </c>
      <c r="E441">
        <v>13911.72</v>
      </c>
      <c r="F441">
        <v>0</v>
      </c>
      <c r="G441"/>
      <c r="H441" s="5">
        <v>0</v>
      </c>
      <c r="I441" s="5">
        <v>0</v>
      </c>
      <c r="J441" s="5">
        <v>0</v>
      </c>
      <c r="K441"/>
      <c r="L441"/>
      <c r="M441"/>
      <c r="N441"/>
      <c r="O441"/>
    </row>
    <row r="442" spans="1:15" x14ac:dyDescent="0.35">
      <c r="A442" t="s">
        <v>41</v>
      </c>
      <c r="B442" t="s">
        <v>265</v>
      </c>
      <c r="C442" t="s">
        <v>266</v>
      </c>
      <c r="D442">
        <v>253393.2</v>
      </c>
      <c r="E442">
        <v>253393.2</v>
      </c>
      <c r="F442">
        <v>0</v>
      </c>
      <c r="G442"/>
      <c r="H442" s="5">
        <v>0</v>
      </c>
      <c r="I442" s="5">
        <v>0</v>
      </c>
      <c r="K442"/>
      <c r="L442"/>
      <c r="M442"/>
      <c r="N442"/>
      <c r="O442"/>
    </row>
    <row r="443" spans="1:15" x14ac:dyDescent="0.35">
      <c r="A443" t="s">
        <v>41</v>
      </c>
      <c r="B443" t="s">
        <v>3607</v>
      </c>
      <c r="C443" t="s">
        <v>3608</v>
      </c>
      <c r="D443">
        <v>157714.08000000002</v>
      </c>
      <c r="E443">
        <v>157714.08000000002</v>
      </c>
      <c r="F443">
        <v>0</v>
      </c>
      <c r="G443"/>
      <c r="H443" s="5">
        <v>0</v>
      </c>
      <c r="I443" s="5">
        <v>0</v>
      </c>
      <c r="K443"/>
      <c r="L443"/>
      <c r="M443"/>
      <c r="N443"/>
      <c r="O443"/>
    </row>
    <row r="444" spans="1:15" x14ac:dyDescent="0.35">
      <c r="A444" t="s">
        <v>30</v>
      </c>
      <c r="B444" t="s">
        <v>505</v>
      </c>
      <c r="C444" t="s">
        <v>506</v>
      </c>
      <c r="D444">
        <v>218730.86999999997</v>
      </c>
      <c r="E444">
        <v>209189.03999999998</v>
      </c>
      <c r="F444">
        <v>9541.83</v>
      </c>
      <c r="G444">
        <v>9541.83</v>
      </c>
      <c r="H444" s="5">
        <v>0</v>
      </c>
      <c r="I444" s="5">
        <v>0</v>
      </c>
      <c r="J444" s="5">
        <v>0</v>
      </c>
      <c r="K444"/>
      <c r="L444"/>
      <c r="M444"/>
      <c r="N444"/>
      <c r="O444"/>
    </row>
    <row r="445" spans="1:15" x14ac:dyDescent="0.35">
      <c r="A445" t="s">
        <v>24</v>
      </c>
      <c r="B445" t="s">
        <v>709</v>
      </c>
      <c r="C445" t="s">
        <v>710</v>
      </c>
      <c r="D445">
        <v>199314.27</v>
      </c>
      <c r="E445">
        <v>199314.27</v>
      </c>
      <c r="F445">
        <v>0</v>
      </c>
      <c r="G445">
        <v>0</v>
      </c>
      <c r="H445" s="5">
        <v>0</v>
      </c>
      <c r="K445"/>
      <c r="L445"/>
      <c r="M445"/>
      <c r="N445"/>
      <c r="O445"/>
    </row>
    <row r="446" spans="1:15" x14ac:dyDescent="0.35">
      <c r="A446" t="s">
        <v>111</v>
      </c>
      <c r="B446" t="s">
        <v>409</v>
      </c>
      <c r="C446" t="s">
        <v>410</v>
      </c>
      <c r="D446">
        <v>823.51999999998998</v>
      </c>
      <c r="E446"/>
      <c r="F446">
        <v>823.51999999998998</v>
      </c>
      <c r="G446">
        <v>823.51999999998998</v>
      </c>
      <c r="H446" s="5">
        <v>0</v>
      </c>
      <c r="I446" s="5">
        <v>0</v>
      </c>
      <c r="K446"/>
      <c r="L446"/>
      <c r="M446"/>
      <c r="N446"/>
      <c r="O446"/>
    </row>
    <row r="447" spans="1:15" x14ac:dyDescent="0.35">
      <c r="A447" t="s">
        <v>19</v>
      </c>
      <c r="B447" t="s">
        <v>549</v>
      </c>
      <c r="C447" t="s">
        <v>550</v>
      </c>
      <c r="D447">
        <v>71.570000000006999</v>
      </c>
      <c r="E447"/>
      <c r="F447">
        <v>71.570000000006999</v>
      </c>
      <c r="G447">
        <v>71.570000000006999</v>
      </c>
      <c r="H447" s="5">
        <v>0</v>
      </c>
      <c r="I447" s="5">
        <v>0</v>
      </c>
      <c r="K447"/>
      <c r="L447"/>
      <c r="M447"/>
      <c r="N447"/>
      <c r="O447"/>
    </row>
    <row r="448" spans="1:15" x14ac:dyDescent="0.35">
      <c r="A448" t="s">
        <v>27</v>
      </c>
      <c r="B448" t="s">
        <v>148</v>
      </c>
      <c r="C448" t="s">
        <v>149</v>
      </c>
      <c r="D448">
        <v>206098.60000000003</v>
      </c>
      <c r="E448">
        <v>206098.60000000003</v>
      </c>
      <c r="F448">
        <v>0</v>
      </c>
      <c r="G448">
        <v>0</v>
      </c>
      <c r="H448" s="5">
        <v>0</v>
      </c>
      <c r="I448" s="5">
        <v>0</v>
      </c>
      <c r="J448" s="5">
        <v>0</v>
      </c>
      <c r="K448"/>
      <c r="L448"/>
      <c r="M448"/>
      <c r="N448"/>
      <c r="O448"/>
    </row>
    <row r="449" spans="1:15" x14ac:dyDescent="0.35">
      <c r="A449" t="s">
        <v>16</v>
      </c>
      <c r="B449" t="s">
        <v>162</v>
      </c>
      <c r="C449" t="s">
        <v>163</v>
      </c>
      <c r="D449">
        <v>277977.48</v>
      </c>
      <c r="E449">
        <v>277977.48</v>
      </c>
      <c r="F449">
        <v>0</v>
      </c>
      <c r="G449"/>
      <c r="H449" s="5">
        <v>0</v>
      </c>
      <c r="I449" s="5">
        <v>0</v>
      </c>
      <c r="K449"/>
      <c r="L449"/>
      <c r="M449"/>
      <c r="N449"/>
      <c r="O449"/>
    </row>
    <row r="450" spans="1:15" x14ac:dyDescent="0.35">
      <c r="A450" t="s">
        <v>27</v>
      </c>
      <c r="B450" t="s">
        <v>599</v>
      </c>
      <c r="C450" t="s">
        <v>600</v>
      </c>
      <c r="D450">
        <v>29880.019999999997</v>
      </c>
      <c r="E450">
        <v>24390.12</v>
      </c>
      <c r="F450">
        <v>5489.9</v>
      </c>
      <c r="G450">
        <v>5489.9</v>
      </c>
      <c r="H450" s="5">
        <v>0</v>
      </c>
      <c r="I450" s="5">
        <v>0</v>
      </c>
      <c r="K450"/>
      <c r="L450"/>
      <c r="M450"/>
      <c r="N450"/>
      <c r="O450"/>
    </row>
    <row r="451" spans="1:15" x14ac:dyDescent="0.35">
      <c r="A451" t="s">
        <v>55</v>
      </c>
      <c r="B451" t="s">
        <v>235</v>
      </c>
      <c r="C451" t="s">
        <v>236</v>
      </c>
      <c r="D451">
        <v>274376.42000000004</v>
      </c>
      <c r="E451">
        <v>263605.16000000003</v>
      </c>
      <c r="F451">
        <v>10771.26</v>
      </c>
      <c r="G451">
        <v>10771.26</v>
      </c>
      <c r="H451" s="5">
        <v>0</v>
      </c>
      <c r="I451" s="5">
        <v>0</v>
      </c>
      <c r="K451"/>
      <c r="L451"/>
      <c r="M451"/>
      <c r="N451"/>
      <c r="O451"/>
    </row>
    <row r="452" spans="1:15" x14ac:dyDescent="0.35">
      <c r="A452" t="s">
        <v>88</v>
      </c>
      <c r="B452" t="s">
        <v>126</v>
      </c>
      <c r="C452" t="s">
        <v>127</v>
      </c>
      <c r="D452">
        <v>139.67999999999901</v>
      </c>
      <c r="E452"/>
      <c r="F452">
        <v>139.67999999999901</v>
      </c>
      <c r="G452">
        <v>139.67999999999901</v>
      </c>
      <c r="H452" s="5">
        <v>0</v>
      </c>
      <c r="I452" s="5">
        <v>0</v>
      </c>
      <c r="K452"/>
      <c r="L452"/>
      <c r="M452"/>
      <c r="N452"/>
      <c r="O452"/>
    </row>
    <row r="453" spans="1:15" x14ac:dyDescent="0.35">
      <c r="A453" t="s">
        <v>93</v>
      </c>
      <c r="B453" t="s">
        <v>3609</v>
      </c>
      <c r="C453" t="s">
        <v>3610</v>
      </c>
      <c r="D453">
        <v>124437.23</v>
      </c>
      <c r="E453">
        <v>124437.23</v>
      </c>
      <c r="F453">
        <v>0</v>
      </c>
      <c r="G453"/>
      <c r="H453" s="5">
        <v>0</v>
      </c>
      <c r="I453" s="5">
        <v>0</v>
      </c>
      <c r="J453" s="5">
        <v>0</v>
      </c>
      <c r="K453">
        <v>0</v>
      </c>
      <c r="L453">
        <v>0</v>
      </c>
      <c r="M453">
        <v>0</v>
      </c>
      <c r="N453"/>
      <c r="O453"/>
    </row>
    <row r="454" spans="1:15" x14ac:dyDescent="0.35">
      <c r="A454" t="s">
        <v>19</v>
      </c>
      <c r="B454" t="s">
        <v>249</v>
      </c>
      <c r="C454" t="s">
        <v>250</v>
      </c>
      <c r="D454">
        <v>561911.24</v>
      </c>
      <c r="E454">
        <v>561911.24</v>
      </c>
      <c r="F454">
        <v>0</v>
      </c>
      <c r="G454">
        <v>0</v>
      </c>
      <c r="H454" s="5">
        <v>0</v>
      </c>
      <c r="I454" s="5">
        <v>0</v>
      </c>
      <c r="J454" s="5">
        <v>0</v>
      </c>
      <c r="K454"/>
      <c r="L454"/>
      <c r="M454"/>
      <c r="N454"/>
      <c r="O454"/>
    </row>
    <row r="455" spans="1:15" x14ac:dyDescent="0.35">
      <c r="A455" t="s">
        <v>33</v>
      </c>
      <c r="B455" t="s">
        <v>105</v>
      </c>
      <c r="C455" t="s">
        <v>106</v>
      </c>
      <c r="D455">
        <v>1572738.12</v>
      </c>
      <c r="E455">
        <v>1572738.12</v>
      </c>
      <c r="F455">
        <v>0</v>
      </c>
      <c r="G455"/>
      <c r="I455" s="5">
        <v>0</v>
      </c>
      <c r="J455" s="5">
        <v>0</v>
      </c>
      <c r="K455"/>
      <c r="L455"/>
      <c r="M455"/>
      <c r="N455">
        <v>0</v>
      </c>
      <c r="O455"/>
    </row>
    <row r="456" spans="1:15" x14ac:dyDescent="0.35">
      <c r="A456" t="s">
        <v>36</v>
      </c>
      <c r="B456" t="s">
        <v>899</v>
      </c>
      <c r="C456" t="s">
        <v>900</v>
      </c>
      <c r="D456">
        <v>3070</v>
      </c>
      <c r="E456">
        <v>3070</v>
      </c>
      <c r="F456">
        <v>0</v>
      </c>
      <c r="G456">
        <v>0</v>
      </c>
      <c r="I456" s="5">
        <v>0</v>
      </c>
      <c r="K456"/>
      <c r="L456"/>
      <c r="M456"/>
      <c r="N456"/>
      <c r="O456"/>
    </row>
    <row r="457" spans="1:15" x14ac:dyDescent="0.35">
      <c r="A457" t="s">
        <v>46</v>
      </c>
      <c r="B457" t="s">
        <v>3611</v>
      </c>
      <c r="C457" t="s">
        <v>3612</v>
      </c>
      <c r="D457">
        <v>221583.62</v>
      </c>
      <c r="E457">
        <v>221583.62</v>
      </c>
      <c r="F457">
        <v>0</v>
      </c>
      <c r="G457"/>
      <c r="H457" s="5">
        <v>0</v>
      </c>
      <c r="I457" s="5">
        <v>0</v>
      </c>
      <c r="K457"/>
      <c r="L457"/>
      <c r="M457"/>
      <c r="N457"/>
      <c r="O457"/>
    </row>
    <row r="458" spans="1:15" x14ac:dyDescent="0.35">
      <c r="A458" t="s">
        <v>169</v>
      </c>
      <c r="B458" t="s">
        <v>3613</v>
      </c>
      <c r="C458" t="s">
        <v>3614</v>
      </c>
      <c r="D458">
        <v>150534.96</v>
      </c>
      <c r="E458">
        <v>150534.96</v>
      </c>
      <c r="F458">
        <v>0</v>
      </c>
      <c r="G458"/>
      <c r="H458" s="5">
        <v>0</v>
      </c>
      <c r="K458"/>
      <c r="L458"/>
      <c r="M458"/>
      <c r="N458"/>
      <c r="O458"/>
    </row>
    <row r="459" spans="1:15" x14ac:dyDescent="0.35">
      <c r="A459" t="s">
        <v>30</v>
      </c>
      <c r="B459" t="s">
        <v>70</v>
      </c>
      <c r="C459" t="s">
        <v>71</v>
      </c>
      <c r="D459">
        <v>411129.14999999997</v>
      </c>
      <c r="E459">
        <v>348642.1</v>
      </c>
      <c r="F459">
        <v>62487.05</v>
      </c>
      <c r="G459">
        <v>62487.05</v>
      </c>
      <c r="H459" s="5">
        <v>0</v>
      </c>
      <c r="I459" s="5">
        <v>0</v>
      </c>
      <c r="J459" s="5">
        <v>0</v>
      </c>
      <c r="K459"/>
      <c r="L459"/>
      <c r="M459"/>
      <c r="N459"/>
      <c r="O459"/>
    </row>
    <row r="460" spans="1:15" x14ac:dyDescent="0.35">
      <c r="A460" t="s">
        <v>19</v>
      </c>
      <c r="B460" t="s">
        <v>537</v>
      </c>
      <c r="C460" t="s">
        <v>538</v>
      </c>
      <c r="D460">
        <v>365805.02</v>
      </c>
      <c r="E460">
        <v>365805.02</v>
      </c>
      <c r="F460">
        <v>0</v>
      </c>
      <c r="G460"/>
      <c r="H460" s="5">
        <v>0</v>
      </c>
      <c r="I460" s="5">
        <v>0</v>
      </c>
      <c r="J460" s="5">
        <v>0</v>
      </c>
      <c r="K460"/>
      <c r="L460"/>
      <c r="M460"/>
      <c r="N460"/>
      <c r="O460"/>
    </row>
    <row r="461" spans="1:15" x14ac:dyDescent="0.35">
      <c r="A461" t="s">
        <v>210</v>
      </c>
      <c r="B461" t="s">
        <v>863</v>
      </c>
      <c r="C461" t="s">
        <v>864</v>
      </c>
      <c r="D461">
        <v>152860.74</v>
      </c>
      <c r="E461">
        <v>152860.74</v>
      </c>
      <c r="F461">
        <v>0</v>
      </c>
      <c r="G461">
        <v>0</v>
      </c>
      <c r="H461" s="5">
        <v>0</v>
      </c>
      <c r="I461" s="5">
        <v>0</v>
      </c>
      <c r="J461" s="5">
        <v>0</v>
      </c>
      <c r="K461"/>
      <c r="L461"/>
      <c r="M461"/>
      <c r="N461"/>
      <c r="O461"/>
    </row>
    <row r="462" spans="1:15" x14ac:dyDescent="0.35">
      <c r="A462" t="s">
        <v>46</v>
      </c>
      <c r="B462" t="s">
        <v>84</v>
      </c>
      <c r="C462" t="s">
        <v>85</v>
      </c>
      <c r="D462">
        <v>544795.76</v>
      </c>
      <c r="E462">
        <v>544795.76</v>
      </c>
      <c r="F462">
        <v>0</v>
      </c>
      <c r="G462"/>
      <c r="H462" s="5">
        <v>0</v>
      </c>
      <c r="I462" s="5">
        <v>0</v>
      </c>
      <c r="J462" s="5">
        <v>0</v>
      </c>
      <c r="K462"/>
      <c r="L462"/>
      <c r="M462"/>
      <c r="N462"/>
      <c r="O462"/>
    </row>
    <row r="463" spans="1:15" x14ac:dyDescent="0.35">
      <c r="A463" t="s">
        <v>24</v>
      </c>
      <c r="B463" t="s">
        <v>3615</v>
      </c>
      <c r="C463" t="s">
        <v>3616</v>
      </c>
      <c r="D463">
        <v>48495.58</v>
      </c>
      <c r="E463">
        <v>48495.58</v>
      </c>
      <c r="F463">
        <v>0</v>
      </c>
      <c r="G463"/>
      <c r="H463" s="5">
        <v>0</v>
      </c>
      <c r="I463" s="5">
        <v>0</v>
      </c>
      <c r="J463" s="5">
        <v>0</v>
      </c>
      <c r="K463"/>
      <c r="L463"/>
      <c r="M463"/>
      <c r="N463"/>
      <c r="O463"/>
    </row>
    <row r="464" spans="1:15" x14ac:dyDescent="0.35">
      <c r="A464" t="s">
        <v>93</v>
      </c>
      <c r="B464" t="s">
        <v>477</v>
      </c>
      <c r="C464" t="s">
        <v>478</v>
      </c>
      <c r="D464">
        <v>410663.95</v>
      </c>
      <c r="E464">
        <v>391406.38</v>
      </c>
      <c r="F464">
        <v>19257.57</v>
      </c>
      <c r="G464">
        <v>19257.57</v>
      </c>
      <c r="H464" s="5">
        <v>0</v>
      </c>
      <c r="I464" s="5">
        <v>0</v>
      </c>
      <c r="K464"/>
      <c r="L464"/>
      <c r="M464"/>
      <c r="N464"/>
      <c r="O464"/>
    </row>
    <row r="465" spans="1:15" x14ac:dyDescent="0.35">
      <c r="A465" t="s">
        <v>16</v>
      </c>
      <c r="B465" t="s">
        <v>136</v>
      </c>
      <c r="C465" t="s">
        <v>137</v>
      </c>
      <c r="D465">
        <v>1121628.99</v>
      </c>
      <c r="E465">
        <v>1121628.99</v>
      </c>
      <c r="F465">
        <v>0</v>
      </c>
      <c r="G465">
        <v>0</v>
      </c>
      <c r="H465" s="5">
        <v>0</v>
      </c>
      <c r="I465" s="5">
        <v>0</v>
      </c>
      <c r="K465">
        <v>0</v>
      </c>
      <c r="L465"/>
      <c r="M465"/>
      <c r="N465"/>
      <c r="O465"/>
    </row>
    <row r="466" spans="1:15" x14ac:dyDescent="0.35">
      <c r="A466" t="s">
        <v>36</v>
      </c>
      <c r="B466" t="s">
        <v>3617</v>
      </c>
      <c r="C466" t="s">
        <v>3618</v>
      </c>
      <c r="D466">
        <v>62414.240000000005</v>
      </c>
      <c r="E466">
        <v>62414.240000000005</v>
      </c>
      <c r="F466">
        <v>0</v>
      </c>
      <c r="G466">
        <v>0</v>
      </c>
      <c r="I466" s="5">
        <v>0</v>
      </c>
      <c r="J466" s="5">
        <v>0</v>
      </c>
      <c r="K466"/>
      <c r="L466"/>
      <c r="M466"/>
      <c r="N466"/>
      <c r="O466"/>
    </row>
    <row r="467" spans="1:15" x14ac:dyDescent="0.35">
      <c r="A467" t="s">
        <v>30</v>
      </c>
      <c r="B467" t="s">
        <v>577</v>
      </c>
      <c r="C467" t="s">
        <v>578</v>
      </c>
      <c r="D467">
        <v>46600.55</v>
      </c>
      <c r="E467"/>
      <c r="F467">
        <v>46600.55</v>
      </c>
      <c r="G467">
        <v>46600.55</v>
      </c>
      <c r="H467" s="5">
        <v>0</v>
      </c>
      <c r="I467" s="5">
        <v>0</v>
      </c>
      <c r="K467"/>
      <c r="L467"/>
      <c r="M467"/>
      <c r="N467"/>
      <c r="O467"/>
    </row>
    <row r="468" spans="1:15" x14ac:dyDescent="0.35">
      <c r="A468" t="s">
        <v>36</v>
      </c>
      <c r="B468" t="s">
        <v>653</v>
      </c>
      <c r="C468" t="s">
        <v>654</v>
      </c>
      <c r="D468">
        <v>342549.82999999996</v>
      </c>
      <c r="E468">
        <v>342549.82999999996</v>
      </c>
      <c r="F468">
        <v>0</v>
      </c>
      <c r="G468">
        <v>0</v>
      </c>
      <c r="H468" s="5">
        <v>0</v>
      </c>
      <c r="I468" s="5">
        <v>0</v>
      </c>
      <c r="K468"/>
      <c r="L468"/>
      <c r="M468"/>
      <c r="N468"/>
      <c r="O468"/>
    </row>
    <row r="469" spans="1:15" x14ac:dyDescent="0.35">
      <c r="A469" t="s">
        <v>19</v>
      </c>
      <c r="B469" t="s">
        <v>3619</v>
      </c>
      <c r="C469" t="s">
        <v>3620</v>
      </c>
      <c r="D469">
        <v>139828.06</v>
      </c>
      <c r="E469">
        <v>139828.06</v>
      </c>
      <c r="F469">
        <v>0</v>
      </c>
      <c r="G469"/>
      <c r="H469" s="5">
        <v>0</v>
      </c>
      <c r="I469" s="5">
        <v>0</v>
      </c>
      <c r="K469"/>
      <c r="L469"/>
      <c r="M469"/>
      <c r="N469"/>
      <c r="O469"/>
    </row>
    <row r="470" spans="1:15" x14ac:dyDescent="0.35">
      <c r="A470" t="s">
        <v>27</v>
      </c>
      <c r="B470" t="s">
        <v>3621</v>
      </c>
      <c r="C470" t="s">
        <v>3622</v>
      </c>
      <c r="D470">
        <v>40780.800000000003</v>
      </c>
      <c r="E470">
        <v>40780.800000000003</v>
      </c>
      <c r="F470"/>
      <c r="G470"/>
      <c r="K470"/>
      <c r="L470"/>
      <c r="M470"/>
      <c r="N470"/>
      <c r="O470"/>
    </row>
    <row r="471" spans="1:15" x14ac:dyDescent="0.35">
      <c r="A471" t="s">
        <v>36</v>
      </c>
      <c r="B471" t="s">
        <v>591</v>
      </c>
      <c r="C471" t="s">
        <v>592</v>
      </c>
      <c r="D471">
        <v>281458.14</v>
      </c>
      <c r="E471">
        <v>281458.14</v>
      </c>
      <c r="F471">
        <v>0</v>
      </c>
      <c r="G471">
        <v>0</v>
      </c>
      <c r="H471" s="5">
        <v>0</v>
      </c>
      <c r="I471" s="5">
        <v>0</v>
      </c>
      <c r="K471"/>
      <c r="L471"/>
      <c r="M471"/>
      <c r="N471"/>
      <c r="O471"/>
    </row>
    <row r="472" spans="1:15" x14ac:dyDescent="0.35">
      <c r="A472" t="s">
        <v>55</v>
      </c>
      <c r="B472" t="s">
        <v>167</v>
      </c>
      <c r="C472" t="s">
        <v>168</v>
      </c>
      <c r="D472">
        <v>1417870.54</v>
      </c>
      <c r="E472">
        <v>1417870.54</v>
      </c>
      <c r="F472">
        <v>0</v>
      </c>
      <c r="G472"/>
      <c r="H472" s="5">
        <v>0</v>
      </c>
      <c r="I472" s="5">
        <v>0</v>
      </c>
      <c r="J472" s="5">
        <v>0</v>
      </c>
      <c r="K472"/>
      <c r="L472"/>
      <c r="M472"/>
      <c r="N472"/>
      <c r="O472"/>
    </row>
    <row r="473" spans="1:15" x14ac:dyDescent="0.35">
      <c r="A473" t="s">
        <v>19</v>
      </c>
      <c r="B473" t="s">
        <v>699</v>
      </c>
      <c r="C473" t="s">
        <v>700</v>
      </c>
      <c r="D473">
        <v>292172.45</v>
      </c>
      <c r="E473">
        <v>255889.78</v>
      </c>
      <c r="F473">
        <v>36282.67</v>
      </c>
      <c r="G473">
        <v>36282.67</v>
      </c>
      <c r="H473" s="5">
        <v>0</v>
      </c>
      <c r="I473" s="5">
        <v>0</v>
      </c>
      <c r="J473" s="5">
        <v>0</v>
      </c>
      <c r="K473"/>
      <c r="L473"/>
      <c r="M473"/>
      <c r="N473"/>
      <c r="O473"/>
    </row>
    <row r="474" spans="1:15" x14ac:dyDescent="0.35">
      <c r="A474" t="s">
        <v>27</v>
      </c>
      <c r="B474" t="s">
        <v>3098</v>
      </c>
      <c r="C474" t="s">
        <v>3099</v>
      </c>
      <c r="D474">
        <v>126267.54</v>
      </c>
      <c r="E474">
        <v>126267.54</v>
      </c>
      <c r="F474">
        <v>0</v>
      </c>
      <c r="G474"/>
      <c r="H474" s="5">
        <v>0</v>
      </c>
      <c r="K474"/>
      <c r="L474"/>
      <c r="M474"/>
      <c r="N474"/>
      <c r="O474"/>
    </row>
    <row r="475" spans="1:15" x14ac:dyDescent="0.35">
      <c r="A475" t="s">
        <v>19</v>
      </c>
      <c r="B475" t="s">
        <v>539</v>
      </c>
      <c r="C475" t="s">
        <v>540</v>
      </c>
      <c r="D475">
        <v>20093.04</v>
      </c>
      <c r="E475">
        <v>20093.04</v>
      </c>
      <c r="F475">
        <v>0</v>
      </c>
      <c r="G475">
        <v>0</v>
      </c>
      <c r="H475" s="5">
        <v>0</v>
      </c>
      <c r="I475" s="5">
        <v>0</v>
      </c>
      <c r="J475" s="5">
        <v>0</v>
      </c>
      <c r="K475">
        <v>0</v>
      </c>
      <c r="L475"/>
      <c r="M475"/>
      <c r="N475"/>
      <c r="O475"/>
    </row>
    <row r="476" spans="1:15" x14ac:dyDescent="0.35">
      <c r="A476" t="s">
        <v>169</v>
      </c>
      <c r="B476" t="s">
        <v>533</v>
      </c>
      <c r="C476" t="s">
        <v>534</v>
      </c>
      <c r="D476">
        <v>323006</v>
      </c>
      <c r="E476">
        <v>322947.12</v>
      </c>
      <c r="F476">
        <v>58.88</v>
      </c>
      <c r="G476">
        <v>58.88</v>
      </c>
      <c r="H476" s="5">
        <v>0</v>
      </c>
      <c r="I476" s="5">
        <v>0</v>
      </c>
      <c r="K476"/>
      <c r="L476"/>
      <c r="M476"/>
      <c r="N476"/>
      <c r="O476"/>
    </row>
    <row r="477" spans="1:15" x14ac:dyDescent="0.35">
      <c r="A477" t="s">
        <v>275</v>
      </c>
      <c r="B477" t="s">
        <v>1229</v>
      </c>
      <c r="C477" t="s">
        <v>1230</v>
      </c>
      <c r="D477">
        <v>1866108.25</v>
      </c>
      <c r="E477">
        <v>492347.19999999995</v>
      </c>
      <c r="F477">
        <v>1373761.05</v>
      </c>
      <c r="G477">
        <v>1373761.05</v>
      </c>
      <c r="I477" s="5">
        <v>0</v>
      </c>
      <c r="K477"/>
      <c r="L477"/>
      <c r="M477"/>
      <c r="N477"/>
      <c r="O477"/>
    </row>
    <row r="478" spans="1:15" x14ac:dyDescent="0.35">
      <c r="A478" t="s">
        <v>24</v>
      </c>
      <c r="B478" t="s">
        <v>78</v>
      </c>
      <c r="C478" t="s">
        <v>79</v>
      </c>
      <c r="D478">
        <v>289895.77</v>
      </c>
      <c r="E478">
        <v>268114.46000000002</v>
      </c>
      <c r="F478">
        <v>21781.31</v>
      </c>
      <c r="G478">
        <v>21781.31</v>
      </c>
      <c r="H478" s="5">
        <v>0</v>
      </c>
      <c r="I478" s="5">
        <v>0</v>
      </c>
      <c r="J478" s="5">
        <v>0</v>
      </c>
      <c r="K478">
        <v>0</v>
      </c>
      <c r="L478"/>
      <c r="M478"/>
      <c r="N478"/>
      <c r="O478"/>
    </row>
    <row r="479" spans="1:15" x14ac:dyDescent="0.35">
      <c r="A479" t="s">
        <v>169</v>
      </c>
      <c r="B479" t="s">
        <v>3623</v>
      </c>
      <c r="C479" t="s">
        <v>3624</v>
      </c>
      <c r="D479">
        <v>493.51</v>
      </c>
      <c r="E479"/>
      <c r="F479">
        <v>493.51</v>
      </c>
      <c r="G479">
        <v>493.51</v>
      </c>
      <c r="H479" s="5">
        <v>0</v>
      </c>
      <c r="I479" s="5">
        <v>0</v>
      </c>
      <c r="K479">
        <v>0</v>
      </c>
      <c r="L479"/>
      <c r="M479"/>
      <c r="N479"/>
      <c r="O479"/>
    </row>
    <row r="480" spans="1:15" x14ac:dyDescent="0.35">
      <c r="A480" t="s">
        <v>169</v>
      </c>
      <c r="B480" t="s">
        <v>3625</v>
      </c>
      <c r="C480" t="s">
        <v>3626</v>
      </c>
      <c r="D480">
        <v>1004.06</v>
      </c>
      <c r="E480"/>
      <c r="F480">
        <v>1004.06</v>
      </c>
      <c r="G480">
        <v>1004.06</v>
      </c>
      <c r="H480" s="5">
        <v>0</v>
      </c>
      <c r="I480" s="5">
        <v>0</v>
      </c>
      <c r="K480"/>
      <c r="L480"/>
      <c r="M480"/>
      <c r="N480"/>
      <c r="O480"/>
    </row>
    <row r="481" spans="1:15" x14ac:dyDescent="0.35">
      <c r="A481" t="s">
        <v>36</v>
      </c>
      <c r="B481" t="s">
        <v>883</v>
      </c>
      <c r="C481" t="s">
        <v>884</v>
      </c>
      <c r="D481">
        <v>330630.89</v>
      </c>
      <c r="E481">
        <v>167022.04</v>
      </c>
      <c r="F481">
        <v>163608.85</v>
      </c>
      <c r="G481">
        <v>163608.85</v>
      </c>
      <c r="H481" s="5">
        <v>0</v>
      </c>
      <c r="I481" s="5">
        <v>0</v>
      </c>
      <c r="J481" s="5">
        <v>0</v>
      </c>
      <c r="K481"/>
      <c r="L481"/>
      <c r="M481"/>
      <c r="N481"/>
      <c r="O481"/>
    </row>
    <row r="482" spans="1:15" x14ac:dyDescent="0.35">
      <c r="A482" t="s">
        <v>19</v>
      </c>
      <c r="B482" t="s">
        <v>172</v>
      </c>
      <c r="C482" t="s">
        <v>173</v>
      </c>
      <c r="D482">
        <v>63986.05999999999</v>
      </c>
      <c r="E482">
        <v>63672.929999999993</v>
      </c>
      <c r="F482">
        <v>313.12999999999698</v>
      </c>
      <c r="G482">
        <v>313.12999999999698</v>
      </c>
      <c r="H482" s="5">
        <v>0</v>
      </c>
      <c r="I482" s="5">
        <v>0</v>
      </c>
      <c r="J482" s="5">
        <v>0</v>
      </c>
      <c r="K482">
        <v>0</v>
      </c>
      <c r="L482"/>
      <c r="M482"/>
      <c r="N482"/>
      <c r="O482"/>
    </row>
    <row r="483" spans="1:15" x14ac:dyDescent="0.35">
      <c r="A483" t="s">
        <v>88</v>
      </c>
      <c r="B483" t="s">
        <v>3627</v>
      </c>
      <c r="C483" t="s">
        <v>3628</v>
      </c>
      <c r="D483">
        <v>72277.440000000002</v>
      </c>
      <c r="E483">
        <v>72277.440000000002</v>
      </c>
      <c r="F483">
        <v>0</v>
      </c>
      <c r="G483"/>
      <c r="H483" s="5">
        <v>0</v>
      </c>
      <c r="I483" s="5">
        <v>0</v>
      </c>
      <c r="J483" s="5">
        <v>0</v>
      </c>
      <c r="K483"/>
      <c r="L483"/>
      <c r="M483"/>
      <c r="N483"/>
      <c r="O483"/>
    </row>
    <row r="484" spans="1:15" x14ac:dyDescent="0.35">
      <c r="A484" t="s">
        <v>93</v>
      </c>
      <c r="B484" t="s">
        <v>873</v>
      </c>
      <c r="C484" t="s">
        <v>874</v>
      </c>
      <c r="D484">
        <v>278021.65000000002</v>
      </c>
      <c r="E484">
        <v>269431.14</v>
      </c>
      <c r="F484">
        <v>8590.51</v>
      </c>
      <c r="G484">
        <v>8590.51</v>
      </c>
      <c r="H484" s="5">
        <v>0</v>
      </c>
      <c r="I484" s="5">
        <v>0</v>
      </c>
      <c r="J484" s="5">
        <v>0</v>
      </c>
      <c r="K484">
        <v>0</v>
      </c>
      <c r="L484"/>
      <c r="M484"/>
      <c r="N484"/>
      <c r="O484"/>
    </row>
    <row r="485" spans="1:15" x14ac:dyDescent="0.35">
      <c r="A485" t="s">
        <v>36</v>
      </c>
      <c r="B485" t="s">
        <v>965</v>
      </c>
      <c r="C485" t="s">
        <v>966</v>
      </c>
      <c r="D485">
        <v>176089.48</v>
      </c>
      <c r="E485">
        <v>176089.48</v>
      </c>
      <c r="F485">
        <v>0</v>
      </c>
      <c r="G485"/>
      <c r="H485" s="5">
        <v>0</v>
      </c>
      <c r="K485"/>
      <c r="L485"/>
      <c r="M485"/>
      <c r="N485"/>
      <c r="O485"/>
    </row>
    <row r="486" spans="1:15" x14ac:dyDescent="0.35">
      <c r="A486" t="s">
        <v>16</v>
      </c>
      <c r="B486" t="s">
        <v>3104</v>
      </c>
      <c r="C486" t="s">
        <v>3105</v>
      </c>
      <c r="D486">
        <v>111184.32000000001</v>
      </c>
      <c r="E486">
        <v>111184.32000000001</v>
      </c>
      <c r="F486">
        <v>0</v>
      </c>
      <c r="G486">
        <v>0</v>
      </c>
      <c r="H486" s="5">
        <v>0</v>
      </c>
      <c r="I486" s="5">
        <v>0</v>
      </c>
      <c r="J486" s="5">
        <v>0</v>
      </c>
      <c r="K486"/>
      <c r="L486"/>
      <c r="M486"/>
      <c r="N486"/>
      <c r="O486"/>
    </row>
    <row r="487" spans="1:15" x14ac:dyDescent="0.35">
      <c r="A487" t="s">
        <v>36</v>
      </c>
      <c r="B487" t="s">
        <v>3629</v>
      </c>
      <c r="C487" t="s">
        <v>3630</v>
      </c>
      <c r="D487">
        <v>1123.7</v>
      </c>
      <c r="E487"/>
      <c r="F487">
        <v>1123.7</v>
      </c>
      <c r="G487">
        <v>1123.7</v>
      </c>
      <c r="I487" s="5">
        <v>0</v>
      </c>
      <c r="K487"/>
      <c r="L487"/>
      <c r="M487"/>
      <c r="N487"/>
      <c r="O487"/>
    </row>
    <row r="488" spans="1:15" x14ac:dyDescent="0.35">
      <c r="A488" t="s">
        <v>19</v>
      </c>
      <c r="B488" t="s">
        <v>829</v>
      </c>
      <c r="C488" t="s">
        <v>830</v>
      </c>
      <c r="D488">
        <v>112155.65000000001</v>
      </c>
      <c r="E488">
        <v>111707.54000000001</v>
      </c>
      <c r="F488">
        <v>448.11000000000098</v>
      </c>
      <c r="G488"/>
      <c r="H488" s="5">
        <v>448.11000000000098</v>
      </c>
      <c r="I488" s="5">
        <v>0</v>
      </c>
      <c r="J488" s="5">
        <v>0</v>
      </c>
      <c r="K488"/>
      <c r="L488"/>
      <c r="M488"/>
      <c r="N488"/>
      <c r="O488"/>
    </row>
    <row r="489" spans="1:15" x14ac:dyDescent="0.35">
      <c r="A489" t="s">
        <v>93</v>
      </c>
      <c r="B489" t="s">
        <v>94</v>
      </c>
      <c r="C489" t="s">
        <v>95</v>
      </c>
      <c r="D489">
        <v>337441.14</v>
      </c>
      <c r="E489">
        <v>337441.14</v>
      </c>
      <c r="F489">
        <v>0</v>
      </c>
      <c r="G489">
        <v>0</v>
      </c>
      <c r="H489" s="5">
        <v>0</v>
      </c>
      <c r="I489" s="5">
        <v>0</v>
      </c>
      <c r="K489"/>
      <c r="L489"/>
      <c r="M489"/>
      <c r="N489"/>
      <c r="O489"/>
    </row>
    <row r="490" spans="1:15" x14ac:dyDescent="0.35">
      <c r="A490" t="s">
        <v>24</v>
      </c>
      <c r="B490" t="s">
        <v>3631</v>
      </c>
      <c r="C490" t="s">
        <v>3632</v>
      </c>
      <c r="D490">
        <v>132529.28</v>
      </c>
      <c r="E490">
        <v>132529.28</v>
      </c>
      <c r="F490">
        <v>0</v>
      </c>
      <c r="G490"/>
      <c r="H490" s="5">
        <v>0</v>
      </c>
      <c r="I490" s="5">
        <v>0</v>
      </c>
      <c r="K490"/>
      <c r="L490"/>
      <c r="M490"/>
      <c r="N490"/>
      <c r="O490"/>
    </row>
    <row r="491" spans="1:15" x14ac:dyDescent="0.35">
      <c r="A491" t="s">
        <v>24</v>
      </c>
      <c r="B491" t="s">
        <v>589</v>
      </c>
      <c r="C491" t="s">
        <v>590</v>
      </c>
      <c r="D491">
        <v>46689.94</v>
      </c>
      <c r="E491">
        <v>46689.94</v>
      </c>
      <c r="F491">
        <v>0</v>
      </c>
      <c r="G491">
        <v>0</v>
      </c>
      <c r="H491" s="5">
        <v>0</v>
      </c>
      <c r="I491" s="5">
        <v>0</v>
      </c>
      <c r="K491"/>
      <c r="L491"/>
      <c r="M491"/>
      <c r="N491"/>
      <c r="O491"/>
    </row>
    <row r="492" spans="1:15" x14ac:dyDescent="0.35">
      <c r="A492" t="s">
        <v>24</v>
      </c>
      <c r="B492" t="s">
        <v>675</v>
      </c>
      <c r="C492" t="s">
        <v>676</v>
      </c>
      <c r="D492">
        <v>115684.84</v>
      </c>
      <c r="E492">
        <v>115684.84</v>
      </c>
      <c r="F492">
        <v>0</v>
      </c>
      <c r="G492">
        <v>0</v>
      </c>
      <c r="H492" s="5">
        <v>0</v>
      </c>
      <c r="K492"/>
      <c r="L492"/>
      <c r="M492"/>
      <c r="N492"/>
      <c r="O492"/>
    </row>
    <row r="493" spans="1:15" x14ac:dyDescent="0.35">
      <c r="A493" t="s">
        <v>41</v>
      </c>
      <c r="B493" t="s">
        <v>741</v>
      </c>
      <c r="C493" t="s">
        <v>742</v>
      </c>
      <c r="D493">
        <v>93771.96</v>
      </c>
      <c r="E493">
        <v>93771.96</v>
      </c>
      <c r="F493">
        <v>0</v>
      </c>
      <c r="G493"/>
      <c r="H493" s="5">
        <v>0</v>
      </c>
      <c r="I493" s="5">
        <v>0</v>
      </c>
      <c r="K493"/>
      <c r="L493"/>
      <c r="M493"/>
      <c r="N493"/>
      <c r="O493"/>
    </row>
    <row r="494" spans="1:15" x14ac:dyDescent="0.35">
      <c r="A494" t="s">
        <v>93</v>
      </c>
      <c r="B494" t="s">
        <v>981</v>
      </c>
      <c r="C494" t="s">
        <v>982</v>
      </c>
      <c r="D494">
        <v>197860.46000000002</v>
      </c>
      <c r="E494">
        <v>197860.46000000002</v>
      </c>
      <c r="F494">
        <v>0</v>
      </c>
      <c r="G494"/>
      <c r="H494" s="5">
        <v>0</v>
      </c>
      <c r="I494" s="5">
        <v>0</v>
      </c>
      <c r="K494"/>
      <c r="L494"/>
      <c r="M494"/>
      <c r="N494"/>
      <c r="O494"/>
    </row>
    <row r="495" spans="1:15" x14ac:dyDescent="0.35">
      <c r="A495" t="s">
        <v>19</v>
      </c>
      <c r="B495" t="s">
        <v>3633</v>
      </c>
      <c r="C495" t="s">
        <v>3634</v>
      </c>
      <c r="D495">
        <v>175.70999999999901</v>
      </c>
      <c r="E495"/>
      <c r="F495">
        <v>175.70999999999901</v>
      </c>
      <c r="G495">
        <v>175.70999999999901</v>
      </c>
      <c r="I495" s="5">
        <v>0</v>
      </c>
      <c r="K495"/>
      <c r="L495"/>
      <c r="M495"/>
      <c r="N495"/>
      <c r="O495"/>
    </row>
    <row r="496" spans="1:15" x14ac:dyDescent="0.35">
      <c r="A496" t="s">
        <v>33</v>
      </c>
      <c r="B496" t="s">
        <v>1167</v>
      </c>
      <c r="C496" t="s">
        <v>1168</v>
      </c>
      <c r="D496">
        <v>815868.06</v>
      </c>
      <c r="E496"/>
      <c r="F496">
        <v>815868.06</v>
      </c>
      <c r="G496">
        <v>264247</v>
      </c>
      <c r="I496" s="5">
        <v>551621.06000000006</v>
      </c>
      <c r="K496"/>
      <c r="L496"/>
      <c r="M496"/>
      <c r="N496"/>
      <c r="O496"/>
    </row>
    <row r="497" spans="1:15" x14ac:dyDescent="0.35">
      <c r="A497" t="s">
        <v>19</v>
      </c>
      <c r="B497" t="s">
        <v>997</v>
      </c>
      <c r="C497" t="s">
        <v>998</v>
      </c>
      <c r="D497">
        <v>1498.03</v>
      </c>
      <c r="E497"/>
      <c r="F497">
        <v>1498.03</v>
      </c>
      <c r="G497">
        <v>1498.03</v>
      </c>
      <c r="I497" s="5">
        <v>0</v>
      </c>
      <c r="K497"/>
      <c r="L497"/>
      <c r="M497"/>
      <c r="N497"/>
      <c r="O497"/>
    </row>
    <row r="498" spans="1:15" x14ac:dyDescent="0.35">
      <c r="A498" t="s">
        <v>33</v>
      </c>
      <c r="B498" t="s">
        <v>109</v>
      </c>
      <c r="C498" t="s">
        <v>110</v>
      </c>
      <c r="D498">
        <v>73062.06</v>
      </c>
      <c r="E498">
        <v>73062.06</v>
      </c>
      <c r="F498">
        <v>0</v>
      </c>
      <c r="G498"/>
      <c r="I498" s="5">
        <v>0</v>
      </c>
      <c r="K498"/>
      <c r="L498"/>
      <c r="M498"/>
      <c r="N498"/>
      <c r="O498"/>
    </row>
    <row r="499" spans="1:15" x14ac:dyDescent="0.35">
      <c r="A499" t="s">
        <v>169</v>
      </c>
      <c r="B499" t="s">
        <v>1085</v>
      </c>
      <c r="C499" t="s">
        <v>1086</v>
      </c>
      <c r="D499">
        <v>2609.9499999999998</v>
      </c>
      <c r="E499"/>
      <c r="F499">
        <v>2609.9499999999998</v>
      </c>
      <c r="G499">
        <v>2609.9499999999998</v>
      </c>
      <c r="J499" s="5">
        <v>0</v>
      </c>
      <c r="K499"/>
      <c r="L499"/>
      <c r="M499"/>
      <c r="N499"/>
      <c r="O499"/>
    </row>
    <row r="500" spans="1:15" x14ac:dyDescent="0.35">
      <c r="A500" t="s">
        <v>24</v>
      </c>
      <c r="B500" t="s">
        <v>465</v>
      </c>
      <c r="C500" t="s">
        <v>466</v>
      </c>
      <c r="D500">
        <v>113638.15</v>
      </c>
      <c r="E500">
        <v>65419.199999999997</v>
      </c>
      <c r="F500">
        <v>48218.95</v>
      </c>
      <c r="G500">
        <v>48218.95</v>
      </c>
      <c r="H500" s="5">
        <v>0</v>
      </c>
      <c r="I500" s="5">
        <v>0</v>
      </c>
      <c r="K500"/>
      <c r="L500"/>
      <c r="M500"/>
      <c r="N500"/>
      <c r="O500"/>
    </row>
    <row r="501" spans="1:15" x14ac:dyDescent="0.35">
      <c r="A501" t="s">
        <v>19</v>
      </c>
      <c r="B501" t="s">
        <v>649</v>
      </c>
      <c r="C501" t="s">
        <v>650</v>
      </c>
      <c r="D501">
        <v>49236.04</v>
      </c>
      <c r="E501">
        <v>49236.04</v>
      </c>
      <c r="F501">
        <v>0</v>
      </c>
      <c r="G501">
        <v>0</v>
      </c>
      <c r="K501"/>
      <c r="L501"/>
      <c r="M501"/>
      <c r="N501"/>
      <c r="O501"/>
    </row>
    <row r="502" spans="1:15" x14ac:dyDescent="0.35">
      <c r="A502" t="s">
        <v>19</v>
      </c>
      <c r="B502" t="s">
        <v>471</v>
      </c>
      <c r="C502" t="s">
        <v>472</v>
      </c>
      <c r="D502">
        <v>27062.23</v>
      </c>
      <c r="E502">
        <v>26293.109999999997</v>
      </c>
      <c r="F502">
        <v>769.12000000000296</v>
      </c>
      <c r="G502">
        <v>769.12000000000296</v>
      </c>
      <c r="H502" s="5">
        <v>0</v>
      </c>
      <c r="I502" s="5">
        <v>0</v>
      </c>
      <c r="J502" s="5">
        <v>0</v>
      </c>
      <c r="K502"/>
      <c r="L502"/>
      <c r="M502"/>
      <c r="N502"/>
      <c r="O502"/>
    </row>
    <row r="503" spans="1:15" x14ac:dyDescent="0.35">
      <c r="A503" t="s">
        <v>19</v>
      </c>
      <c r="B503" t="s">
        <v>921</v>
      </c>
      <c r="C503" t="s">
        <v>922</v>
      </c>
      <c r="D503">
        <v>24998.6</v>
      </c>
      <c r="E503">
        <v>24998.6</v>
      </c>
      <c r="F503">
        <v>0</v>
      </c>
      <c r="G503">
        <v>0</v>
      </c>
      <c r="I503" s="5">
        <v>0</v>
      </c>
      <c r="K503"/>
      <c r="L503"/>
      <c r="M503"/>
      <c r="N503"/>
      <c r="O503"/>
    </row>
    <row r="504" spans="1:15" x14ac:dyDescent="0.35">
      <c r="A504" t="s">
        <v>19</v>
      </c>
      <c r="B504" t="s">
        <v>1043</v>
      </c>
      <c r="C504" t="s">
        <v>1044</v>
      </c>
      <c r="D504">
        <v>8971.76</v>
      </c>
      <c r="E504">
        <v>8971.76</v>
      </c>
      <c r="F504">
        <v>0</v>
      </c>
      <c r="G504">
        <v>0</v>
      </c>
      <c r="I504" s="5">
        <v>0</v>
      </c>
      <c r="J504" s="5">
        <v>0</v>
      </c>
      <c r="K504"/>
      <c r="L504"/>
      <c r="M504"/>
      <c r="N504"/>
      <c r="O504"/>
    </row>
    <row r="505" spans="1:15" x14ac:dyDescent="0.35">
      <c r="A505" t="s">
        <v>55</v>
      </c>
      <c r="B505" t="s">
        <v>525</v>
      </c>
      <c r="C505" t="s">
        <v>526</v>
      </c>
      <c r="D505">
        <v>103508.57999999999</v>
      </c>
      <c r="E505">
        <v>103508.57999999999</v>
      </c>
      <c r="F505">
        <v>0</v>
      </c>
      <c r="G505">
        <v>0</v>
      </c>
      <c r="H505" s="5">
        <v>0</v>
      </c>
      <c r="I505" s="5">
        <v>0</v>
      </c>
      <c r="K505"/>
      <c r="L505"/>
      <c r="M505"/>
      <c r="N505"/>
      <c r="O505"/>
    </row>
    <row r="506" spans="1:15" x14ac:dyDescent="0.35">
      <c r="A506" t="s">
        <v>19</v>
      </c>
      <c r="B506" t="s">
        <v>3635</v>
      </c>
      <c r="C506" t="s">
        <v>3636</v>
      </c>
      <c r="D506">
        <v>565.880000000005</v>
      </c>
      <c r="E506"/>
      <c r="F506">
        <v>565.880000000005</v>
      </c>
      <c r="G506">
        <v>565.880000000005</v>
      </c>
      <c r="K506"/>
      <c r="L506"/>
      <c r="M506"/>
      <c r="N506"/>
      <c r="O506"/>
    </row>
    <row r="507" spans="1:15" x14ac:dyDescent="0.35">
      <c r="A507" t="s">
        <v>93</v>
      </c>
      <c r="B507" t="s">
        <v>3637</v>
      </c>
      <c r="C507" t="s">
        <v>3638</v>
      </c>
      <c r="D507">
        <v>43338.46</v>
      </c>
      <c r="E507">
        <v>43338.46</v>
      </c>
      <c r="F507">
        <v>0</v>
      </c>
      <c r="G507"/>
      <c r="I507" s="5">
        <v>0</v>
      </c>
      <c r="K507"/>
      <c r="L507"/>
      <c r="M507"/>
      <c r="N507"/>
      <c r="O507"/>
    </row>
    <row r="508" spans="1:15" x14ac:dyDescent="0.35">
      <c r="A508" t="s">
        <v>55</v>
      </c>
      <c r="B508" t="s">
        <v>3639</v>
      </c>
      <c r="C508" t="s">
        <v>3640</v>
      </c>
      <c r="D508">
        <v>4936.79</v>
      </c>
      <c r="E508"/>
      <c r="F508">
        <v>4936.79</v>
      </c>
      <c r="G508">
        <v>4936.79</v>
      </c>
      <c r="I508" s="5">
        <v>0</v>
      </c>
      <c r="K508"/>
      <c r="L508"/>
      <c r="M508"/>
      <c r="N508"/>
      <c r="O508"/>
    </row>
    <row r="509" spans="1:15" x14ac:dyDescent="0.35">
      <c r="A509" t="s">
        <v>30</v>
      </c>
      <c r="B509" t="s">
        <v>3641</v>
      </c>
      <c r="C509" t="s">
        <v>3642</v>
      </c>
      <c r="D509">
        <v>27372.45</v>
      </c>
      <c r="E509">
        <v>27372.45</v>
      </c>
      <c r="F509">
        <v>0</v>
      </c>
      <c r="G509"/>
      <c r="I509" s="5">
        <v>0</v>
      </c>
      <c r="K509"/>
      <c r="L509"/>
      <c r="M509"/>
      <c r="N509"/>
      <c r="O509"/>
    </row>
    <row r="510" spans="1:15" x14ac:dyDescent="0.35">
      <c r="A510" t="s">
        <v>210</v>
      </c>
      <c r="B510" t="s">
        <v>1181</v>
      </c>
      <c r="C510" t="s">
        <v>1182</v>
      </c>
      <c r="D510">
        <v>505.57</v>
      </c>
      <c r="E510"/>
      <c r="F510">
        <v>505.57</v>
      </c>
      <c r="G510">
        <v>505.57</v>
      </c>
      <c r="I510" s="5">
        <v>0</v>
      </c>
      <c r="K510"/>
      <c r="L510"/>
      <c r="M510"/>
      <c r="N510"/>
      <c r="O510"/>
    </row>
    <row r="511" spans="1:15" x14ac:dyDescent="0.35">
      <c r="A511" t="s">
        <v>100</v>
      </c>
      <c r="B511" t="s">
        <v>979</v>
      </c>
      <c r="C511" t="s">
        <v>980</v>
      </c>
      <c r="D511">
        <v>857.71000000000595</v>
      </c>
      <c r="E511"/>
      <c r="F511">
        <v>857.71000000000595</v>
      </c>
      <c r="G511">
        <v>857.71000000000595</v>
      </c>
      <c r="I511" s="5">
        <v>0</v>
      </c>
      <c r="J511" s="5">
        <v>0</v>
      </c>
      <c r="K511"/>
      <c r="L511"/>
      <c r="M511"/>
      <c r="N511"/>
      <c r="O511"/>
    </row>
    <row r="512" spans="1:15" x14ac:dyDescent="0.35">
      <c r="A512" t="s">
        <v>93</v>
      </c>
      <c r="B512" t="s">
        <v>803</v>
      </c>
      <c r="C512" t="s">
        <v>804</v>
      </c>
      <c r="D512">
        <v>118900.41</v>
      </c>
      <c r="E512">
        <v>117667.66</v>
      </c>
      <c r="F512">
        <v>1232.75</v>
      </c>
      <c r="G512"/>
      <c r="H512" s="5">
        <v>1232.75</v>
      </c>
      <c r="I512" s="5">
        <v>0</v>
      </c>
      <c r="K512"/>
      <c r="L512"/>
      <c r="M512"/>
      <c r="N512"/>
      <c r="O512"/>
    </row>
    <row r="513" spans="1:15" x14ac:dyDescent="0.35">
      <c r="A513" t="s">
        <v>93</v>
      </c>
      <c r="B513" t="s">
        <v>3643</v>
      </c>
      <c r="C513" t="s">
        <v>3644</v>
      </c>
      <c r="D513">
        <v>16328.1</v>
      </c>
      <c r="E513">
        <v>16328.1</v>
      </c>
      <c r="F513">
        <v>0</v>
      </c>
      <c r="G513">
        <v>0</v>
      </c>
      <c r="H513" s="5">
        <v>0</v>
      </c>
      <c r="K513"/>
      <c r="L513"/>
      <c r="M513"/>
      <c r="N513"/>
      <c r="O513"/>
    </row>
    <row r="514" spans="1:15" x14ac:dyDescent="0.35">
      <c r="A514" t="s">
        <v>24</v>
      </c>
      <c r="B514" t="s">
        <v>76</v>
      </c>
      <c r="C514" t="s">
        <v>77</v>
      </c>
      <c r="D514">
        <v>169963</v>
      </c>
      <c r="E514">
        <v>169963</v>
      </c>
      <c r="F514">
        <v>0</v>
      </c>
      <c r="G514">
        <v>0</v>
      </c>
      <c r="H514" s="5">
        <v>0</v>
      </c>
      <c r="I514" s="5">
        <v>0</v>
      </c>
      <c r="K514"/>
      <c r="L514"/>
      <c r="M514"/>
      <c r="N514"/>
      <c r="O514"/>
    </row>
    <row r="515" spans="1:15" x14ac:dyDescent="0.35">
      <c r="A515" t="s">
        <v>19</v>
      </c>
      <c r="B515" t="s">
        <v>913</v>
      </c>
      <c r="C515" t="s">
        <v>914</v>
      </c>
      <c r="D515">
        <v>18695.670000000006</v>
      </c>
      <c r="E515">
        <v>18448.22</v>
      </c>
      <c r="F515">
        <v>247.450000000004</v>
      </c>
      <c r="G515">
        <v>247.450000000004</v>
      </c>
      <c r="I515" s="5">
        <v>0</v>
      </c>
      <c r="K515"/>
      <c r="L515"/>
      <c r="M515"/>
      <c r="N515"/>
      <c r="O515"/>
    </row>
    <row r="516" spans="1:15" x14ac:dyDescent="0.35">
      <c r="A516" t="s">
        <v>16</v>
      </c>
      <c r="B516" t="s">
        <v>1237</v>
      </c>
      <c r="C516" t="s">
        <v>1238</v>
      </c>
      <c r="D516">
        <v>35264.519999999997</v>
      </c>
      <c r="E516">
        <v>35264.519999999997</v>
      </c>
      <c r="F516">
        <v>0</v>
      </c>
      <c r="G516"/>
      <c r="H516" s="5">
        <v>0</v>
      </c>
      <c r="J516" s="5">
        <v>0</v>
      </c>
      <c r="K516"/>
      <c r="L516"/>
      <c r="M516"/>
      <c r="N516"/>
      <c r="O516"/>
    </row>
    <row r="517" spans="1:15" x14ac:dyDescent="0.35">
      <c r="A517" t="s">
        <v>111</v>
      </c>
      <c r="B517" t="s">
        <v>3645</v>
      </c>
      <c r="C517" t="s">
        <v>3646</v>
      </c>
      <c r="D517">
        <v>1422.38</v>
      </c>
      <c r="E517"/>
      <c r="F517">
        <v>1422.38</v>
      </c>
      <c r="G517">
        <v>1422.38</v>
      </c>
      <c r="I517" s="5">
        <v>0</v>
      </c>
      <c r="K517"/>
      <c r="L517"/>
      <c r="M517"/>
      <c r="N517"/>
      <c r="O517"/>
    </row>
    <row r="518" spans="1:15" x14ac:dyDescent="0.35">
      <c r="A518" t="s">
        <v>16</v>
      </c>
      <c r="B518" t="s">
        <v>1041</v>
      </c>
      <c r="C518" t="s">
        <v>1042</v>
      </c>
      <c r="D518">
        <v>744407.89999999991</v>
      </c>
      <c r="E518">
        <v>744407.89999999991</v>
      </c>
      <c r="F518">
        <v>0</v>
      </c>
      <c r="G518"/>
      <c r="H518" s="5">
        <v>0</v>
      </c>
      <c r="I518" s="5">
        <v>0</v>
      </c>
      <c r="K518"/>
      <c r="L518"/>
      <c r="M518"/>
      <c r="N518"/>
      <c r="O518"/>
    </row>
    <row r="519" spans="1:15" x14ac:dyDescent="0.35">
      <c r="A519" t="s">
        <v>100</v>
      </c>
      <c r="B519" t="s">
        <v>3647</v>
      </c>
      <c r="C519" t="s">
        <v>3648</v>
      </c>
      <c r="D519">
        <v>3035.17</v>
      </c>
      <c r="E519"/>
      <c r="F519">
        <v>3035.17</v>
      </c>
      <c r="G519">
        <v>3035.17</v>
      </c>
      <c r="H519" s="5">
        <v>0</v>
      </c>
      <c r="I519" s="5">
        <v>0</v>
      </c>
      <c r="J519" s="5">
        <v>0</v>
      </c>
      <c r="K519"/>
      <c r="L519"/>
      <c r="M519"/>
      <c r="N519"/>
      <c r="O519"/>
    </row>
    <row r="520" spans="1:15" x14ac:dyDescent="0.35">
      <c r="A520" t="s">
        <v>55</v>
      </c>
      <c r="B520" t="s">
        <v>761</v>
      </c>
      <c r="C520" t="s">
        <v>762</v>
      </c>
      <c r="D520">
        <v>5583.84</v>
      </c>
      <c r="E520"/>
      <c r="F520">
        <v>5583.84</v>
      </c>
      <c r="G520">
        <v>5583.84</v>
      </c>
      <c r="I520" s="5">
        <v>0</v>
      </c>
      <c r="K520"/>
      <c r="L520"/>
      <c r="M520"/>
      <c r="N520"/>
      <c r="O520"/>
    </row>
    <row r="521" spans="1:15" x14ac:dyDescent="0.35">
      <c r="A521" t="s">
        <v>88</v>
      </c>
      <c r="B521" t="s">
        <v>3649</v>
      </c>
      <c r="C521" t="s">
        <v>3650</v>
      </c>
      <c r="D521">
        <v>340.369999999995</v>
      </c>
      <c r="E521"/>
      <c r="F521">
        <v>340.369999999995</v>
      </c>
      <c r="G521">
        <v>340.369999999995</v>
      </c>
      <c r="I521" s="5">
        <v>0</v>
      </c>
      <c r="K521"/>
      <c r="L521"/>
      <c r="M521"/>
      <c r="N521"/>
      <c r="O521"/>
    </row>
    <row r="522" spans="1:15" x14ac:dyDescent="0.35">
      <c r="A522" t="s">
        <v>46</v>
      </c>
      <c r="B522" t="s">
        <v>3651</v>
      </c>
      <c r="C522" t="s">
        <v>3652</v>
      </c>
      <c r="D522">
        <v>134046.29</v>
      </c>
      <c r="E522"/>
      <c r="F522">
        <v>134046.29</v>
      </c>
      <c r="G522">
        <v>134046.29</v>
      </c>
      <c r="K522"/>
      <c r="L522"/>
      <c r="M522"/>
      <c r="N522"/>
      <c r="O522"/>
    </row>
    <row r="523" spans="1:15" x14ac:dyDescent="0.35">
      <c r="A523" t="s">
        <v>19</v>
      </c>
      <c r="B523" t="s">
        <v>284</v>
      </c>
      <c r="C523" t="s">
        <v>285</v>
      </c>
      <c r="D523">
        <v>576825.5</v>
      </c>
      <c r="E523">
        <v>89575.48</v>
      </c>
      <c r="F523">
        <v>487250.02</v>
      </c>
      <c r="G523">
        <v>270194.12</v>
      </c>
      <c r="H523" s="5">
        <v>217055.9</v>
      </c>
      <c r="I523" s="5">
        <v>0</v>
      </c>
      <c r="K523"/>
      <c r="L523"/>
      <c r="M523"/>
      <c r="N523"/>
      <c r="O523"/>
    </row>
    <row r="524" spans="1:15" x14ac:dyDescent="0.35">
      <c r="A524" t="s">
        <v>36</v>
      </c>
      <c r="B524" t="s">
        <v>373</v>
      </c>
      <c r="C524" t="s">
        <v>374</v>
      </c>
      <c r="D524">
        <v>2229853.9400000004</v>
      </c>
      <c r="E524">
        <v>1604112.1600000001</v>
      </c>
      <c r="F524">
        <v>625741.78</v>
      </c>
      <c r="G524">
        <v>625741.78</v>
      </c>
      <c r="H524" s="5">
        <v>0</v>
      </c>
      <c r="I524" s="5">
        <v>0</v>
      </c>
      <c r="J524" s="5">
        <v>0</v>
      </c>
      <c r="K524">
        <v>0</v>
      </c>
      <c r="L524"/>
      <c r="M524"/>
      <c r="N524"/>
      <c r="O524"/>
    </row>
    <row r="525" spans="1:15" x14ac:dyDescent="0.35">
      <c r="A525" t="s">
        <v>93</v>
      </c>
      <c r="B525" t="s">
        <v>3653</v>
      </c>
      <c r="C525" t="s">
        <v>3654</v>
      </c>
      <c r="D525">
        <v>830.18999999999505</v>
      </c>
      <c r="E525"/>
      <c r="F525">
        <v>830.18999999999505</v>
      </c>
      <c r="G525">
        <v>830.18999999999505</v>
      </c>
      <c r="H525" s="5">
        <v>0</v>
      </c>
      <c r="I525" s="5">
        <v>0</v>
      </c>
      <c r="K525"/>
      <c r="L525"/>
      <c r="M525"/>
      <c r="N525"/>
      <c r="O525"/>
    </row>
    <row r="526" spans="1:15" x14ac:dyDescent="0.35">
      <c r="A526" t="s">
        <v>55</v>
      </c>
      <c r="B526" t="s">
        <v>56</v>
      </c>
      <c r="C526" t="s">
        <v>57</v>
      </c>
      <c r="D526">
        <v>1726.24</v>
      </c>
      <c r="E526"/>
      <c r="F526">
        <v>1726.24</v>
      </c>
      <c r="G526">
        <v>1726.24</v>
      </c>
      <c r="H526" s="5">
        <v>0</v>
      </c>
      <c r="I526" s="5">
        <v>0</v>
      </c>
      <c r="J526" s="5">
        <v>0</v>
      </c>
      <c r="K526"/>
      <c r="L526"/>
      <c r="M526"/>
      <c r="N526"/>
      <c r="O526"/>
    </row>
    <row r="527" spans="1:15" x14ac:dyDescent="0.35">
      <c r="A527" t="s">
        <v>111</v>
      </c>
      <c r="B527" t="s">
        <v>801</v>
      </c>
      <c r="C527" t="s">
        <v>802</v>
      </c>
      <c r="D527">
        <v>221266.35</v>
      </c>
      <c r="E527">
        <v>221189.13999999998</v>
      </c>
      <c r="F527">
        <v>77.209999999999994</v>
      </c>
      <c r="G527">
        <v>77.209999999999994</v>
      </c>
      <c r="H527" s="5">
        <v>0</v>
      </c>
      <c r="I527" s="5">
        <v>0</v>
      </c>
      <c r="K527"/>
      <c r="L527"/>
      <c r="M527"/>
      <c r="N527"/>
      <c r="O527"/>
    </row>
    <row r="528" spans="1:15" x14ac:dyDescent="0.35">
      <c r="A528" t="s">
        <v>19</v>
      </c>
      <c r="B528" t="s">
        <v>3655</v>
      </c>
      <c r="C528" t="s">
        <v>3656</v>
      </c>
      <c r="D528">
        <v>37410.160000000003</v>
      </c>
      <c r="E528">
        <v>37410.160000000003</v>
      </c>
      <c r="F528"/>
      <c r="G528"/>
      <c r="K528"/>
      <c r="L528"/>
      <c r="M528"/>
      <c r="N528"/>
      <c r="O528"/>
    </row>
    <row r="529" spans="1:15" x14ac:dyDescent="0.35">
      <c r="A529" t="s">
        <v>36</v>
      </c>
      <c r="B529" t="s">
        <v>891</v>
      </c>
      <c r="C529" t="s">
        <v>892</v>
      </c>
      <c r="D529">
        <v>159066.56</v>
      </c>
      <c r="E529">
        <v>158346.18</v>
      </c>
      <c r="F529">
        <v>720.37999999999704</v>
      </c>
      <c r="G529"/>
      <c r="H529" s="5">
        <v>720.37999999999704</v>
      </c>
      <c r="I529" s="5">
        <v>0</v>
      </c>
      <c r="J529" s="5">
        <v>0</v>
      </c>
      <c r="K529">
        <v>0</v>
      </c>
      <c r="L529"/>
      <c r="M529"/>
      <c r="N529"/>
      <c r="O529"/>
    </row>
    <row r="530" spans="1:15" x14ac:dyDescent="0.35">
      <c r="A530" t="s">
        <v>41</v>
      </c>
      <c r="B530" t="s">
        <v>3096</v>
      </c>
      <c r="C530" t="s">
        <v>3097</v>
      </c>
      <c r="D530">
        <v>45304.959999999999</v>
      </c>
      <c r="E530">
        <v>45304.959999999999</v>
      </c>
      <c r="F530">
        <v>0</v>
      </c>
      <c r="G530"/>
      <c r="I530" s="5">
        <v>0</v>
      </c>
      <c r="K530">
        <v>0</v>
      </c>
      <c r="L530"/>
      <c r="M530"/>
      <c r="N530"/>
      <c r="O530"/>
    </row>
    <row r="531" spans="1:15" x14ac:dyDescent="0.35">
      <c r="A531" t="s">
        <v>30</v>
      </c>
      <c r="B531" t="s">
        <v>657</v>
      </c>
      <c r="C531" t="s">
        <v>658</v>
      </c>
      <c r="D531">
        <v>52830.3</v>
      </c>
      <c r="E531">
        <v>33726.86</v>
      </c>
      <c r="F531">
        <v>19103.439999999999</v>
      </c>
      <c r="G531">
        <v>19103.439999999999</v>
      </c>
      <c r="H531" s="5">
        <v>0</v>
      </c>
      <c r="I531" s="5">
        <v>0</v>
      </c>
      <c r="J531" s="5">
        <v>0</v>
      </c>
      <c r="K531">
        <v>0</v>
      </c>
      <c r="L531"/>
      <c r="M531"/>
      <c r="N531"/>
      <c r="O531"/>
    </row>
    <row r="532" spans="1:15" x14ac:dyDescent="0.35">
      <c r="A532" t="s">
        <v>210</v>
      </c>
      <c r="B532" t="s">
        <v>3657</v>
      </c>
      <c r="C532" t="s">
        <v>3658</v>
      </c>
      <c r="D532">
        <v>97.299999999999301</v>
      </c>
      <c r="E532"/>
      <c r="F532">
        <v>97.299999999999301</v>
      </c>
      <c r="G532">
        <v>97.299999999999301</v>
      </c>
      <c r="K532"/>
      <c r="L532"/>
      <c r="M532"/>
      <c r="N532"/>
      <c r="O532"/>
    </row>
    <row r="533" spans="1:15" x14ac:dyDescent="0.35">
      <c r="A533" t="s">
        <v>36</v>
      </c>
      <c r="B533" t="s">
        <v>737</v>
      </c>
      <c r="C533" t="s">
        <v>738</v>
      </c>
      <c r="D533">
        <v>185907.81</v>
      </c>
      <c r="E533">
        <v>47194.32</v>
      </c>
      <c r="F533">
        <v>138713.49</v>
      </c>
      <c r="G533">
        <v>138713.49</v>
      </c>
      <c r="I533" s="5">
        <v>0</v>
      </c>
      <c r="J533" s="5">
        <v>0</v>
      </c>
      <c r="K533">
        <v>0</v>
      </c>
      <c r="L533"/>
      <c r="M533"/>
      <c r="N533"/>
      <c r="O533"/>
    </row>
    <row r="534" spans="1:15" x14ac:dyDescent="0.35">
      <c r="A534" t="s">
        <v>41</v>
      </c>
      <c r="B534" t="s">
        <v>1233</v>
      </c>
      <c r="C534" t="s">
        <v>1234</v>
      </c>
      <c r="D534">
        <v>73581.58</v>
      </c>
      <c r="E534"/>
      <c r="F534">
        <v>73581.58</v>
      </c>
      <c r="G534">
        <v>59</v>
      </c>
      <c r="H534" s="5">
        <v>73522.58</v>
      </c>
      <c r="K534"/>
      <c r="L534"/>
      <c r="M534"/>
      <c r="N534"/>
      <c r="O534"/>
    </row>
    <row r="535" spans="1:15" x14ac:dyDescent="0.35">
      <c r="A535" t="s">
        <v>27</v>
      </c>
      <c r="B535" t="s">
        <v>763</v>
      </c>
      <c r="C535" t="s">
        <v>764</v>
      </c>
      <c r="D535">
        <v>246197.15000000002</v>
      </c>
      <c r="E535">
        <v>64297.74</v>
      </c>
      <c r="F535">
        <v>181899.41</v>
      </c>
      <c r="G535">
        <v>104882.42</v>
      </c>
      <c r="H535" s="5">
        <v>77016.990000000005</v>
      </c>
      <c r="I535" s="5">
        <v>0</v>
      </c>
      <c r="J535" s="5">
        <v>0</v>
      </c>
      <c r="K535">
        <v>0</v>
      </c>
      <c r="L535"/>
      <c r="M535"/>
      <c r="N535"/>
      <c r="O535"/>
    </row>
    <row r="536" spans="1:15" x14ac:dyDescent="0.35">
      <c r="A536" t="s">
        <v>27</v>
      </c>
      <c r="B536" t="s">
        <v>503</v>
      </c>
      <c r="C536" t="s">
        <v>504</v>
      </c>
      <c r="D536">
        <v>534969.55999999994</v>
      </c>
      <c r="E536">
        <v>37645.520000000004</v>
      </c>
      <c r="F536">
        <v>497324.04</v>
      </c>
      <c r="G536">
        <v>108954.04000000001</v>
      </c>
      <c r="H536" s="5">
        <v>388370</v>
      </c>
      <c r="I536" s="5">
        <v>0</v>
      </c>
      <c r="K536"/>
      <c r="L536"/>
      <c r="M536"/>
      <c r="N536"/>
      <c r="O536"/>
    </row>
    <row r="537" spans="1:15" x14ac:dyDescent="0.35">
      <c r="A537" t="s">
        <v>16</v>
      </c>
      <c r="B537" t="s">
        <v>827</v>
      </c>
      <c r="C537" t="s">
        <v>828</v>
      </c>
      <c r="D537">
        <v>52544.83</v>
      </c>
      <c r="E537">
        <v>42693.8</v>
      </c>
      <c r="F537">
        <v>9851.0300000000007</v>
      </c>
      <c r="G537">
        <v>9851.0300000000007</v>
      </c>
      <c r="H537" s="5">
        <v>0</v>
      </c>
      <c r="I537" s="5">
        <v>0</v>
      </c>
      <c r="J537" s="5">
        <v>0</v>
      </c>
      <c r="K537">
        <v>0</v>
      </c>
      <c r="L537"/>
      <c r="M537"/>
      <c r="N537"/>
      <c r="O537"/>
    </row>
    <row r="538" spans="1:15" x14ac:dyDescent="0.35">
      <c r="A538" t="s">
        <v>19</v>
      </c>
      <c r="B538" t="s">
        <v>1163</v>
      </c>
      <c r="C538" t="s">
        <v>1164</v>
      </c>
      <c r="D538">
        <v>46114.46</v>
      </c>
      <c r="E538">
        <v>46114.46</v>
      </c>
      <c r="F538">
        <v>0</v>
      </c>
      <c r="G538"/>
      <c r="I538" s="5">
        <v>0</v>
      </c>
      <c r="J538" s="5">
        <v>0</v>
      </c>
      <c r="K538"/>
      <c r="L538">
        <v>0</v>
      </c>
      <c r="M538"/>
      <c r="N538"/>
      <c r="O538"/>
    </row>
    <row r="539" spans="1:15" x14ac:dyDescent="0.35">
      <c r="A539" t="s">
        <v>169</v>
      </c>
      <c r="B539" t="s">
        <v>713</v>
      </c>
      <c r="C539" t="s">
        <v>714</v>
      </c>
      <c r="D539">
        <v>227327.02</v>
      </c>
      <c r="E539"/>
      <c r="F539">
        <v>227327.02</v>
      </c>
      <c r="G539">
        <v>227327.02</v>
      </c>
      <c r="H539" s="5">
        <v>0</v>
      </c>
      <c r="I539" s="5">
        <v>0</v>
      </c>
      <c r="J539" s="5">
        <v>0</v>
      </c>
      <c r="K539"/>
      <c r="L539"/>
      <c r="M539"/>
      <c r="N539"/>
      <c r="O539"/>
    </row>
    <row r="540" spans="1:15" x14ac:dyDescent="0.35">
      <c r="A540" t="s">
        <v>55</v>
      </c>
      <c r="B540" t="s">
        <v>1111</v>
      </c>
      <c r="C540" t="s">
        <v>1112</v>
      </c>
      <c r="D540">
        <v>1422.45</v>
      </c>
      <c r="E540"/>
      <c r="F540">
        <v>1422.45</v>
      </c>
      <c r="G540">
        <v>1422.45</v>
      </c>
      <c r="I540" s="5">
        <v>0</v>
      </c>
      <c r="K540"/>
      <c r="L540"/>
      <c r="M540"/>
      <c r="N540"/>
      <c r="O540"/>
    </row>
    <row r="541" spans="1:15" x14ac:dyDescent="0.35">
      <c r="A541" t="s">
        <v>24</v>
      </c>
      <c r="B541" t="s">
        <v>3659</v>
      </c>
      <c r="C541" t="s">
        <v>3660</v>
      </c>
      <c r="D541">
        <v>199490.37</v>
      </c>
      <c r="E541">
        <v>57477.32</v>
      </c>
      <c r="F541">
        <v>142013.04999999999</v>
      </c>
      <c r="G541">
        <v>142013.04999999999</v>
      </c>
      <c r="H541" s="5">
        <v>0</v>
      </c>
      <c r="I541" s="5">
        <v>0</v>
      </c>
      <c r="K541"/>
      <c r="L541"/>
      <c r="M541"/>
      <c r="N541"/>
      <c r="O541"/>
    </row>
    <row r="542" spans="1:15" x14ac:dyDescent="0.35">
      <c r="A542" t="s">
        <v>55</v>
      </c>
      <c r="B542" t="s">
        <v>1109</v>
      </c>
      <c r="C542" t="s">
        <v>1110</v>
      </c>
      <c r="D542">
        <v>534.71000000000595</v>
      </c>
      <c r="E542"/>
      <c r="F542">
        <v>534.71000000000595</v>
      </c>
      <c r="G542">
        <v>534.71000000000595</v>
      </c>
      <c r="I542" s="5">
        <v>0</v>
      </c>
      <c r="K542"/>
      <c r="L542"/>
      <c r="M542"/>
      <c r="N542"/>
      <c r="O542"/>
    </row>
    <row r="543" spans="1:15" x14ac:dyDescent="0.35">
      <c r="A543" t="s">
        <v>169</v>
      </c>
      <c r="B543" t="s">
        <v>1581</v>
      </c>
      <c r="C543" t="s">
        <v>1582</v>
      </c>
      <c r="D543">
        <v>21086.779999999995</v>
      </c>
      <c r="E543"/>
      <c r="F543">
        <v>21086.779999999995</v>
      </c>
      <c r="G543">
        <v>17544.62</v>
      </c>
      <c r="K543"/>
      <c r="L543"/>
      <c r="M543">
        <v>477</v>
      </c>
      <c r="N543">
        <v>3065.16</v>
      </c>
      <c r="O543"/>
    </row>
    <row r="544" spans="1:15" x14ac:dyDescent="0.35">
      <c r="A544" t="s">
        <v>27</v>
      </c>
      <c r="B544" t="s">
        <v>259</v>
      </c>
      <c r="C544" t="s">
        <v>260</v>
      </c>
      <c r="D544">
        <v>217855.49</v>
      </c>
      <c r="E544"/>
      <c r="F544">
        <v>217855.49</v>
      </c>
      <c r="G544">
        <v>217855.49</v>
      </c>
      <c r="H544" s="5">
        <v>0</v>
      </c>
      <c r="J544" s="5">
        <v>0</v>
      </c>
      <c r="K544"/>
      <c r="L544"/>
      <c r="M544"/>
      <c r="N544"/>
      <c r="O544"/>
    </row>
    <row r="545" spans="1:15" x14ac:dyDescent="0.35">
      <c r="A545" t="s">
        <v>100</v>
      </c>
      <c r="B545" t="s">
        <v>178</v>
      </c>
      <c r="C545" t="s">
        <v>179</v>
      </c>
      <c r="D545">
        <v>321837.5</v>
      </c>
      <c r="E545">
        <v>209851.2</v>
      </c>
      <c r="F545">
        <v>111986.3</v>
      </c>
      <c r="G545">
        <v>111986.3</v>
      </c>
      <c r="H545" s="5">
        <v>0</v>
      </c>
      <c r="I545" s="5">
        <v>0</v>
      </c>
      <c r="J545" s="5">
        <v>0</v>
      </c>
      <c r="K545"/>
      <c r="L545"/>
      <c r="M545"/>
      <c r="N545"/>
      <c r="O545"/>
    </row>
    <row r="546" spans="1:15" x14ac:dyDescent="0.35">
      <c r="A546" t="s">
        <v>19</v>
      </c>
      <c r="B546" t="s">
        <v>361</v>
      </c>
      <c r="C546" t="s">
        <v>362</v>
      </c>
      <c r="D546">
        <v>145127.50000000003</v>
      </c>
      <c r="E546">
        <v>145126.90000000002</v>
      </c>
      <c r="F546">
        <v>0.59999999999854503</v>
      </c>
      <c r="G546">
        <v>0.59999999999854503</v>
      </c>
      <c r="K546"/>
      <c r="L546"/>
      <c r="M546"/>
      <c r="N546"/>
      <c r="O546"/>
    </row>
    <row r="547" spans="1:15" x14ac:dyDescent="0.35">
      <c r="A547" t="s">
        <v>19</v>
      </c>
      <c r="B547" t="s">
        <v>729</v>
      </c>
      <c r="C547" t="s">
        <v>730</v>
      </c>
      <c r="D547">
        <v>66887.070000000007</v>
      </c>
      <c r="E547">
        <v>66887.070000000007</v>
      </c>
      <c r="F547">
        <v>0</v>
      </c>
      <c r="G547">
        <v>0</v>
      </c>
      <c r="H547" s="5">
        <v>0</v>
      </c>
      <c r="I547" s="5">
        <v>0</v>
      </c>
      <c r="J547" s="5">
        <v>0</v>
      </c>
      <c r="K547"/>
      <c r="L547"/>
      <c r="M547"/>
      <c r="N547"/>
      <c r="O547"/>
    </row>
    <row r="548" spans="1:15" x14ac:dyDescent="0.35">
      <c r="A548" t="s">
        <v>111</v>
      </c>
      <c r="B548" t="s">
        <v>983</v>
      </c>
      <c r="C548" t="s">
        <v>984</v>
      </c>
      <c r="D548">
        <v>128850.34</v>
      </c>
      <c r="E548">
        <v>128850.34</v>
      </c>
      <c r="F548">
        <v>0</v>
      </c>
      <c r="G548"/>
      <c r="I548" s="5">
        <v>0</v>
      </c>
      <c r="K548"/>
      <c r="L548"/>
      <c r="M548"/>
      <c r="N548"/>
      <c r="O548"/>
    </row>
    <row r="549" spans="1:15" x14ac:dyDescent="0.35">
      <c r="A549" t="s">
        <v>19</v>
      </c>
      <c r="B549" t="s">
        <v>1045</v>
      </c>
      <c r="C549" t="s">
        <v>1046</v>
      </c>
      <c r="D549">
        <v>370651.36000000004</v>
      </c>
      <c r="E549">
        <v>370651.36000000004</v>
      </c>
      <c r="F549">
        <v>0</v>
      </c>
      <c r="G549"/>
      <c r="I549" s="5">
        <v>0</v>
      </c>
      <c r="J549" s="5">
        <v>0</v>
      </c>
      <c r="K549"/>
      <c r="L549">
        <v>0</v>
      </c>
      <c r="M549"/>
      <c r="N549"/>
      <c r="O549"/>
    </row>
    <row r="550" spans="1:15" x14ac:dyDescent="0.35">
      <c r="A550" t="s">
        <v>88</v>
      </c>
      <c r="B550" t="s">
        <v>1191</v>
      </c>
      <c r="C550" t="s">
        <v>1192</v>
      </c>
      <c r="D550">
        <v>569.30999999999801</v>
      </c>
      <c r="E550"/>
      <c r="F550">
        <v>569.30999999999801</v>
      </c>
      <c r="G550">
        <v>569.30999999999801</v>
      </c>
      <c r="I550" s="5">
        <v>0</v>
      </c>
      <c r="J550" s="5">
        <v>0</v>
      </c>
      <c r="K550"/>
      <c r="L550"/>
      <c r="M550"/>
      <c r="N550"/>
      <c r="O550"/>
    </row>
    <row r="551" spans="1:15" x14ac:dyDescent="0.35">
      <c r="A551" t="s">
        <v>46</v>
      </c>
      <c r="B551" t="s">
        <v>3661</v>
      </c>
      <c r="C551" t="s">
        <v>3662</v>
      </c>
      <c r="D551">
        <v>67869.570000000007</v>
      </c>
      <c r="E551">
        <v>10827.68</v>
      </c>
      <c r="F551">
        <v>57041.89</v>
      </c>
      <c r="G551">
        <v>57041.89</v>
      </c>
      <c r="H551" s="5">
        <v>0</v>
      </c>
      <c r="I551" s="5">
        <v>0</v>
      </c>
      <c r="K551"/>
      <c r="L551"/>
      <c r="M551"/>
      <c r="N551"/>
      <c r="O551"/>
    </row>
    <row r="552" spans="1:15" x14ac:dyDescent="0.35">
      <c r="A552" t="s">
        <v>93</v>
      </c>
      <c r="B552" t="s">
        <v>3663</v>
      </c>
      <c r="C552" t="s">
        <v>3664</v>
      </c>
      <c r="D552">
        <v>35.509999999998399</v>
      </c>
      <c r="E552"/>
      <c r="F552">
        <v>35.509999999998399</v>
      </c>
      <c r="G552">
        <v>35.509999999998399</v>
      </c>
      <c r="K552"/>
      <c r="L552"/>
      <c r="M552"/>
      <c r="N552"/>
      <c r="O552"/>
    </row>
    <row r="553" spans="1:15" x14ac:dyDescent="0.35">
      <c r="A553" t="s">
        <v>55</v>
      </c>
      <c r="B553" t="s">
        <v>3665</v>
      </c>
      <c r="C553" t="s">
        <v>3666</v>
      </c>
      <c r="D553">
        <v>985.67999999999302</v>
      </c>
      <c r="E553"/>
      <c r="F553">
        <v>985.67999999999302</v>
      </c>
      <c r="G553">
        <v>985.67999999999302</v>
      </c>
      <c r="H553" s="5">
        <v>0</v>
      </c>
      <c r="I553" s="5">
        <v>0</v>
      </c>
      <c r="K553"/>
      <c r="L553"/>
      <c r="M553"/>
      <c r="N553"/>
      <c r="O553"/>
    </row>
    <row r="554" spans="1:15" x14ac:dyDescent="0.35">
      <c r="A554" t="s">
        <v>55</v>
      </c>
      <c r="B554" t="s">
        <v>1185</v>
      </c>
      <c r="C554" t="s">
        <v>1186</v>
      </c>
      <c r="D554">
        <v>7898.18</v>
      </c>
      <c r="E554"/>
      <c r="F554">
        <v>7898.18</v>
      </c>
      <c r="G554">
        <v>7898.18</v>
      </c>
      <c r="I554" s="5">
        <v>0</v>
      </c>
      <c r="J554" s="5">
        <v>0</v>
      </c>
      <c r="K554"/>
      <c r="L554"/>
      <c r="M554"/>
      <c r="N554"/>
      <c r="O554"/>
    </row>
    <row r="555" spans="1:15" x14ac:dyDescent="0.35">
      <c r="A555" t="s">
        <v>111</v>
      </c>
      <c r="B555" t="s">
        <v>1013</v>
      </c>
      <c r="C555" t="s">
        <v>1014</v>
      </c>
      <c r="D555">
        <v>72410.75</v>
      </c>
      <c r="E555">
        <v>72410.75</v>
      </c>
      <c r="F555">
        <v>0</v>
      </c>
      <c r="G555">
        <v>0</v>
      </c>
      <c r="J555" s="5">
        <v>0</v>
      </c>
      <c r="K555">
        <v>0</v>
      </c>
      <c r="L555"/>
      <c r="M555"/>
      <c r="N555"/>
      <c r="O555"/>
    </row>
    <row r="556" spans="1:15" x14ac:dyDescent="0.35">
      <c r="A556" t="s">
        <v>33</v>
      </c>
      <c r="B556" t="s">
        <v>1201</v>
      </c>
      <c r="C556" t="s">
        <v>1202</v>
      </c>
      <c r="D556">
        <v>58054.82</v>
      </c>
      <c r="E556">
        <v>58054.82</v>
      </c>
      <c r="F556">
        <v>0</v>
      </c>
      <c r="G556">
        <v>0</v>
      </c>
      <c r="H556" s="5">
        <v>0</v>
      </c>
      <c r="I556" s="5">
        <v>0</v>
      </c>
      <c r="K556"/>
      <c r="L556"/>
      <c r="M556"/>
      <c r="N556"/>
      <c r="O556"/>
    </row>
    <row r="557" spans="1:15" x14ac:dyDescent="0.35">
      <c r="A557" t="s">
        <v>41</v>
      </c>
      <c r="B557" t="s">
        <v>667</v>
      </c>
      <c r="C557" t="s">
        <v>668</v>
      </c>
      <c r="D557">
        <v>22333.040000000001</v>
      </c>
      <c r="E557">
        <v>22333.040000000001</v>
      </c>
      <c r="F557">
        <v>0</v>
      </c>
      <c r="G557">
        <v>0</v>
      </c>
      <c r="H557" s="5">
        <v>0</v>
      </c>
      <c r="I557" s="5">
        <v>0</v>
      </c>
      <c r="K557"/>
      <c r="L557"/>
      <c r="M557"/>
      <c r="N557"/>
      <c r="O557"/>
    </row>
    <row r="558" spans="1:15" x14ac:dyDescent="0.35">
      <c r="A558" t="s">
        <v>46</v>
      </c>
      <c r="B558" t="s">
        <v>3667</v>
      </c>
      <c r="C558" t="s">
        <v>3668</v>
      </c>
      <c r="D558">
        <v>15969.12</v>
      </c>
      <c r="E558">
        <v>15969.12</v>
      </c>
      <c r="F558">
        <v>0</v>
      </c>
      <c r="G558"/>
      <c r="H558" s="5">
        <v>0</v>
      </c>
      <c r="I558" s="5">
        <v>0</v>
      </c>
      <c r="K558"/>
      <c r="L558"/>
      <c r="M558"/>
      <c r="N558"/>
      <c r="O558"/>
    </row>
    <row r="559" spans="1:15" x14ac:dyDescent="0.35">
      <c r="A559" t="s">
        <v>169</v>
      </c>
      <c r="B559" t="s">
        <v>1015</v>
      </c>
      <c r="C559" t="s">
        <v>1016</v>
      </c>
      <c r="D559">
        <v>3457.89</v>
      </c>
      <c r="E559"/>
      <c r="F559">
        <v>3457.89</v>
      </c>
      <c r="G559">
        <v>3457.89</v>
      </c>
      <c r="H559" s="5">
        <v>0</v>
      </c>
      <c r="I559" s="5">
        <v>0</v>
      </c>
      <c r="J559" s="5">
        <v>0</v>
      </c>
      <c r="K559">
        <v>0</v>
      </c>
      <c r="L559"/>
      <c r="M559"/>
      <c r="N559"/>
      <c r="O559"/>
    </row>
    <row r="560" spans="1:15" x14ac:dyDescent="0.35">
      <c r="A560" t="s">
        <v>16</v>
      </c>
      <c r="B560" t="s">
        <v>545</v>
      </c>
      <c r="C560" t="s">
        <v>546</v>
      </c>
      <c r="D560">
        <v>108931.45999999999</v>
      </c>
      <c r="E560">
        <v>108931.45999999999</v>
      </c>
      <c r="F560">
        <v>0</v>
      </c>
      <c r="G560">
        <v>0</v>
      </c>
      <c r="H560" s="5">
        <v>0</v>
      </c>
      <c r="K560"/>
      <c r="L560"/>
      <c r="M560"/>
      <c r="N560"/>
      <c r="O560"/>
    </row>
    <row r="561" spans="1:15" x14ac:dyDescent="0.35">
      <c r="A561" t="s">
        <v>41</v>
      </c>
      <c r="B561" t="s">
        <v>3669</v>
      </c>
      <c r="C561" t="s">
        <v>3670</v>
      </c>
      <c r="D561">
        <v>250.38999999999899</v>
      </c>
      <c r="E561"/>
      <c r="F561">
        <v>250.38999999999899</v>
      </c>
      <c r="G561"/>
      <c r="H561" s="5">
        <v>250.38999999999899</v>
      </c>
      <c r="I561" s="5">
        <v>0</v>
      </c>
      <c r="K561"/>
      <c r="L561"/>
      <c r="M561"/>
      <c r="N561"/>
      <c r="O561"/>
    </row>
    <row r="562" spans="1:15" x14ac:dyDescent="0.35">
      <c r="A562" t="s">
        <v>55</v>
      </c>
      <c r="B562" t="s">
        <v>3094</v>
      </c>
      <c r="C562" t="s">
        <v>3095</v>
      </c>
      <c r="D562">
        <v>521.12999999999704</v>
      </c>
      <c r="E562"/>
      <c r="F562">
        <v>521.12999999999704</v>
      </c>
      <c r="G562"/>
      <c r="H562" s="5">
        <v>521.12999999999704</v>
      </c>
      <c r="I562" s="5">
        <v>0</v>
      </c>
      <c r="K562"/>
      <c r="L562"/>
      <c r="M562"/>
      <c r="N562"/>
      <c r="O562"/>
    </row>
    <row r="563" spans="1:15" x14ac:dyDescent="0.35">
      <c r="A563" t="s">
        <v>41</v>
      </c>
      <c r="B563" t="s">
        <v>845</v>
      </c>
      <c r="C563" t="s">
        <v>846</v>
      </c>
      <c r="D563">
        <v>75513.16</v>
      </c>
      <c r="E563">
        <v>75513.16</v>
      </c>
      <c r="F563">
        <v>0</v>
      </c>
      <c r="G563"/>
      <c r="H563" s="5">
        <v>0</v>
      </c>
      <c r="I563" s="5">
        <v>0</v>
      </c>
      <c r="K563"/>
      <c r="L563"/>
      <c r="M563"/>
      <c r="N563"/>
      <c r="O563"/>
    </row>
    <row r="564" spans="1:15" x14ac:dyDescent="0.35">
      <c r="A564" t="s">
        <v>24</v>
      </c>
      <c r="B564" t="s">
        <v>49</v>
      </c>
      <c r="C564" t="s">
        <v>50</v>
      </c>
      <c r="D564">
        <v>92518.04</v>
      </c>
      <c r="E564">
        <v>92518.04</v>
      </c>
      <c r="F564">
        <v>0</v>
      </c>
      <c r="G564"/>
      <c r="H564" s="5">
        <v>0</v>
      </c>
      <c r="K564"/>
      <c r="L564"/>
      <c r="M564"/>
      <c r="N564"/>
      <c r="O564"/>
    </row>
    <row r="565" spans="1:15" x14ac:dyDescent="0.35">
      <c r="A565" t="s">
        <v>30</v>
      </c>
      <c r="B565" t="s">
        <v>1425</v>
      </c>
      <c r="C565" t="s">
        <v>1426</v>
      </c>
      <c r="D565">
        <v>22111.289999999997</v>
      </c>
      <c r="E565"/>
      <c r="F565">
        <v>22111.289999999997</v>
      </c>
      <c r="G565">
        <v>22103.759999999998</v>
      </c>
      <c r="J565" s="5">
        <v>7.53</v>
      </c>
      <c r="K565"/>
      <c r="L565"/>
      <c r="M565"/>
      <c r="N565"/>
      <c r="O565"/>
    </row>
    <row r="566" spans="1:15" x14ac:dyDescent="0.35">
      <c r="A566" t="s">
        <v>210</v>
      </c>
      <c r="B566" t="s">
        <v>3102</v>
      </c>
      <c r="C566" t="s">
        <v>3103</v>
      </c>
      <c r="D566">
        <v>111.259999999998</v>
      </c>
      <c r="E566"/>
      <c r="F566">
        <v>111.259999999998</v>
      </c>
      <c r="G566"/>
      <c r="H566" s="5">
        <v>111.259999999998</v>
      </c>
      <c r="K566"/>
      <c r="L566"/>
      <c r="M566"/>
      <c r="N566"/>
      <c r="O566"/>
    </row>
    <row r="567" spans="1:15" x14ac:dyDescent="0.35">
      <c r="A567" t="s">
        <v>36</v>
      </c>
      <c r="B567" t="s">
        <v>971</v>
      </c>
      <c r="C567" t="s">
        <v>972</v>
      </c>
      <c r="D567">
        <v>341089.64</v>
      </c>
      <c r="E567">
        <v>341089.64</v>
      </c>
      <c r="F567">
        <v>0</v>
      </c>
      <c r="G567"/>
      <c r="H567" s="5">
        <v>0</v>
      </c>
      <c r="J567" s="5">
        <v>0</v>
      </c>
      <c r="K567"/>
      <c r="L567"/>
      <c r="M567"/>
      <c r="N567"/>
      <c r="O567"/>
    </row>
    <row r="568" spans="1:15" x14ac:dyDescent="0.35">
      <c r="A568" t="s">
        <v>111</v>
      </c>
      <c r="B568" t="s">
        <v>3106</v>
      </c>
      <c r="C568" t="s">
        <v>3107</v>
      </c>
      <c r="D568">
        <v>97.350000000002197</v>
      </c>
      <c r="E568"/>
      <c r="F568">
        <v>97.350000000002197</v>
      </c>
      <c r="G568"/>
      <c r="H568" s="5">
        <v>97.350000000002197</v>
      </c>
      <c r="K568"/>
      <c r="L568"/>
      <c r="M568"/>
      <c r="N568"/>
      <c r="O568"/>
    </row>
    <row r="569" spans="1:15" x14ac:dyDescent="0.35">
      <c r="A569" t="s">
        <v>55</v>
      </c>
      <c r="B569" t="s">
        <v>160</v>
      </c>
      <c r="C569" t="s">
        <v>161</v>
      </c>
      <c r="D569">
        <v>886.52999999999906</v>
      </c>
      <c r="E569"/>
      <c r="F569">
        <v>886.52999999999906</v>
      </c>
      <c r="G569"/>
      <c r="H569" s="5">
        <v>886.52999999999906</v>
      </c>
      <c r="I569" s="5">
        <v>0</v>
      </c>
      <c r="K569"/>
      <c r="L569"/>
      <c r="M569"/>
      <c r="N569"/>
      <c r="O569"/>
    </row>
    <row r="570" spans="1:15" x14ac:dyDescent="0.35">
      <c r="A570" t="s">
        <v>27</v>
      </c>
      <c r="B570" t="s">
        <v>3108</v>
      </c>
      <c r="C570" t="s">
        <v>3109</v>
      </c>
      <c r="D570">
        <v>29827.46</v>
      </c>
      <c r="E570">
        <v>29827.46</v>
      </c>
      <c r="F570">
        <v>0</v>
      </c>
      <c r="G570"/>
      <c r="I570" s="5">
        <v>0</v>
      </c>
      <c r="J570" s="5">
        <v>0</v>
      </c>
      <c r="K570"/>
      <c r="L570"/>
      <c r="M570"/>
      <c r="N570"/>
      <c r="O570"/>
    </row>
    <row r="571" spans="1:15" x14ac:dyDescent="0.35">
      <c r="A571" t="s">
        <v>41</v>
      </c>
      <c r="B571" t="s">
        <v>3110</v>
      </c>
      <c r="C571" t="s">
        <v>3111</v>
      </c>
      <c r="D571">
        <v>14.3499999999985</v>
      </c>
      <c r="E571"/>
      <c r="F571">
        <v>14.3499999999985</v>
      </c>
      <c r="G571"/>
      <c r="H571" s="5">
        <v>14.3499999999985</v>
      </c>
      <c r="I571" s="5">
        <v>0</v>
      </c>
      <c r="K571"/>
      <c r="L571"/>
      <c r="M571"/>
      <c r="N571"/>
      <c r="O571"/>
    </row>
    <row r="572" spans="1:15" x14ac:dyDescent="0.35">
      <c r="A572" t="s">
        <v>88</v>
      </c>
      <c r="B572" t="s">
        <v>1075</v>
      </c>
      <c r="C572" t="s">
        <v>1076</v>
      </c>
      <c r="D572">
        <v>1355.78</v>
      </c>
      <c r="E572"/>
      <c r="F572">
        <v>1355.78</v>
      </c>
      <c r="G572">
        <v>1355.78</v>
      </c>
      <c r="H572" s="5">
        <v>0</v>
      </c>
      <c r="I572" s="5">
        <v>0</v>
      </c>
      <c r="K572"/>
      <c r="L572"/>
      <c r="M572"/>
      <c r="N572"/>
      <c r="O572"/>
    </row>
    <row r="573" spans="1:15" x14ac:dyDescent="0.35">
      <c r="A573" t="s">
        <v>19</v>
      </c>
      <c r="B573" t="s">
        <v>39</v>
      </c>
      <c r="C573" t="s">
        <v>40</v>
      </c>
      <c r="D573">
        <v>460.67000000000201</v>
      </c>
      <c r="E573"/>
      <c r="F573">
        <v>460.67000000000201</v>
      </c>
      <c r="G573"/>
      <c r="H573" s="5">
        <v>460.67000000000201</v>
      </c>
      <c r="K573"/>
      <c r="L573"/>
      <c r="M573"/>
      <c r="N573"/>
      <c r="O573"/>
    </row>
    <row r="574" spans="1:15" x14ac:dyDescent="0.35">
      <c r="A574" t="s">
        <v>19</v>
      </c>
      <c r="B574" t="s">
        <v>60</v>
      </c>
      <c r="C574" t="s">
        <v>61</v>
      </c>
      <c r="D574">
        <v>171.16000000000301</v>
      </c>
      <c r="E574"/>
      <c r="F574">
        <v>171.16000000000301</v>
      </c>
      <c r="G574"/>
      <c r="H574" s="5">
        <v>171.16000000000301</v>
      </c>
      <c r="I574" s="5">
        <v>0</v>
      </c>
      <c r="J574" s="5">
        <v>0</v>
      </c>
      <c r="K574"/>
      <c r="L574"/>
      <c r="M574"/>
      <c r="N574"/>
      <c r="O574"/>
    </row>
    <row r="575" spans="1:15" x14ac:dyDescent="0.35">
      <c r="A575" t="s">
        <v>41</v>
      </c>
      <c r="B575" t="s">
        <v>62</v>
      </c>
      <c r="C575" t="s">
        <v>63</v>
      </c>
      <c r="D575">
        <v>259521.7</v>
      </c>
      <c r="E575"/>
      <c r="F575">
        <v>259521.7</v>
      </c>
      <c r="G575"/>
      <c r="H575" s="5">
        <v>269.76</v>
      </c>
      <c r="I575" s="5">
        <v>259251.94</v>
      </c>
      <c r="J575" s="5">
        <v>0</v>
      </c>
      <c r="K575">
        <v>0</v>
      </c>
      <c r="L575"/>
      <c r="M575"/>
      <c r="N575"/>
      <c r="O575"/>
    </row>
    <row r="576" spans="1:15" x14ac:dyDescent="0.35">
      <c r="A576" t="s">
        <v>19</v>
      </c>
      <c r="B576" t="s">
        <v>82</v>
      </c>
      <c r="C576" t="s">
        <v>83</v>
      </c>
      <c r="D576">
        <v>78232.800000000003</v>
      </c>
      <c r="E576">
        <v>78232.800000000003</v>
      </c>
      <c r="F576">
        <v>0</v>
      </c>
      <c r="G576">
        <v>0</v>
      </c>
      <c r="K576"/>
      <c r="L576"/>
      <c r="M576"/>
      <c r="N576"/>
      <c r="O576"/>
    </row>
    <row r="577" spans="1:15" x14ac:dyDescent="0.35">
      <c r="A577" t="s">
        <v>24</v>
      </c>
      <c r="B577" t="s">
        <v>355</v>
      </c>
      <c r="C577" t="s">
        <v>356</v>
      </c>
      <c r="D577">
        <v>250463.65000000002</v>
      </c>
      <c r="E577"/>
      <c r="F577">
        <v>250463.65000000002</v>
      </c>
      <c r="G577"/>
      <c r="H577" s="5">
        <v>250463.65000000002</v>
      </c>
      <c r="I577" s="5">
        <v>0</v>
      </c>
      <c r="J577" s="5">
        <v>0</v>
      </c>
      <c r="K577"/>
      <c r="L577"/>
      <c r="M577"/>
      <c r="N577"/>
      <c r="O577"/>
    </row>
    <row r="578" spans="1:15" x14ac:dyDescent="0.35">
      <c r="A578" t="s">
        <v>46</v>
      </c>
      <c r="B578" t="s">
        <v>357</v>
      </c>
      <c r="C578" t="s">
        <v>358</v>
      </c>
      <c r="D578">
        <v>295742.75</v>
      </c>
      <c r="E578">
        <v>150334.76</v>
      </c>
      <c r="F578">
        <v>145407.99</v>
      </c>
      <c r="G578"/>
      <c r="H578" s="5">
        <v>145407.99</v>
      </c>
      <c r="I578" s="5">
        <v>0</v>
      </c>
      <c r="J578" s="5">
        <v>0</v>
      </c>
      <c r="K578"/>
      <c r="L578"/>
      <c r="M578"/>
      <c r="N578"/>
      <c r="O578"/>
    </row>
    <row r="579" spans="1:15" x14ac:dyDescent="0.35">
      <c r="A579" t="s">
        <v>16</v>
      </c>
      <c r="B579" t="s">
        <v>316</v>
      </c>
      <c r="C579" t="s">
        <v>317</v>
      </c>
      <c r="D579">
        <v>272045.36</v>
      </c>
      <c r="E579">
        <v>51129.4</v>
      </c>
      <c r="F579">
        <v>220915.96000000002</v>
      </c>
      <c r="G579"/>
      <c r="H579" s="5">
        <v>220915.96000000002</v>
      </c>
      <c r="I579" s="5">
        <v>0</v>
      </c>
      <c r="J579" s="5">
        <v>0</v>
      </c>
      <c r="K579">
        <v>0</v>
      </c>
      <c r="L579"/>
      <c r="M579"/>
      <c r="N579"/>
      <c r="O579"/>
    </row>
    <row r="580" spans="1:15" x14ac:dyDescent="0.35">
      <c r="A580" t="s">
        <v>24</v>
      </c>
      <c r="B580" t="s">
        <v>308</v>
      </c>
      <c r="C580" t="s">
        <v>309</v>
      </c>
      <c r="D580">
        <v>77862.049999999988</v>
      </c>
      <c r="E580">
        <v>20793.96</v>
      </c>
      <c r="F580">
        <v>57068.09</v>
      </c>
      <c r="G580"/>
      <c r="H580" s="5">
        <v>57068.09</v>
      </c>
      <c r="I580" s="5">
        <v>0</v>
      </c>
      <c r="J580" s="5">
        <v>0</v>
      </c>
      <c r="K580"/>
      <c r="L580"/>
      <c r="M580"/>
      <c r="N580">
        <v>0</v>
      </c>
      <c r="O580"/>
    </row>
    <row r="581" spans="1:15" x14ac:dyDescent="0.35">
      <c r="A581" t="s">
        <v>100</v>
      </c>
      <c r="B581" t="s">
        <v>101</v>
      </c>
      <c r="C581" t="s">
        <v>102</v>
      </c>
      <c r="D581">
        <v>263688.76</v>
      </c>
      <c r="E581"/>
      <c r="F581">
        <v>263688.76</v>
      </c>
      <c r="G581"/>
      <c r="H581" s="5">
        <v>51000</v>
      </c>
      <c r="I581" s="5">
        <v>212688.76</v>
      </c>
      <c r="J581" s="5">
        <v>0</v>
      </c>
      <c r="K581">
        <v>0</v>
      </c>
      <c r="L581"/>
      <c r="M581"/>
      <c r="N581"/>
      <c r="O581"/>
    </row>
    <row r="582" spans="1:15" x14ac:dyDescent="0.35">
      <c r="A582" t="s">
        <v>100</v>
      </c>
      <c r="B582" t="s">
        <v>107</v>
      </c>
      <c r="C582" t="s">
        <v>108</v>
      </c>
      <c r="D582">
        <v>1841.21</v>
      </c>
      <c r="E582">
        <v>1841.21</v>
      </c>
      <c r="F582"/>
      <c r="G582"/>
      <c r="K582"/>
      <c r="L582"/>
      <c r="M582"/>
      <c r="N582"/>
      <c r="O582"/>
    </row>
    <row r="583" spans="1:15" x14ac:dyDescent="0.35">
      <c r="A583" t="s">
        <v>55</v>
      </c>
      <c r="B583" t="s">
        <v>116</v>
      </c>
      <c r="C583" t="s">
        <v>117</v>
      </c>
      <c r="D583">
        <v>28645.439999999999</v>
      </c>
      <c r="E583">
        <v>28645.439999999999</v>
      </c>
      <c r="F583">
        <v>0</v>
      </c>
      <c r="G583"/>
      <c r="H583" s="5">
        <v>0</v>
      </c>
      <c r="I583" s="5">
        <v>0</v>
      </c>
      <c r="K583"/>
      <c r="L583"/>
      <c r="M583"/>
      <c r="N583"/>
      <c r="O583"/>
    </row>
    <row r="584" spans="1:15" x14ac:dyDescent="0.35">
      <c r="A584" t="s">
        <v>46</v>
      </c>
      <c r="B584" t="s">
        <v>128</v>
      </c>
      <c r="C584" t="s">
        <v>129</v>
      </c>
      <c r="D584">
        <v>882547.02</v>
      </c>
      <c r="E584">
        <v>882547.02</v>
      </c>
      <c r="F584">
        <v>0</v>
      </c>
      <c r="G584">
        <v>0</v>
      </c>
      <c r="H584" s="5">
        <v>0</v>
      </c>
      <c r="I584" s="5">
        <v>0</v>
      </c>
      <c r="J584" s="5">
        <v>0</v>
      </c>
      <c r="K584">
        <v>0</v>
      </c>
      <c r="L584"/>
      <c r="M584"/>
      <c r="N584"/>
      <c r="O584"/>
    </row>
    <row r="585" spans="1:15" x14ac:dyDescent="0.35">
      <c r="A585" t="s">
        <v>36</v>
      </c>
      <c r="B585" t="s">
        <v>132</v>
      </c>
      <c r="C585" t="s">
        <v>133</v>
      </c>
      <c r="D585">
        <v>489160.68000000005</v>
      </c>
      <c r="E585">
        <v>489160.68000000005</v>
      </c>
      <c r="F585">
        <v>0</v>
      </c>
      <c r="G585"/>
      <c r="H585" s="5">
        <v>0</v>
      </c>
      <c r="I585" s="5">
        <v>0</v>
      </c>
      <c r="J585" s="5">
        <v>0</v>
      </c>
      <c r="K585"/>
      <c r="L585"/>
      <c r="M585"/>
      <c r="N585"/>
      <c r="O585"/>
    </row>
    <row r="586" spans="1:15" x14ac:dyDescent="0.35">
      <c r="A586" t="s">
        <v>36</v>
      </c>
      <c r="B586" t="s">
        <v>140</v>
      </c>
      <c r="C586" t="s">
        <v>141</v>
      </c>
      <c r="D586">
        <v>35071.78</v>
      </c>
      <c r="E586">
        <v>35071.78</v>
      </c>
      <c r="F586">
        <v>0</v>
      </c>
      <c r="G586"/>
      <c r="H586" s="5">
        <v>0</v>
      </c>
      <c r="K586"/>
      <c r="L586"/>
      <c r="M586"/>
      <c r="N586"/>
      <c r="O586"/>
    </row>
    <row r="587" spans="1:15" x14ac:dyDescent="0.35">
      <c r="A587" t="s">
        <v>36</v>
      </c>
      <c r="B587" t="s">
        <v>152</v>
      </c>
      <c r="C587" t="s">
        <v>153</v>
      </c>
      <c r="D587">
        <v>563.16</v>
      </c>
      <c r="E587"/>
      <c r="F587">
        <v>563.16</v>
      </c>
      <c r="G587"/>
      <c r="H587" s="5">
        <v>563.16</v>
      </c>
      <c r="I587" s="5">
        <v>0</v>
      </c>
      <c r="K587"/>
      <c r="L587"/>
      <c r="M587"/>
      <c r="N587"/>
      <c r="O587"/>
    </row>
    <row r="588" spans="1:15" x14ac:dyDescent="0.35">
      <c r="A588" t="s">
        <v>88</v>
      </c>
      <c r="B588" t="s">
        <v>217</v>
      </c>
      <c r="C588" t="s">
        <v>218</v>
      </c>
      <c r="D588">
        <v>95631.54</v>
      </c>
      <c r="E588">
        <v>95631.54</v>
      </c>
      <c r="F588">
        <v>0</v>
      </c>
      <c r="G588">
        <v>0</v>
      </c>
      <c r="H588" s="5">
        <v>0</v>
      </c>
      <c r="I588" s="5">
        <v>0</v>
      </c>
      <c r="J588" s="5">
        <v>0</v>
      </c>
      <c r="K588"/>
      <c r="L588"/>
      <c r="M588"/>
      <c r="N588"/>
      <c r="O588"/>
    </row>
    <row r="589" spans="1:15" x14ac:dyDescent="0.35">
      <c r="A589" t="s">
        <v>36</v>
      </c>
      <c r="B589" t="s">
        <v>231</v>
      </c>
      <c r="C589" t="s">
        <v>232</v>
      </c>
      <c r="D589">
        <v>157078</v>
      </c>
      <c r="E589">
        <v>154044.98000000001</v>
      </c>
      <c r="F589">
        <v>3033.02</v>
      </c>
      <c r="G589">
        <v>3033.02</v>
      </c>
      <c r="I589" s="5">
        <v>0</v>
      </c>
      <c r="J589" s="5">
        <v>0</v>
      </c>
      <c r="K589"/>
      <c r="L589"/>
      <c r="M589"/>
      <c r="N589"/>
      <c r="O589"/>
    </row>
    <row r="590" spans="1:15" x14ac:dyDescent="0.35">
      <c r="A590" t="s">
        <v>55</v>
      </c>
      <c r="B590" t="s">
        <v>233</v>
      </c>
      <c r="C590" t="s">
        <v>234</v>
      </c>
      <c r="D590">
        <v>6811.68</v>
      </c>
      <c r="E590">
        <v>6811.68</v>
      </c>
      <c r="F590">
        <v>0</v>
      </c>
      <c r="G590"/>
      <c r="H590" s="5">
        <v>0</v>
      </c>
      <c r="K590"/>
      <c r="L590"/>
      <c r="M590"/>
      <c r="N590"/>
      <c r="O590"/>
    </row>
    <row r="591" spans="1:15" x14ac:dyDescent="0.35">
      <c r="A591" t="s">
        <v>55</v>
      </c>
      <c r="B591" t="s">
        <v>241</v>
      </c>
      <c r="C591" t="s">
        <v>242</v>
      </c>
      <c r="D591">
        <v>1809.25</v>
      </c>
      <c r="E591"/>
      <c r="F591">
        <v>1809.25</v>
      </c>
      <c r="G591"/>
      <c r="H591" s="5">
        <v>1809.25</v>
      </c>
      <c r="I591" s="5">
        <v>0</v>
      </c>
      <c r="K591"/>
      <c r="L591"/>
      <c r="M591"/>
      <c r="N591"/>
      <c r="O591"/>
    </row>
    <row r="592" spans="1:15" x14ac:dyDescent="0.35">
      <c r="A592" t="s">
        <v>41</v>
      </c>
      <c r="B592" t="s">
        <v>243</v>
      </c>
      <c r="C592" t="s">
        <v>244</v>
      </c>
      <c r="D592">
        <v>20293.64</v>
      </c>
      <c r="E592">
        <v>20293.64</v>
      </c>
      <c r="F592">
        <v>0</v>
      </c>
      <c r="G592"/>
      <c r="H592" s="5">
        <v>0</v>
      </c>
      <c r="I592" s="5">
        <v>0</v>
      </c>
      <c r="J592" s="5">
        <v>0</v>
      </c>
      <c r="K592"/>
      <c r="L592"/>
      <c r="M592"/>
      <c r="N592"/>
      <c r="O592"/>
    </row>
    <row r="593" spans="1:15" x14ac:dyDescent="0.35">
      <c r="A593" t="s">
        <v>55</v>
      </c>
      <c r="B593" t="s">
        <v>253</v>
      </c>
      <c r="C593" t="s">
        <v>254</v>
      </c>
      <c r="D593">
        <v>186132.58</v>
      </c>
      <c r="E593">
        <v>35033.08</v>
      </c>
      <c r="F593">
        <v>151099.5</v>
      </c>
      <c r="G593">
        <v>60702.02</v>
      </c>
      <c r="H593" s="5">
        <v>90397.48</v>
      </c>
      <c r="I593" s="5">
        <v>0</v>
      </c>
      <c r="J593" s="5">
        <v>0</v>
      </c>
      <c r="K593">
        <v>0</v>
      </c>
      <c r="L593"/>
      <c r="M593"/>
      <c r="N593"/>
      <c r="O593"/>
    </row>
    <row r="594" spans="1:15" x14ac:dyDescent="0.35">
      <c r="A594" t="s">
        <v>19</v>
      </c>
      <c r="B594" t="s">
        <v>271</v>
      </c>
      <c r="C594" t="s">
        <v>272</v>
      </c>
      <c r="D594">
        <v>100656.94</v>
      </c>
      <c r="E594">
        <v>46784.1</v>
      </c>
      <c r="F594">
        <v>53872.84</v>
      </c>
      <c r="G594">
        <v>53872.84</v>
      </c>
      <c r="H594" s="5">
        <v>0</v>
      </c>
      <c r="I594" s="5">
        <v>0</v>
      </c>
      <c r="K594"/>
      <c r="L594"/>
      <c r="M594"/>
      <c r="N594"/>
      <c r="O594"/>
    </row>
    <row r="595" spans="1:15" x14ac:dyDescent="0.35">
      <c r="A595" t="s">
        <v>88</v>
      </c>
      <c r="B595" t="s">
        <v>292</v>
      </c>
      <c r="C595" t="s">
        <v>293</v>
      </c>
      <c r="D595">
        <v>609196.44999999995</v>
      </c>
      <c r="E595">
        <v>127719.51999999999</v>
      </c>
      <c r="F595">
        <v>481476.93</v>
      </c>
      <c r="G595">
        <v>5265</v>
      </c>
      <c r="H595" s="5">
        <v>476211.93</v>
      </c>
      <c r="I595" s="5">
        <v>0</v>
      </c>
      <c r="J595" s="5">
        <v>0</v>
      </c>
      <c r="K595"/>
      <c r="L595"/>
      <c r="M595"/>
      <c r="N595"/>
      <c r="O595"/>
    </row>
    <row r="596" spans="1:15" x14ac:dyDescent="0.35">
      <c r="A596" t="s">
        <v>19</v>
      </c>
      <c r="B596" t="s">
        <v>363</v>
      </c>
      <c r="C596" t="s">
        <v>364</v>
      </c>
      <c r="D596">
        <v>46634.82</v>
      </c>
      <c r="E596">
        <v>46634.82</v>
      </c>
      <c r="F596">
        <v>0</v>
      </c>
      <c r="G596">
        <v>0</v>
      </c>
      <c r="H596" s="5">
        <v>0</v>
      </c>
      <c r="I596" s="5">
        <v>0</v>
      </c>
      <c r="K596"/>
      <c r="L596">
        <v>0</v>
      </c>
      <c r="M596"/>
      <c r="N596"/>
      <c r="O596"/>
    </row>
    <row r="597" spans="1:15" x14ac:dyDescent="0.35">
      <c r="A597" t="s">
        <v>19</v>
      </c>
      <c r="B597" t="s">
        <v>385</v>
      </c>
      <c r="C597" t="s">
        <v>386</v>
      </c>
      <c r="D597">
        <v>20283.5</v>
      </c>
      <c r="E597">
        <v>20283.5</v>
      </c>
      <c r="F597">
        <v>0</v>
      </c>
      <c r="G597">
        <v>0</v>
      </c>
      <c r="J597" s="5">
        <v>0</v>
      </c>
      <c r="K597">
        <v>0</v>
      </c>
      <c r="L597"/>
      <c r="M597"/>
      <c r="N597"/>
      <c r="O597"/>
    </row>
    <row r="598" spans="1:15" x14ac:dyDescent="0.35">
      <c r="A598" t="s">
        <v>24</v>
      </c>
      <c r="B598" t="s">
        <v>395</v>
      </c>
      <c r="C598" t="s">
        <v>396</v>
      </c>
      <c r="D598">
        <v>3.4500000000116402</v>
      </c>
      <c r="E598"/>
      <c r="F598">
        <v>3.4500000000116402</v>
      </c>
      <c r="G598"/>
      <c r="H598" s="5">
        <v>3.4500000000116402</v>
      </c>
      <c r="I598" s="5">
        <v>0</v>
      </c>
      <c r="K598"/>
      <c r="L598"/>
      <c r="M598"/>
      <c r="N598"/>
      <c r="O598"/>
    </row>
    <row r="599" spans="1:15" x14ac:dyDescent="0.35">
      <c r="A599" t="s">
        <v>111</v>
      </c>
      <c r="B599" t="s">
        <v>399</v>
      </c>
      <c r="C599" t="s">
        <v>400</v>
      </c>
      <c r="D599">
        <v>41913.599999999999</v>
      </c>
      <c r="E599">
        <v>41913.599999999999</v>
      </c>
      <c r="F599">
        <v>0</v>
      </c>
      <c r="G599">
        <v>0</v>
      </c>
      <c r="K599"/>
      <c r="L599"/>
      <c r="M599"/>
      <c r="N599"/>
      <c r="O599"/>
    </row>
    <row r="600" spans="1:15" x14ac:dyDescent="0.35">
      <c r="A600" t="s">
        <v>164</v>
      </c>
      <c r="B600" t="s">
        <v>413</v>
      </c>
      <c r="C600" t="s">
        <v>414</v>
      </c>
      <c r="D600">
        <v>4383.3200000000097</v>
      </c>
      <c r="E600"/>
      <c r="F600">
        <v>4383.3200000000097</v>
      </c>
      <c r="G600"/>
      <c r="H600" s="5">
        <v>4383.3200000000097</v>
      </c>
      <c r="I600" s="5">
        <v>0</v>
      </c>
      <c r="K600"/>
      <c r="L600"/>
      <c r="M600"/>
      <c r="N600"/>
      <c r="O600"/>
    </row>
    <row r="601" spans="1:15" x14ac:dyDescent="0.35">
      <c r="A601" t="s">
        <v>19</v>
      </c>
      <c r="B601" t="s">
        <v>423</v>
      </c>
      <c r="C601" t="s">
        <v>424</v>
      </c>
      <c r="D601">
        <v>365770.5</v>
      </c>
      <c r="E601">
        <v>365770.5</v>
      </c>
      <c r="F601">
        <v>0</v>
      </c>
      <c r="G601">
        <v>0</v>
      </c>
      <c r="H601" s="5">
        <v>0</v>
      </c>
      <c r="I601" s="5">
        <v>0</v>
      </c>
      <c r="J601" s="5">
        <v>0</v>
      </c>
      <c r="K601"/>
      <c r="L601"/>
      <c r="M601"/>
      <c r="N601"/>
      <c r="O601"/>
    </row>
    <row r="602" spans="1:15" x14ac:dyDescent="0.35">
      <c r="A602" t="s">
        <v>19</v>
      </c>
      <c r="B602" t="s">
        <v>433</v>
      </c>
      <c r="C602" t="s">
        <v>434</v>
      </c>
      <c r="D602">
        <v>124593.84</v>
      </c>
      <c r="E602">
        <v>124593.84</v>
      </c>
      <c r="F602">
        <v>0</v>
      </c>
      <c r="G602"/>
      <c r="I602" s="5">
        <v>0</v>
      </c>
      <c r="K602">
        <v>0</v>
      </c>
      <c r="L602"/>
      <c r="M602"/>
      <c r="N602"/>
      <c r="O602"/>
    </row>
    <row r="603" spans="1:15" x14ac:dyDescent="0.35">
      <c r="A603" t="s">
        <v>169</v>
      </c>
      <c r="B603" t="s">
        <v>443</v>
      </c>
      <c r="C603" t="s">
        <v>444</v>
      </c>
      <c r="D603">
        <v>9044.6299999999992</v>
      </c>
      <c r="E603"/>
      <c r="F603">
        <v>9044.6299999999992</v>
      </c>
      <c r="G603"/>
      <c r="H603" s="5">
        <v>9044.6299999999992</v>
      </c>
      <c r="I603" s="5">
        <v>0</v>
      </c>
      <c r="K603"/>
      <c r="L603"/>
      <c r="M603"/>
      <c r="N603"/>
      <c r="O603"/>
    </row>
    <row r="604" spans="1:15" x14ac:dyDescent="0.35">
      <c r="A604" t="s">
        <v>36</v>
      </c>
      <c r="B604" t="s">
        <v>481</v>
      </c>
      <c r="C604" t="s">
        <v>482</v>
      </c>
      <c r="D604">
        <v>684210.58</v>
      </c>
      <c r="E604">
        <v>684210.58</v>
      </c>
      <c r="F604">
        <v>0</v>
      </c>
      <c r="G604"/>
      <c r="J604" s="5">
        <v>0</v>
      </c>
      <c r="K604"/>
      <c r="L604"/>
      <c r="M604"/>
      <c r="N604"/>
      <c r="O604"/>
    </row>
    <row r="605" spans="1:15" x14ac:dyDescent="0.35">
      <c r="A605" t="s">
        <v>100</v>
      </c>
      <c r="B605" t="s">
        <v>507</v>
      </c>
      <c r="C605" t="s">
        <v>508</v>
      </c>
      <c r="D605">
        <v>1761.98000000001</v>
      </c>
      <c r="E605"/>
      <c r="F605">
        <v>1761.98000000001</v>
      </c>
      <c r="G605"/>
      <c r="H605" s="5">
        <v>1761.98000000001</v>
      </c>
      <c r="K605"/>
      <c r="L605"/>
      <c r="M605"/>
      <c r="N605"/>
      <c r="O605"/>
    </row>
    <row r="606" spans="1:15" x14ac:dyDescent="0.35">
      <c r="A606" t="s">
        <v>30</v>
      </c>
      <c r="B606" t="s">
        <v>519</v>
      </c>
      <c r="C606" t="s">
        <v>520</v>
      </c>
      <c r="D606">
        <v>79337.570000000007</v>
      </c>
      <c r="E606">
        <v>22791.82</v>
      </c>
      <c r="F606">
        <v>56545.75</v>
      </c>
      <c r="G606">
        <v>56545.75</v>
      </c>
      <c r="I606" s="5">
        <v>0</v>
      </c>
      <c r="K606"/>
      <c r="L606"/>
      <c r="M606"/>
      <c r="N606"/>
      <c r="O606"/>
    </row>
    <row r="607" spans="1:15" x14ac:dyDescent="0.35">
      <c r="A607" t="s">
        <v>93</v>
      </c>
      <c r="B607" t="s">
        <v>529</v>
      </c>
      <c r="C607" t="s">
        <v>530</v>
      </c>
      <c r="D607">
        <v>391.46</v>
      </c>
      <c r="E607"/>
      <c r="F607">
        <v>391.46</v>
      </c>
      <c r="G607"/>
      <c r="H607" s="5">
        <v>391.46</v>
      </c>
      <c r="J607" s="5">
        <v>0</v>
      </c>
      <c r="K607"/>
      <c r="L607"/>
      <c r="M607"/>
      <c r="N607"/>
      <c r="O607"/>
    </row>
    <row r="608" spans="1:15" x14ac:dyDescent="0.35">
      <c r="A608" t="s">
        <v>36</v>
      </c>
      <c r="B608" t="s">
        <v>531</v>
      </c>
      <c r="C608" t="s">
        <v>532</v>
      </c>
      <c r="D608">
        <v>387.42</v>
      </c>
      <c r="E608"/>
      <c r="F608">
        <v>387.42</v>
      </c>
      <c r="G608"/>
      <c r="H608" s="5">
        <v>387.42</v>
      </c>
      <c r="J608" s="5">
        <v>0</v>
      </c>
      <c r="K608"/>
      <c r="L608"/>
      <c r="M608"/>
      <c r="N608"/>
      <c r="O608"/>
    </row>
    <row r="609" spans="1:15" x14ac:dyDescent="0.35">
      <c r="A609" t="s">
        <v>210</v>
      </c>
      <c r="B609" t="s">
        <v>553</v>
      </c>
      <c r="C609" t="s">
        <v>554</v>
      </c>
      <c r="D609">
        <v>90930.8</v>
      </c>
      <c r="E609"/>
      <c r="F609">
        <v>90930.8</v>
      </c>
      <c r="G609">
        <v>90930.8</v>
      </c>
      <c r="H609" s="5">
        <v>0</v>
      </c>
      <c r="I609" s="5">
        <v>0</v>
      </c>
      <c r="J609" s="5">
        <v>0</v>
      </c>
      <c r="K609"/>
      <c r="L609"/>
      <c r="M609"/>
      <c r="N609"/>
      <c r="O609"/>
    </row>
    <row r="610" spans="1:15" x14ac:dyDescent="0.35">
      <c r="A610" t="s">
        <v>88</v>
      </c>
      <c r="B610" t="s">
        <v>561</v>
      </c>
      <c r="C610" t="s">
        <v>562</v>
      </c>
      <c r="D610">
        <v>109236.56</v>
      </c>
      <c r="E610">
        <v>109236.56</v>
      </c>
      <c r="F610">
        <v>0</v>
      </c>
      <c r="G610">
        <v>0</v>
      </c>
      <c r="H610" s="5">
        <v>0</v>
      </c>
      <c r="I610" s="5">
        <v>0</v>
      </c>
      <c r="J610" s="5">
        <v>0</v>
      </c>
      <c r="K610"/>
      <c r="L610"/>
      <c r="M610"/>
      <c r="N610"/>
      <c r="O610"/>
    </row>
    <row r="611" spans="1:15" x14ac:dyDescent="0.35">
      <c r="A611" t="s">
        <v>24</v>
      </c>
      <c r="B611" t="s">
        <v>585</v>
      </c>
      <c r="C611" t="s">
        <v>586</v>
      </c>
      <c r="D611">
        <v>182642.76</v>
      </c>
      <c r="E611">
        <v>182642.76</v>
      </c>
      <c r="F611">
        <v>0</v>
      </c>
      <c r="G611"/>
      <c r="H611" s="5">
        <v>0</v>
      </c>
      <c r="I611" s="5">
        <v>0</v>
      </c>
      <c r="K611"/>
      <c r="L611"/>
      <c r="M611"/>
      <c r="N611"/>
      <c r="O611"/>
    </row>
    <row r="612" spans="1:15" x14ac:dyDescent="0.35">
      <c r="A612" t="s">
        <v>19</v>
      </c>
      <c r="B612" t="s">
        <v>593</v>
      </c>
      <c r="C612" t="s">
        <v>594</v>
      </c>
      <c r="D612">
        <v>228498.77999999997</v>
      </c>
      <c r="E612">
        <v>228498.77999999997</v>
      </c>
      <c r="F612">
        <v>0</v>
      </c>
      <c r="G612">
        <v>0</v>
      </c>
      <c r="I612" s="5">
        <v>0</v>
      </c>
      <c r="J612" s="5">
        <v>0</v>
      </c>
      <c r="K612">
        <v>0</v>
      </c>
      <c r="L612"/>
      <c r="M612"/>
      <c r="N612"/>
      <c r="O612"/>
    </row>
    <row r="613" spans="1:15" x14ac:dyDescent="0.35">
      <c r="A613" t="s">
        <v>33</v>
      </c>
      <c r="B613" t="s">
        <v>641</v>
      </c>
      <c r="C613" t="s">
        <v>642</v>
      </c>
      <c r="D613">
        <v>5049.3500000000004</v>
      </c>
      <c r="E613"/>
      <c r="F613">
        <v>5049.3500000000004</v>
      </c>
      <c r="G613"/>
      <c r="H613" s="5">
        <v>5049.3500000000004</v>
      </c>
      <c r="K613"/>
      <c r="L613"/>
      <c r="M613"/>
      <c r="N613"/>
      <c r="O613"/>
    </row>
    <row r="614" spans="1:15" x14ac:dyDescent="0.35">
      <c r="A614" t="s">
        <v>24</v>
      </c>
      <c r="B614" t="s">
        <v>645</v>
      </c>
      <c r="C614" t="s">
        <v>646</v>
      </c>
      <c r="D614">
        <v>42790.239999999998</v>
      </c>
      <c r="E614">
        <v>38669.54</v>
      </c>
      <c r="F614">
        <v>4120.7</v>
      </c>
      <c r="G614">
        <v>4120.7</v>
      </c>
      <c r="J614" s="5">
        <v>0</v>
      </c>
      <c r="K614">
        <v>0</v>
      </c>
      <c r="L614"/>
      <c r="M614"/>
      <c r="N614">
        <v>0</v>
      </c>
      <c r="O614"/>
    </row>
    <row r="615" spans="1:15" x14ac:dyDescent="0.35">
      <c r="A615" t="s">
        <v>41</v>
      </c>
      <c r="B615" t="s">
        <v>661</v>
      </c>
      <c r="C615" t="s">
        <v>662</v>
      </c>
      <c r="D615">
        <v>6534.6299999999956</v>
      </c>
      <c r="E615">
        <v>6534.26</v>
      </c>
      <c r="F615">
        <v>0.369999999995343</v>
      </c>
      <c r="G615"/>
      <c r="I615" s="5">
        <v>0.369999999995343</v>
      </c>
      <c r="J615" s="5">
        <v>0</v>
      </c>
      <c r="K615"/>
      <c r="L615"/>
      <c r="M615"/>
      <c r="N615"/>
      <c r="O615"/>
    </row>
    <row r="616" spans="1:15" x14ac:dyDescent="0.35">
      <c r="A616" t="s">
        <v>41</v>
      </c>
      <c r="B616" t="s">
        <v>663</v>
      </c>
      <c r="C616" t="s">
        <v>664</v>
      </c>
      <c r="D616">
        <v>19824</v>
      </c>
      <c r="E616">
        <v>19824</v>
      </c>
      <c r="F616">
        <v>0</v>
      </c>
      <c r="G616"/>
      <c r="H616" s="5">
        <v>0</v>
      </c>
      <c r="I616" s="5">
        <v>0</v>
      </c>
      <c r="K616"/>
      <c r="L616"/>
      <c r="M616"/>
      <c r="N616"/>
      <c r="O616"/>
    </row>
    <row r="617" spans="1:15" x14ac:dyDescent="0.35">
      <c r="A617" t="s">
        <v>41</v>
      </c>
      <c r="B617" t="s">
        <v>669</v>
      </c>
      <c r="C617" t="s">
        <v>670</v>
      </c>
      <c r="D617">
        <v>406.57000000000232</v>
      </c>
      <c r="E617">
        <v>405.88</v>
      </c>
      <c r="F617">
        <v>0.69000000000232797</v>
      </c>
      <c r="G617"/>
      <c r="I617" s="5">
        <v>0.69000000000232797</v>
      </c>
      <c r="K617"/>
      <c r="L617"/>
      <c r="M617"/>
      <c r="N617"/>
      <c r="O617"/>
    </row>
    <row r="618" spans="1:15" x14ac:dyDescent="0.35">
      <c r="A618" t="s">
        <v>24</v>
      </c>
      <c r="B618" t="s">
        <v>711</v>
      </c>
      <c r="C618" t="s">
        <v>712</v>
      </c>
      <c r="D618">
        <v>161.67999999999299</v>
      </c>
      <c r="E618"/>
      <c r="F618">
        <v>161.67999999999299</v>
      </c>
      <c r="G618"/>
      <c r="H618" s="5">
        <v>161.67999999999299</v>
      </c>
      <c r="I618" s="5">
        <v>0</v>
      </c>
      <c r="J618" s="5">
        <v>0</v>
      </c>
      <c r="K618"/>
      <c r="L618"/>
      <c r="M618"/>
      <c r="N618"/>
      <c r="O618"/>
    </row>
    <row r="619" spans="1:15" x14ac:dyDescent="0.35">
      <c r="A619" t="s">
        <v>19</v>
      </c>
      <c r="B619" t="s">
        <v>723</v>
      </c>
      <c r="C619" t="s">
        <v>724</v>
      </c>
      <c r="D619">
        <v>32602.679999999997</v>
      </c>
      <c r="E619">
        <v>30440.46</v>
      </c>
      <c r="F619">
        <v>2162.2200000000003</v>
      </c>
      <c r="G619"/>
      <c r="J619" s="5">
        <v>2162.2200000000003</v>
      </c>
      <c r="K619"/>
      <c r="L619"/>
      <c r="M619"/>
      <c r="N619"/>
      <c r="O619"/>
    </row>
    <row r="620" spans="1:15" x14ac:dyDescent="0.35">
      <c r="A620" t="s">
        <v>41</v>
      </c>
      <c r="B620" t="s">
        <v>727</v>
      </c>
      <c r="C620" t="s">
        <v>728</v>
      </c>
      <c r="D620">
        <v>72.430000000000007</v>
      </c>
      <c r="E620"/>
      <c r="F620">
        <v>72.430000000000007</v>
      </c>
      <c r="G620"/>
      <c r="I620" s="5">
        <v>72.430000000000007</v>
      </c>
      <c r="J620" s="5">
        <v>0</v>
      </c>
      <c r="K620">
        <v>0</v>
      </c>
      <c r="L620"/>
      <c r="M620"/>
      <c r="N620"/>
      <c r="O620"/>
    </row>
    <row r="621" spans="1:15" x14ac:dyDescent="0.35">
      <c r="A621" t="s">
        <v>19</v>
      </c>
      <c r="B621" t="s">
        <v>739</v>
      </c>
      <c r="C621" t="s">
        <v>740</v>
      </c>
      <c r="D621">
        <v>3395.05</v>
      </c>
      <c r="E621"/>
      <c r="F621">
        <v>3395.05</v>
      </c>
      <c r="G621"/>
      <c r="I621" s="5">
        <v>3395.05</v>
      </c>
      <c r="K621"/>
      <c r="L621"/>
      <c r="M621"/>
      <c r="N621"/>
      <c r="O621"/>
    </row>
    <row r="622" spans="1:15" x14ac:dyDescent="0.35">
      <c r="A622" t="s">
        <v>36</v>
      </c>
      <c r="B622" t="s">
        <v>749</v>
      </c>
      <c r="C622" t="s">
        <v>750</v>
      </c>
      <c r="D622">
        <v>1789.27</v>
      </c>
      <c r="E622"/>
      <c r="F622">
        <v>1789.27</v>
      </c>
      <c r="G622"/>
      <c r="I622" s="5">
        <v>1789.27</v>
      </c>
      <c r="K622"/>
      <c r="L622"/>
      <c r="M622"/>
      <c r="N622"/>
      <c r="O622"/>
    </row>
    <row r="623" spans="1:15" x14ac:dyDescent="0.35">
      <c r="A623" t="s">
        <v>275</v>
      </c>
      <c r="B623" t="s">
        <v>759</v>
      </c>
      <c r="C623" t="s">
        <v>760</v>
      </c>
      <c r="D623">
        <v>68597.42</v>
      </c>
      <c r="E623">
        <v>4018.61</v>
      </c>
      <c r="F623">
        <v>64578.810000000005</v>
      </c>
      <c r="G623">
        <v>64578.400000000001</v>
      </c>
      <c r="H623" s="5">
        <v>0.41000000000349202</v>
      </c>
      <c r="I623" s="5">
        <v>0</v>
      </c>
      <c r="J623" s="5">
        <v>0</v>
      </c>
      <c r="K623"/>
      <c r="L623"/>
      <c r="M623"/>
      <c r="N623"/>
      <c r="O623"/>
    </row>
    <row r="624" spans="1:15" x14ac:dyDescent="0.35">
      <c r="A624" t="s">
        <v>19</v>
      </c>
      <c r="B624" t="s">
        <v>781</v>
      </c>
      <c r="C624" t="s">
        <v>782</v>
      </c>
      <c r="D624">
        <v>1765.87</v>
      </c>
      <c r="E624"/>
      <c r="F624">
        <v>1765.87</v>
      </c>
      <c r="G624"/>
      <c r="I624" s="5">
        <v>1765.87</v>
      </c>
      <c r="K624"/>
      <c r="L624"/>
      <c r="M624"/>
      <c r="N624"/>
      <c r="O624"/>
    </row>
    <row r="625" spans="1:15" x14ac:dyDescent="0.35">
      <c r="A625" t="s">
        <v>41</v>
      </c>
      <c r="B625" t="s">
        <v>789</v>
      </c>
      <c r="C625" t="s">
        <v>790</v>
      </c>
      <c r="D625">
        <v>20058.82</v>
      </c>
      <c r="E625">
        <v>20058.82</v>
      </c>
      <c r="F625">
        <v>0</v>
      </c>
      <c r="G625"/>
      <c r="H625" s="5">
        <v>0</v>
      </c>
      <c r="I625" s="5">
        <v>0</v>
      </c>
      <c r="K625"/>
      <c r="L625"/>
      <c r="M625"/>
      <c r="N625"/>
      <c r="O625"/>
    </row>
    <row r="626" spans="1:15" x14ac:dyDescent="0.35">
      <c r="A626" t="s">
        <v>55</v>
      </c>
      <c r="B626" t="s">
        <v>799</v>
      </c>
      <c r="C626" t="s">
        <v>800</v>
      </c>
      <c r="D626">
        <v>17554.3</v>
      </c>
      <c r="E626">
        <v>17554.3</v>
      </c>
      <c r="F626"/>
      <c r="G626"/>
      <c r="K626"/>
      <c r="L626"/>
      <c r="M626"/>
      <c r="N626"/>
      <c r="O626"/>
    </row>
    <row r="627" spans="1:15" x14ac:dyDescent="0.35">
      <c r="A627" t="s">
        <v>111</v>
      </c>
      <c r="B627" t="s">
        <v>815</v>
      </c>
      <c r="C627" t="s">
        <v>816</v>
      </c>
      <c r="D627">
        <v>23933.270000000004</v>
      </c>
      <c r="E627">
        <v>23933.24</v>
      </c>
      <c r="F627">
        <v>3.0000000002473801E-2</v>
      </c>
      <c r="G627"/>
      <c r="H627" s="5">
        <v>3.0000000002473801E-2</v>
      </c>
      <c r="I627" s="5">
        <v>0</v>
      </c>
      <c r="K627"/>
      <c r="L627"/>
      <c r="M627"/>
      <c r="N627"/>
      <c r="O627"/>
    </row>
    <row r="628" spans="1:15" x14ac:dyDescent="0.35">
      <c r="A628" t="s">
        <v>41</v>
      </c>
      <c r="B628" t="s">
        <v>839</v>
      </c>
      <c r="C628" t="s">
        <v>840</v>
      </c>
      <c r="D628">
        <v>106965.98</v>
      </c>
      <c r="E628">
        <v>106965.98</v>
      </c>
      <c r="F628">
        <v>0</v>
      </c>
      <c r="G628"/>
      <c r="H628" s="5">
        <v>0</v>
      </c>
      <c r="I628" s="5">
        <v>0</v>
      </c>
      <c r="K628"/>
      <c r="L628"/>
      <c r="M628"/>
      <c r="N628"/>
      <c r="O628"/>
    </row>
    <row r="629" spans="1:15" x14ac:dyDescent="0.35">
      <c r="A629" t="s">
        <v>19</v>
      </c>
      <c r="B629" t="s">
        <v>843</v>
      </c>
      <c r="C629" t="s">
        <v>844</v>
      </c>
      <c r="D629">
        <v>120062.64</v>
      </c>
      <c r="E629">
        <v>120062.64</v>
      </c>
      <c r="F629">
        <v>0</v>
      </c>
      <c r="G629"/>
      <c r="H629" s="5">
        <v>0</v>
      </c>
      <c r="I629" s="5">
        <v>0</v>
      </c>
      <c r="K629"/>
      <c r="L629"/>
      <c r="M629"/>
      <c r="N629"/>
      <c r="O629"/>
    </row>
    <row r="630" spans="1:15" x14ac:dyDescent="0.35">
      <c r="A630" t="s">
        <v>41</v>
      </c>
      <c r="B630" t="s">
        <v>853</v>
      </c>
      <c r="C630" t="s">
        <v>854</v>
      </c>
      <c r="D630">
        <v>148038.76</v>
      </c>
      <c r="E630">
        <v>148038.76</v>
      </c>
      <c r="F630">
        <v>0</v>
      </c>
      <c r="G630"/>
      <c r="H630" s="5">
        <v>0</v>
      </c>
      <c r="I630" s="5">
        <v>0</v>
      </c>
      <c r="K630"/>
      <c r="L630"/>
      <c r="M630"/>
      <c r="N630"/>
      <c r="O630"/>
    </row>
    <row r="631" spans="1:15" x14ac:dyDescent="0.35">
      <c r="A631" t="s">
        <v>24</v>
      </c>
      <c r="B631" t="s">
        <v>855</v>
      </c>
      <c r="C631" t="s">
        <v>856</v>
      </c>
      <c r="D631">
        <v>501.70000000000402</v>
      </c>
      <c r="E631"/>
      <c r="F631">
        <v>501.70000000000402</v>
      </c>
      <c r="G631"/>
      <c r="I631" s="5">
        <v>501.70000000000402</v>
      </c>
      <c r="K631"/>
      <c r="L631"/>
      <c r="M631"/>
      <c r="N631"/>
      <c r="O631"/>
    </row>
    <row r="632" spans="1:15" x14ac:dyDescent="0.35">
      <c r="A632" t="s">
        <v>55</v>
      </c>
      <c r="B632" t="s">
        <v>865</v>
      </c>
      <c r="C632" t="s">
        <v>866</v>
      </c>
      <c r="D632">
        <v>2353.94</v>
      </c>
      <c r="E632"/>
      <c r="F632">
        <v>2353.94</v>
      </c>
      <c r="G632"/>
      <c r="I632" s="5">
        <v>2353.94</v>
      </c>
      <c r="J632" s="5">
        <v>0</v>
      </c>
      <c r="K632"/>
      <c r="L632">
        <v>0</v>
      </c>
      <c r="M632">
        <v>0</v>
      </c>
      <c r="N632"/>
      <c r="O632"/>
    </row>
    <row r="633" spans="1:15" x14ac:dyDescent="0.35">
      <c r="A633" t="s">
        <v>93</v>
      </c>
      <c r="B633" t="s">
        <v>879</v>
      </c>
      <c r="C633" t="s">
        <v>880</v>
      </c>
      <c r="D633">
        <v>1018.4</v>
      </c>
      <c r="E633"/>
      <c r="F633">
        <v>1018.4</v>
      </c>
      <c r="G633"/>
      <c r="I633" s="5">
        <v>1018.4</v>
      </c>
      <c r="K633"/>
      <c r="L633"/>
      <c r="M633"/>
      <c r="N633"/>
      <c r="O633"/>
    </row>
    <row r="634" spans="1:15" x14ac:dyDescent="0.35">
      <c r="A634" t="s">
        <v>93</v>
      </c>
      <c r="B634" t="s">
        <v>895</v>
      </c>
      <c r="C634" t="s">
        <v>896</v>
      </c>
      <c r="D634">
        <v>10471.25</v>
      </c>
      <c r="E634">
        <v>10247.709999999999</v>
      </c>
      <c r="F634">
        <v>223.54000000000099</v>
      </c>
      <c r="G634"/>
      <c r="I634" s="5">
        <v>223.54000000000099</v>
      </c>
      <c r="K634"/>
      <c r="L634"/>
      <c r="M634">
        <v>0</v>
      </c>
      <c r="N634"/>
      <c r="O634"/>
    </row>
    <row r="635" spans="1:15" x14ac:dyDescent="0.35">
      <c r="A635" t="s">
        <v>93</v>
      </c>
      <c r="B635" t="s">
        <v>897</v>
      </c>
      <c r="C635" t="s">
        <v>898</v>
      </c>
      <c r="D635">
        <v>44.020000000000401</v>
      </c>
      <c r="E635"/>
      <c r="F635">
        <v>44.020000000000401</v>
      </c>
      <c r="G635"/>
      <c r="I635" s="5">
        <v>44.020000000000401</v>
      </c>
      <c r="K635"/>
      <c r="L635"/>
      <c r="M635"/>
      <c r="N635"/>
      <c r="O635"/>
    </row>
    <row r="636" spans="1:15" x14ac:dyDescent="0.35">
      <c r="A636" t="s">
        <v>33</v>
      </c>
      <c r="B636" t="s">
        <v>925</v>
      </c>
      <c r="C636" t="s">
        <v>926</v>
      </c>
      <c r="D636">
        <v>623907.30000000005</v>
      </c>
      <c r="E636"/>
      <c r="F636">
        <v>623907.30000000005</v>
      </c>
      <c r="G636"/>
      <c r="I636" s="5">
        <v>584519.04</v>
      </c>
      <c r="J636" s="5">
        <v>39388.26</v>
      </c>
      <c r="K636"/>
      <c r="L636"/>
      <c r="M636"/>
      <c r="N636"/>
      <c r="O636"/>
    </row>
    <row r="637" spans="1:15" x14ac:dyDescent="0.35">
      <c r="A637" t="s">
        <v>210</v>
      </c>
      <c r="B637" t="s">
        <v>927</v>
      </c>
      <c r="C637" t="s">
        <v>928</v>
      </c>
      <c r="D637">
        <v>481176.00999999995</v>
      </c>
      <c r="E637">
        <v>231773.15999999997</v>
      </c>
      <c r="F637">
        <v>249402.84999999998</v>
      </c>
      <c r="G637">
        <v>79248.800000000003</v>
      </c>
      <c r="H637" s="5">
        <v>170154.05</v>
      </c>
      <c r="I637" s="5">
        <v>0</v>
      </c>
      <c r="J637" s="5">
        <v>0</v>
      </c>
      <c r="K637"/>
      <c r="L637"/>
      <c r="M637"/>
      <c r="N637"/>
      <c r="O637"/>
    </row>
    <row r="638" spans="1:15" x14ac:dyDescent="0.35">
      <c r="A638" t="s">
        <v>210</v>
      </c>
      <c r="B638" t="s">
        <v>929</v>
      </c>
      <c r="C638" t="s">
        <v>930</v>
      </c>
      <c r="D638">
        <v>1536.23</v>
      </c>
      <c r="E638"/>
      <c r="F638">
        <v>1536.23</v>
      </c>
      <c r="G638">
        <v>1536.23</v>
      </c>
      <c r="I638" s="5">
        <v>0</v>
      </c>
      <c r="K638"/>
      <c r="L638"/>
      <c r="M638"/>
      <c r="N638"/>
      <c r="O638"/>
    </row>
    <row r="639" spans="1:15" x14ac:dyDescent="0.35">
      <c r="A639" t="s">
        <v>27</v>
      </c>
      <c r="B639" t="s">
        <v>951</v>
      </c>
      <c r="C639" t="s">
        <v>952</v>
      </c>
      <c r="D639">
        <v>30489.06</v>
      </c>
      <c r="E639">
        <v>30489.06</v>
      </c>
      <c r="F639"/>
      <c r="G639"/>
      <c r="K639"/>
      <c r="L639"/>
      <c r="M639"/>
      <c r="N639"/>
      <c r="O639"/>
    </row>
    <row r="640" spans="1:15" x14ac:dyDescent="0.35">
      <c r="A640" t="s">
        <v>55</v>
      </c>
      <c r="B640" t="s">
        <v>953</v>
      </c>
      <c r="C640" t="s">
        <v>954</v>
      </c>
      <c r="D640">
        <v>40333.25</v>
      </c>
      <c r="E640">
        <v>21251.919999999998</v>
      </c>
      <c r="F640">
        <v>19081.330000000002</v>
      </c>
      <c r="G640">
        <v>19081.330000000002</v>
      </c>
      <c r="H640" s="5">
        <v>0</v>
      </c>
      <c r="I640" s="5">
        <v>0</v>
      </c>
      <c r="J640" s="5">
        <v>0</v>
      </c>
      <c r="K640">
        <v>0</v>
      </c>
      <c r="L640"/>
      <c r="M640"/>
      <c r="N640"/>
      <c r="O640"/>
    </row>
    <row r="641" spans="1:15" x14ac:dyDescent="0.35">
      <c r="A641" t="s">
        <v>55</v>
      </c>
      <c r="B641" t="s">
        <v>959</v>
      </c>
      <c r="C641" t="s">
        <v>960</v>
      </c>
      <c r="D641">
        <v>14744.44</v>
      </c>
      <c r="E641">
        <v>14744.44</v>
      </c>
      <c r="F641">
        <v>0</v>
      </c>
      <c r="G641"/>
      <c r="I641" s="5">
        <v>0</v>
      </c>
      <c r="K641"/>
      <c r="L641"/>
      <c r="M641"/>
      <c r="N641"/>
      <c r="O641"/>
    </row>
    <row r="642" spans="1:15" x14ac:dyDescent="0.35">
      <c r="A642" t="s">
        <v>100</v>
      </c>
      <c r="B642" t="s">
        <v>985</v>
      </c>
      <c r="C642" t="s">
        <v>986</v>
      </c>
      <c r="D642">
        <v>315.36999999999898</v>
      </c>
      <c r="E642"/>
      <c r="F642">
        <v>315.36999999999898</v>
      </c>
      <c r="G642"/>
      <c r="I642" s="5">
        <v>315.36999999999898</v>
      </c>
      <c r="K642"/>
      <c r="L642"/>
      <c r="M642"/>
      <c r="N642"/>
      <c r="O642"/>
    </row>
    <row r="643" spans="1:15" x14ac:dyDescent="0.35">
      <c r="A643" t="s">
        <v>19</v>
      </c>
      <c r="B643" t="s">
        <v>993</v>
      </c>
      <c r="C643" t="s">
        <v>994</v>
      </c>
      <c r="D643">
        <v>24575.73</v>
      </c>
      <c r="E643">
        <v>24289.119999999999</v>
      </c>
      <c r="F643">
        <v>286.60999999999996</v>
      </c>
      <c r="G643"/>
      <c r="J643" s="5">
        <v>0.08</v>
      </c>
      <c r="K643">
        <v>286.52999999999997</v>
      </c>
      <c r="L643"/>
      <c r="M643"/>
      <c r="N643"/>
      <c r="O643"/>
    </row>
    <row r="644" spans="1:15" x14ac:dyDescent="0.35">
      <c r="A644" t="s">
        <v>19</v>
      </c>
      <c r="B644" t="s">
        <v>1005</v>
      </c>
      <c r="C644" t="s">
        <v>1006</v>
      </c>
      <c r="D644">
        <v>2498.92</v>
      </c>
      <c r="E644"/>
      <c r="F644">
        <v>2498.92</v>
      </c>
      <c r="G644"/>
      <c r="I644" s="5">
        <v>2498.92</v>
      </c>
      <c r="K644"/>
      <c r="L644"/>
      <c r="M644"/>
      <c r="N644"/>
      <c r="O644"/>
    </row>
    <row r="645" spans="1:15" x14ac:dyDescent="0.35">
      <c r="A645" t="s">
        <v>88</v>
      </c>
      <c r="B645" t="s">
        <v>1007</v>
      </c>
      <c r="C645" t="s">
        <v>1008</v>
      </c>
      <c r="D645">
        <v>20014.599999999999</v>
      </c>
      <c r="E645">
        <v>20014.599999999999</v>
      </c>
      <c r="F645">
        <v>0</v>
      </c>
      <c r="G645"/>
      <c r="I645" s="5">
        <v>0</v>
      </c>
      <c r="K645">
        <v>0</v>
      </c>
      <c r="L645"/>
      <c r="M645"/>
      <c r="N645"/>
      <c r="O645"/>
    </row>
    <row r="646" spans="1:15" x14ac:dyDescent="0.35">
      <c r="A646" t="s">
        <v>55</v>
      </c>
      <c r="B646" t="s">
        <v>1019</v>
      </c>
      <c r="C646" t="s">
        <v>1020</v>
      </c>
      <c r="D646">
        <v>22755.68</v>
      </c>
      <c r="E646">
        <v>22755.68</v>
      </c>
      <c r="F646">
        <v>0</v>
      </c>
      <c r="G646"/>
      <c r="H646" s="5">
        <v>0</v>
      </c>
      <c r="K646"/>
      <c r="L646"/>
      <c r="M646"/>
      <c r="N646"/>
      <c r="O646"/>
    </row>
    <row r="647" spans="1:15" x14ac:dyDescent="0.35">
      <c r="A647" t="s">
        <v>19</v>
      </c>
      <c r="B647" t="s">
        <v>1021</v>
      </c>
      <c r="C647" t="s">
        <v>1022</v>
      </c>
      <c r="D647">
        <v>29426.280000000002</v>
      </c>
      <c r="E647">
        <v>28226.74</v>
      </c>
      <c r="F647">
        <v>1199.540000000002</v>
      </c>
      <c r="G647"/>
      <c r="J647" s="5">
        <v>1199.540000000002</v>
      </c>
      <c r="K647"/>
      <c r="L647"/>
      <c r="M647"/>
      <c r="N647"/>
      <c r="O647"/>
    </row>
    <row r="648" spans="1:15" x14ac:dyDescent="0.35">
      <c r="A648" t="s">
        <v>16</v>
      </c>
      <c r="B648" t="s">
        <v>1027</v>
      </c>
      <c r="C648" t="s">
        <v>1028</v>
      </c>
      <c r="D648">
        <v>3317</v>
      </c>
      <c r="E648"/>
      <c r="F648">
        <v>3317</v>
      </c>
      <c r="G648"/>
      <c r="I648" s="5">
        <v>3317</v>
      </c>
      <c r="K648"/>
      <c r="L648"/>
      <c r="M648"/>
      <c r="N648"/>
      <c r="O648"/>
    </row>
    <row r="649" spans="1:15" x14ac:dyDescent="0.35">
      <c r="A649" t="s">
        <v>93</v>
      </c>
      <c r="B649" t="s">
        <v>1031</v>
      </c>
      <c r="C649" t="s">
        <v>1032</v>
      </c>
      <c r="D649">
        <v>35888.800000000003</v>
      </c>
      <c r="E649">
        <v>35888.800000000003</v>
      </c>
      <c r="F649">
        <v>0</v>
      </c>
      <c r="G649"/>
      <c r="H649" s="5">
        <v>0</v>
      </c>
      <c r="K649"/>
      <c r="L649"/>
      <c r="M649"/>
      <c r="N649"/>
      <c r="O649"/>
    </row>
    <row r="650" spans="1:15" x14ac:dyDescent="0.35">
      <c r="A650" t="s">
        <v>36</v>
      </c>
      <c r="B650" t="s">
        <v>1033</v>
      </c>
      <c r="C650" t="s">
        <v>1034</v>
      </c>
      <c r="D650">
        <v>24109.279999999999</v>
      </c>
      <c r="E650">
        <v>24109.279999999999</v>
      </c>
      <c r="F650"/>
      <c r="G650"/>
      <c r="K650"/>
      <c r="L650"/>
      <c r="M650"/>
      <c r="N650"/>
      <c r="O650"/>
    </row>
    <row r="651" spans="1:15" x14ac:dyDescent="0.35">
      <c r="A651" t="s">
        <v>24</v>
      </c>
      <c r="B651" t="s">
        <v>1035</v>
      </c>
      <c r="C651" t="s">
        <v>1036</v>
      </c>
      <c r="D651">
        <v>37663.82</v>
      </c>
      <c r="E651">
        <v>37663.82</v>
      </c>
      <c r="F651"/>
      <c r="G651"/>
      <c r="K651"/>
      <c r="L651"/>
      <c r="M651"/>
      <c r="N651"/>
      <c r="O651"/>
    </row>
    <row r="652" spans="1:15" x14ac:dyDescent="0.35">
      <c r="A652" t="s">
        <v>88</v>
      </c>
      <c r="B652" t="s">
        <v>1037</v>
      </c>
      <c r="C652" t="s">
        <v>1038</v>
      </c>
      <c r="D652">
        <v>2211.2199999999998</v>
      </c>
      <c r="E652"/>
      <c r="F652">
        <v>2211.2199999999998</v>
      </c>
      <c r="G652"/>
      <c r="I652" s="5">
        <v>2211.2199999999998</v>
      </c>
      <c r="K652"/>
      <c r="L652"/>
      <c r="M652">
        <v>0</v>
      </c>
      <c r="N652"/>
      <c r="O652"/>
    </row>
    <row r="653" spans="1:15" x14ac:dyDescent="0.35">
      <c r="A653" t="s">
        <v>33</v>
      </c>
      <c r="B653" t="s">
        <v>1051</v>
      </c>
      <c r="C653" t="s">
        <v>1052</v>
      </c>
      <c r="D653">
        <v>113147.99</v>
      </c>
      <c r="E653">
        <v>112004.8</v>
      </c>
      <c r="F653">
        <v>1143.19</v>
      </c>
      <c r="G653"/>
      <c r="J653" s="5">
        <v>1143.19</v>
      </c>
      <c r="K653"/>
      <c r="L653">
        <v>0</v>
      </c>
      <c r="M653"/>
      <c r="N653"/>
      <c r="O653"/>
    </row>
    <row r="654" spans="1:15" x14ac:dyDescent="0.35">
      <c r="A654" t="s">
        <v>24</v>
      </c>
      <c r="B654" t="s">
        <v>1055</v>
      </c>
      <c r="C654" t="s">
        <v>1056</v>
      </c>
      <c r="D654">
        <v>378186.27</v>
      </c>
      <c r="E654"/>
      <c r="F654">
        <v>378186.27</v>
      </c>
      <c r="G654"/>
      <c r="I654" s="5">
        <v>10724</v>
      </c>
      <c r="J654" s="5">
        <v>28568.400000000001</v>
      </c>
      <c r="K654">
        <v>8150.11</v>
      </c>
      <c r="L654"/>
      <c r="M654">
        <v>330743.76</v>
      </c>
      <c r="N654"/>
      <c r="O654"/>
    </row>
    <row r="655" spans="1:15" x14ac:dyDescent="0.35">
      <c r="A655" t="s">
        <v>46</v>
      </c>
      <c r="B655" t="s">
        <v>1059</v>
      </c>
      <c r="C655" t="s">
        <v>1060</v>
      </c>
      <c r="D655">
        <v>210923.65</v>
      </c>
      <c r="E655"/>
      <c r="F655">
        <v>210923.65</v>
      </c>
      <c r="G655"/>
      <c r="I655" s="5">
        <v>4975</v>
      </c>
      <c r="J655" s="5">
        <v>12170.84</v>
      </c>
      <c r="K655">
        <v>6375.34</v>
      </c>
      <c r="L655"/>
      <c r="M655">
        <v>187402.47</v>
      </c>
      <c r="N655"/>
      <c r="O655"/>
    </row>
    <row r="656" spans="1:15" x14ac:dyDescent="0.35">
      <c r="A656" t="s">
        <v>210</v>
      </c>
      <c r="B656" t="s">
        <v>1063</v>
      </c>
      <c r="C656" t="s">
        <v>1064</v>
      </c>
      <c r="D656">
        <v>165404.29</v>
      </c>
      <c r="E656"/>
      <c r="F656">
        <v>165404.29</v>
      </c>
      <c r="G656">
        <v>6993</v>
      </c>
      <c r="K656"/>
      <c r="L656"/>
      <c r="M656">
        <v>158411.29</v>
      </c>
      <c r="N656"/>
      <c r="O656"/>
    </row>
    <row r="657" spans="1:15" x14ac:dyDescent="0.35">
      <c r="A657" t="s">
        <v>33</v>
      </c>
      <c r="B657" t="s">
        <v>1065</v>
      </c>
      <c r="C657" t="s">
        <v>1066</v>
      </c>
      <c r="D657">
        <v>1053.22</v>
      </c>
      <c r="E657"/>
      <c r="F657">
        <v>1053.22</v>
      </c>
      <c r="G657"/>
      <c r="H657" s="5">
        <v>1053.22</v>
      </c>
      <c r="K657"/>
      <c r="L657"/>
      <c r="M657"/>
      <c r="N657"/>
      <c r="O657"/>
    </row>
    <row r="658" spans="1:15" x14ac:dyDescent="0.35">
      <c r="A658" t="s">
        <v>33</v>
      </c>
      <c r="B658" t="s">
        <v>1067</v>
      </c>
      <c r="C658" t="s">
        <v>1068</v>
      </c>
      <c r="D658">
        <v>420418.81999999995</v>
      </c>
      <c r="E658"/>
      <c r="F658">
        <v>420418.81999999995</v>
      </c>
      <c r="G658"/>
      <c r="I658" s="5">
        <v>420418.81999999995</v>
      </c>
      <c r="J658" s="5">
        <v>0</v>
      </c>
      <c r="K658"/>
      <c r="L658"/>
      <c r="M658"/>
      <c r="N658"/>
      <c r="O658"/>
    </row>
    <row r="659" spans="1:15" x14ac:dyDescent="0.35">
      <c r="A659" t="s">
        <v>33</v>
      </c>
      <c r="B659" t="s">
        <v>1069</v>
      </c>
      <c r="C659" t="s">
        <v>1070</v>
      </c>
      <c r="D659">
        <v>27504.22</v>
      </c>
      <c r="E659"/>
      <c r="F659">
        <v>27504.22</v>
      </c>
      <c r="G659">
        <v>2377</v>
      </c>
      <c r="J659" s="5">
        <v>25127.22</v>
      </c>
      <c r="K659">
        <v>0</v>
      </c>
      <c r="L659"/>
      <c r="M659"/>
      <c r="N659"/>
      <c r="O659"/>
    </row>
    <row r="660" spans="1:15" x14ac:dyDescent="0.35">
      <c r="A660" t="s">
        <v>33</v>
      </c>
      <c r="B660" t="s">
        <v>1071</v>
      </c>
      <c r="C660" t="s">
        <v>1072</v>
      </c>
      <c r="D660">
        <v>2442.75</v>
      </c>
      <c r="E660"/>
      <c r="F660">
        <v>2442.75</v>
      </c>
      <c r="G660"/>
      <c r="I660" s="5">
        <v>2442.75</v>
      </c>
      <c r="K660"/>
      <c r="L660"/>
      <c r="M660"/>
      <c r="N660"/>
      <c r="O660"/>
    </row>
    <row r="661" spans="1:15" x14ac:dyDescent="0.35">
      <c r="A661" t="s">
        <v>275</v>
      </c>
      <c r="B661" t="s">
        <v>1079</v>
      </c>
      <c r="C661" t="s">
        <v>1080</v>
      </c>
      <c r="D661">
        <v>1078</v>
      </c>
      <c r="E661"/>
      <c r="F661">
        <v>1078</v>
      </c>
      <c r="G661">
        <v>1078</v>
      </c>
      <c r="K661"/>
      <c r="L661"/>
      <c r="M661"/>
      <c r="N661"/>
      <c r="O661"/>
    </row>
    <row r="662" spans="1:15" x14ac:dyDescent="0.35">
      <c r="A662" t="s">
        <v>169</v>
      </c>
      <c r="B662" t="s">
        <v>1081</v>
      </c>
      <c r="C662" t="s">
        <v>1082</v>
      </c>
      <c r="D662">
        <v>82349.55</v>
      </c>
      <c r="E662"/>
      <c r="F662">
        <v>82349.55</v>
      </c>
      <c r="G662">
        <v>1824</v>
      </c>
      <c r="K662"/>
      <c r="L662"/>
      <c r="M662">
        <v>80525.55</v>
      </c>
      <c r="N662"/>
      <c r="O662"/>
    </row>
    <row r="663" spans="1:15" x14ac:dyDescent="0.35">
      <c r="A663" t="s">
        <v>169</v>
      </c>
      <c r="B663" t="s">
        <v>1087</v>
      </c>
      <c r="C663" t="s">
        <v>1088</v>
      </c>
      <c r="D663">
        <v>62082.52</v>
      </c>
      <c r="E663"/>
      <c r="F663">
        <v>62082.52</v>
      </c>
      <c r="G663">
        <v>3317</v>
      </c>
      <c r="K663"/>
      <c r="L663"/>
      <c r="M663">
        <v>58765.52</v>
      </c>
      <c r="N663"/>
      <c r="O663"/>
    </row>
    <row r="664" spans="1:15" x14ac:dyDescent="0.35">
      <c r="A664" t="s">
        <v>169</v>
      </c>
      <c r="B664" t="s">
        <v>1089</v>
      </c>
      <c r="C664" t="s">
        <v>1090</v>
      </c>
      <c r="D664">
        <v>74647.09</v>
      </c>
      <c r="E664"/>
      <c r="F664">
        <v>74647.09</v>
      </c>
      <c r="G664">
        <v>3455</v>
      </c>
      <c r="J664" s="5">
        <v>433.11</v>
      </c>
      <c r="K664">
        <v>50576.15</v>
      </c>
      <c r="L664">
        <v>20182.829999999998</v>
      </c>
      <c r="M664"/>
      <c r="N664"/>
      <c r="O664"/>
    </row>
    <row r="665" spans="1:15" x14ac:dyDescent="0.35">
      <c r="A665" t="s">
        <v>169</v>
      </c>
      <c r="B665" t="s">
        <v>1091</v>
      </c>
      <c r="C665" t="s">
        <v>1092</v>
      </c>
      <c r="D665">
        <v>313228.69</v>
      </c>
      <c r="E665"/>
      <c r="F665">
        <v>313228.69</v>
      </c>
      <c r="G665">
        <v>8292</v>
      </c>
      <c r="I665" s="5">
        <v>304936.69</v>
      </c>
      <c r="J665" s="5">
        <v>0</v>
      </c>
      <c r="K665">
        <v>0</v>
      </c>
      <c r="L665"/>
      <c r="M665"/>
      <c r="N665"/>
      <c r="O665"/>
    </row>
    <row r="666" spans="1:15" x14ac:dyDescent="0.35">
      <c r="A666" t="s">
        <v>275</v>
      </c>
      <c r="B666" t="s">
        <v>1093</v>
      </c>
      <c r="C666" t="s">
        <v>1094</v>
      </c>
      <c r="D666">
        <v>1199.7</v>
      </c>
      <c r="E666"/>
      <c r="F666">
        <v>1199.7</v>
      </c>
      <c r="G666">
        <v>1106</v>
      </c>
      <c r="K666">
        <v>93.7</v>
      </c>
      <c r="L666"/>
      <c r="M666"/>
      <c r="N666"/>
      <c r="O666"/>
    </row>
    <row r="667" spans="1:15" x14ac:dyDescent="0.35">
      <c r="A667" t="s">
        <v>275</v>
      </c>
      <c r="B667" t="s">
        <v>1095</v>
      </c>
      <c r="C667" t="s">
        <v>1096</v>
      </c>
      <c r="D667">
        <v>718289.65999999992</v>
      </c>
      <c r="E667"/>
      <c r="F667">
        <v>718289.65999999992</v>
      </c>
      <c r="G667"/>
      <c r="I667" s="5">
        <v>4533</v>
      </c>
      <c r="J667" s="5">
        <v>243482.18</v>
      </c>
      <c r="K667">
        <v>470274.48</v>
      </c>
      <c r="L667">
        <v>0</v>
      </c>
      <c r="M667">
        <v>0</v>
      </c>
      <c r="N667"/>
      <c r="O667"/>
    </row>
    <row r="668" spans="1:15" x14ac:dyDescent="0.35">
      <c r="A668" t="s">
        <v>275</v>
      </c>
      <c r="B668" t="s">
        <v>1097</v>
      </c>
      <c r="C668" t="s">
        <v>1098</v>
      </c>
      <c r="D668">
        <v>3936.95</v>
      </c>
      <c r="E668"/>
      <c r="F668">
        <v>3936.95</v>
      </c>
      <c r="G668">
        <v>3936.95</v>
      </c>
      <c r="I668" s="5">
        <v>0</v>
      </c>
      <c r="K668"/>
      <c r="L668">
        <v>0</v>
      </c>
      <c r="M668"/>
      <c r="N668"/>
      <c r="O668"/>
    </row>
    <row r="669" spans="1:15" x14ac:dyDescent="0.35">
      <c r="A669" t="s">
        <v>275</v>
      </c>
      <c r="B669" t="s">
        <v>1099</v>
      </c>
      <c r="C669" t="s">
        <v>1100</v>
      </c>
      <c r="D669">
        <v>25526.33</v>
      </c>
      <c r="E669"/>
      <c r="F669">
        <v>25526.33</v>
      </c>
      <c r="G669">
        <v>11263</v>
      </c>
      <c r="J669" s="5">
        <v>14263.33</v>
      </c>
      <c r="K669">
        <v>0</v>
      </c>
      <c r="L669">
        <v>0</v>
      </c>
      <c r="M669"/>
      <c r="N669"/>
      <c r="O669"/>
    </row>
    <row r="670" spans="1:15" x14ac:dyDescent="0.35">
      <c r="A670" t="s">
        <v>19</v>
      </c>
      <c r="B670" t="s">
        <v>1103</v>
      </c>
      <c r="C670" t="s">
        <v>1104</v>
      </c>
      <c r="D670">
        <v>128342.48000000001</v>
      </c>
      <c r="E670"/>
      <c r="F670">
        <v>128342.48000000001</v>
      </c>
      <c r="G670"/>
      <c r="I670" s="5">
        <v>1493</v>
      </c>
      <c r="J670" s="5">
        <v>122267.17000000001</v>
      </c>
      <c r="K670">
        <v>4582.3100000000004</v>
      </c>
      <c r="L670"/>
      <c r="M670"/>
      <c r="N670"/>
      <c r="O670"/>
    </row>
    <row r="671" spans="1:15" x14ac:dyDescent="0.35">
      <c r="A671" t="s">
        <v>36</v>
      </c>
      <c r="B671" t="s">
        <v>1107</v>
      </c>
      <c r="C671" t="s">
        <v>1108</v>
      </c>
      <c r="D671">
        <v>1350.48</v>
      </c>
      <c r="E671"/>
      <c r="F671">
        <v>1350.48</v>
      </c>
      <c r="G671"/>
      <c r="I671" s="5">
        <v>1350.48</v>
      </c>
      <c r="K671"/>
      <c r="L671"/>
      <c r="M671"/>
      <c r="N671"/>
      <c r="O671"/>
    </row>
    <row r="672" spans="1:15" x14ac:dyDescent="0.35">
      <c r="A672" t="s">
        <v>111</v>
      </c>
      <c r="B672" t="s">
        <v>1113</v>
      </c>
      <c r="C672" t="s">
        <v>1114</v>
      </c>
      <c r="D672">
        <v>6366.83</v>
      </c>
      <c r="E672"/>
      <c r="F672">
        <v>6366.83</v>
      </c>
      <c r="G672"/>
      <c r="I672" s="5">
        <v>4975</v>
      </c>
      <c r="K672">
        <v>1391.83</v>
      </c>
      <c r="L672"/>
      <c r="M672"/>
      <c r="N672"/>
      <c r="O672"/>
    </row>
    <row r="673" spans="1:15" x14ac:dyDescent="0.35">
      <c r="A673" t="s">
        <v>41</v>
      </c>
      <c r="B673" t="s">
        <v>1115</v>
      </c>
      <c r="C673" t="s">
        <v>1116</v>
      </c>
      <c r="D673">
        <v>29591.54</v>
      </c>
      <c r="E673"/>
      <c r="F673">
        <v>29591.54</v>
      </c>
      <c r="G673"/>
      <c r="I673" s="5">
        <v>2045</v>
      </c>
      <c r="K673">
        <v>27546.54</v>
      </c>
      <c r="L673"/>
      <c r="M673"/>
      <c r="N673"/>
      <c r="O673"/>
    </row>
    <row r="674" spans="1:15" x14ac:dyDescent="0.35">
      <c r="A674" t="s">
        <v>41</v>
      </c>
      <c r="B674" t="s">
        <v>1117</v>
      </c>
      <c r="C674" t="s">
        <v>1118</v>
      </c>
      <c r="D674">
        <v>128274.15</v>
      </c>
      <c r="E674"/>
      <c r="F674">
        <v>128274.15</v>
      </c>
      <c r="G674"/>
      <c r="I674" s="5">
        <v>3427</v>
      </c>
      <c r="J674" s="5">
        <v>2989.64</v>
      </c>
      <c r="K674">
        <v>121857.51000000001</v>
      </c>
      <c r="L674"/>
      <c r="M674"/>
      <c r="N674"/>
      <c r="O674"/>
    </row>
    <row r="675" spans="1:15" x14ac:dyDescent="0.35">
      <c r="A675" t="s">
        <v>93</v>
      </c>
      <c r="B675" t="s">
        <v>1119</v>
      </c>
      <c r="C675" t="s">
        <v>1120</v>
      </c>
      <c r="D675">
        <v>2509.13</v>
      </c>
      <c r="E675"/>
      <c r="F675">
        <v>2509.13</v>
      </c>
      <c r="G675"/>
      <c r="I675" s="5">
        <v>1658</v>
      </c>
      <c r="K675">
        <v>851.02</v>
      </c>
      <c r="L675"/>
      <c r="M675">
        <v>0.11</v>
      </c>
      <c r="N675"/>
      <c r="O675"/>
    </row>
    <row r="676" spans="1:15" x14ac:dyDescent="0.35">
      <c r="A676" t="s">
        <v>19</v>
      </c>
      <c r="B676" t="s">
        <v>1129</v>
      </c>
      <c r="C676" t="s">
        <v>1130</v>
      </c>
      <c r="D676">
        <v>160914.35999999999</v>
      </c>
      <c r="E676">
        <v>160914.35999999999</v>
      </c>
      <c r="F676">
        <v>0</v>
      </c>
      <c r="G676"/>
      <c r="H676" s="5">
        <v>0</v>
      </c>
      <c r="I676" s="5">
        <v>0</v>
      </c>
      <c r="K676"/>
      <c r="L676"/>
      <c r="M676"/>
      <c r="N676"/>
      <c r="O676"/>
    </row>
    <row r="677" spans="1:15" x14ac:dyDescent="0.35">
      <c r="A677" t="s">
        <v>19</v>
      </c>
      <c r="B677" t="s">
        <v>1131</v>
      </c>
      <c r="C677" t="s">
        <v>1132</v>
      </c>
      <c r="D677">
        <v>39652.959999999999</v>
      </c>
      <c r="E677">
        <v>39652.959999999999</v>
      </c>
      <c r="F677">
        <v>0</v>
      </c>
      <c r="G677"/>
      <c r="H677" s="5">
        <v>0</v>
      </c>
      <c r="I677" s="5">
        <v>0</v>
      </c>
      <c r="K677"/>
      <c r="L677"/>
      <c r="M677"/>
      <c r="N677"/>
      <c r="O677"/>
    </row>
    <row r="678" spans="1:15" x14ac:dyDescent="0.35">
      <c r="A678" t="s">
        <v>19</v>
      </c>
      <c r="B678" t="s">
        <v>1135</v>
      </c>
      <c r="C678" t="s">
        <v>1136</v>
      </c>
      <c r="D678">
        <v>35372.659999999996</v>
      </c>
      <c r="E678">
        <v>35188.339999999997</v>
      </c>
      <c r="F678">
        <v>184.32</v>
      </c>
      <c r="G678"/>
      <c r="J678" s="5">
        <v>133.52000000000001</v>
      </c>
      <c r="K678">
        <v>50.8</v>
      </c>
      <c r="L678"/>
      <c r="M678"/>
      <c r="N678"/>
      <c r="O678"/>
    </row>
    <row r="679" spans="1:15" x14ac:dyDescent="0.35">
      <c r="A679" t="s">
        <v>93</v>
      </c>
      <c r="B679" t="s">
        <v>1137</v>
      </c>
      <c r="C679" t="s">
        <v>1138</v>
      </c>
      <c r="D679">
        <v>43.510000000002002</v>
      </c>
      <c r="E679"/>
      <c r="F679">
        <v>43.510000000002002</v>
      </c>
      <c r="G679"/>
      <c r="I679" s="5">
        <v>43.510000000002002</v>
      </c>
      <c r="K679"/>
      <c r="L679"/>
      <c r="M679"/>
      <c r="N679"/>
      <c r="O679"/>
    </row>
    <row r="680" spans="1:15" x14ac:dyDescent="0.35">
      <c r="A680" t="s">
        <v>19</v>
      </c>
      <c r="B680" t="s">
        <v>1141</v>
      </c>
      <c r="C680" t="s">
        <v>1142</v>
      </c>
      <c r="D680">
        <v>79878.899999999994</v>
      </c>
      <c r="E680">
        <v>79384.14</v>
      </c>
      <c r="F680">
        <v>494.75999999999499</v>
      </c>
      <c r="G680">
        <v>494.75999999999499</v>
      </c>
      <c r="I680" s="5">
        <v>0</v>
      </c>
      <c r="J680" s="5">
        <v>0</v>
      </c>
      <c r="K680"/>
      <c r="L680"/>
      <c r="M680"/>
      <c r="N680"/>
      <c r="O680"/>
    </row>
    <row r="681" spans="1:15" x14ac:dyDescent="0.35">
      <c r="A681" t="s">
        <v>19</v>
      </c>
      <c r="B681" t="s">
        <v>1143</v>
      </c>
      <c r="C681" t="s">
        <v>1144</v>
      </c>
      <c r="D681">
        <v>11989.9</v>
      </c>
      <c r="E681">
        <v>11989.9</v>
      </c>
      <c r="F681">
        <v>0</v>
      </c>
      <c r="G681"/>
      <c r="I681" s="5">
        <v>0</v>
      </c>
      <c r="K681"/>
      <c r="L681"/>
      <c r="M681"/>
      <c r="N681"/>
      <c r="O681"/>
    </row>
    <row r="682" spans="1:15" x14ac:dyDescent="0.35">
      <c r="A682" t="s">
        <v>100</v>
      </c>
      <c r="B682" t="s">
        <v>1145</v>
      </c>
      <c r="C682" t="s">
        <v>1146</v>
      </c>
      <c r="D682">
        <v>152087.84</v>
      </c>
      <c r="E682">
        <v>152087.84</v>
      </c>
      <c r="F682"/>
      <c r="G682"/>
      <c r="K682"/>
      <c r="L682"/>
      <c r="M682"/>
      <c r="N682"/>
      <c r="O682"/>
    </row>
    <row r="683" spans="1:15" x14ac:dyDescent="0.35">
      <c r="A683" t="s">
        <v>55</v>
      </c>
      <c r="B683" t="s">
        <v>1147</v>
      </c>
      <c r="C683" t="s">
        <v>1148</v>
      </c>
      <c r="D683">
        <v>11536.46</v>
      </c>
      <c r="E683"/>
      <c r="F683">
        <v>11536.46</v>
      </c>
      <c r="G683"/>
      <c r="I683" s="5">
        <v>5954.21</v>
      </c>
      <c r="K683"/>
      <c r="L683"/>
      <c r="M683">
        <v>847.33999999999992</v>
      </c>
      <c r="N683">
        <v>4734.91</v>
      </c>
      <c r="O683"/>
    </row>
    <row r="684" spans="1:15" x14ac:dyDescent="0.35">
      <c r="A684" t="s">
        <v>24</v>
      </c>
      <c r="B684" t="s">
        <v>1149</v>
      </c>
      <c r="C684" t="s">
        <v>1150</v>
      </c>
      <c r="D684">
        <v>21886.639999999999</v>
      </c>
      <c r="E684">
        <v>21886.639999999999</v>
      </c>
      <c r="F684"/>
      <c r="G684"/>
      <c r="K684"/>
      <c r="L684"/>
      <c r="M684"/>
      <c r="N684"/>
      <c r="O684"/>
    </row>
    <row r="685" spans="1:15" x14ac:dyDescent="0.35">
      <c r="A685" t="s">
        <v>41</v>
      </c>
      <c r="B685" t="s">
        <v>1151</v>
      </c>
      <c r="C685" t="s">
        <v>1152</v>
      </c>
      <c r="D685">
        <v>75346.41</v>
      </c>
      <c r="E685"/>
      <c r="F685">
        <v>75346.41</v>
      </c>
      <c r="G685"/>
      <c r="I685" s="5">
        <v>75346.41</v>
      </c>
      <c r="K685">
        <v>0</v>
      </c>
      <c r="L685"/>
      <c r="M685"/>
      <c r="N685"/>
      <c r="O685"/>
    </row>
    <row r="686" spans="1:15" x14ac:dyDescent="0.35">
      <c r="A686" t="s">
        <v>210</v>
      </c>
      <c r="B686" t="s">
        <v>1153</v>
      </c>
      <c r="C686" t="s">
        <v>1154</v>
      </c>
      <c r="D686">
        <v>11090.06</v>
      </c>
      <c r="E686"/>
      <c r="F686">
        <v>11090.06</v>
      </c>
      <c r="G686"/>
      <c r="I686" s="5">
        <v>11090.06</v>
      </c>
      <c r="J686" s="5">
        <v>0</v>
      </c>
      <c r="K686"/>
      <c r="L686"/>
      <c r="M686"/>
      <c r="N686"/>
      <c r="O686"/>
    </row>
    <row r="687" spans="1:15" x14ac:dyDescent="0.35">
      <c r="A687" t="s">
        <v>41</v>
      </c>
      <c r="B687" t="s">
        <v>1157</v>
      </c>
      <c r="C687" t="s">
        <v>1158</v>
      </c>
      <c r="D687">
        <v>182185.52</v>
      </c>
      <c r="E687"/>
      <c r="F687">
        <v>182185.52</v>
      </c>
      <c r="G687"/>
      <c r="I687" s="5">
        <v>182185.52</v>
      </c>
      <c r="J687" s="5">
        <v>0</v>
      </c>
      <c r="K687">
        <v>0</v>
      </c>
      <c r="L687"/>
      <c r="M687"/>
      <c r="N687"/>
      <c r="O687"/>
    </row>
    <row r="688" spans="1:15" x14ac:dyDescent="0.35">
      <c r="A688" t="s">
        <v>41</v>
      </c>
      <c r="B688" t="s">
        <v>1159</v>
      </c>
      <c r="C688" t="s">
        <v>1160</v>
      </c>
      <c r="D688">
        <v>589407.42000000004</v>
      </c>
      <c r="E688"/>
      <c r="F688">
        <v>589407.42000000004</v>
      </c>
      <c r="G688"/>
      <c r="I688" s="5">
        <v>589407.42000000004</v>
      </c>
      <c r="J688" s="5">
        <v>0</v>
      </c>
      <c r="K688"/>
      <c r="L688"/>
      <c r="M688"/>
      <c r="N688"/>
      <c r="O688"/>
    </row>
    <row r="689" spans="1:15" x14ac:dyDescent="0.35">
      <c r="A689" t="s">
        <v>33</v>
      </c>
      <c r="B689" t="s">
        <v>1161</v>
      </c>
      <c r="C689" t="s">
        <v>1162</v>
      </c>
      <c r="D689">
        <v>586488.64</v>
      </c>
      <c r="E689"/>
      <c r="F689">
        <v>586488.64</v>
      </c>
      <c r="G689"/>
      <c r="I689" s="5">
        <v>586488.64</v>
      </c>
      <c r="J689" s="5">
        <v>0</v>
      </c>
      <c r="K689"/>
      <c r="L689"/>
      <c r="M689"/>
      <c r="N689"/>
      <c r="O689"/>
    </row>
    <row r="690" spans="1:15" x14ac:dyDescent="0.35">
      <c r="A690" t="s">
        <v>19</v>
      </c>
      <c r="B690" t="s">
        <v>1165</v>
      </c>
      <c r="C690" t="s">
        <v>1166</v>
      </c>
      <c r="D690">
        <v>394290.59999999992</v>
      </c>
      <c r="E690">
        <v>389219.46</v>
      </c>
      <c r="F690">
        <v>5071.1399999999003</v>
      </c>
      <c r="G690"/>
      <c r="I690" s="5">
        <v>5071.1399999999003</v>
      </c>
      <c r="J690" s="5">
        <v>0</v>
      </c>
      <c r="K690">
        <v>0</v>
      </c>
      <c r="L690">
        <v>0</v>
      </c>
      <c r="M690"/>
      <c r="N690"/>
      <c r="O690"/>
    </row>
    <row r="691" spans="1:15" x14ac:dyDescent="0.35">
      <c r="A691" t="s">
        <v>111</v>
      </c>
      <c r="B691" t="s">
        <v>1171</v>
      </c>
      <c r="C691" t="s">
        <v>1172</v>
      </c>
      <c r="D691">
        <v>31.8899999999994</v>
      </c>
      <c r="E691"/>
      <c r="F691">
        <v>31.8899999999994</v>
      </c>
      <c r="G691"/>
      <c r="I691" s="5">
        <v>31.8899999999994</v>
      </c>
      <c r="K691">
        <v>0</v>
      </c>
      <c r="L691"/>
      <c r="M691"/>
      <c r="N691"/>
      <c r="O691"/>
    </row>
    <row r="692" spans="1:15" x14ac:dyDescent="0.35">
      <c r="A692" t="s">
        <v>41</v>
      </c>
      <c r="B692" t="s">
        <v>1173</v>
      </c>
      <c r="C692" t="s">
        <v>1174</v>
      </c>
      <c r="D692">
        <v>0.59999999999945397</v>
      </c>
      <c r="E692"/>
      <c r="F692">
        <v>0.59999999999945397</v>
      </c>
      <c r="G692"/>
      <c r="I692" s="5">
        <v>0.59999999999945397</v>
      </c>
      <c r="J692" s="5">
        <v>0</v>
      </c>
      <c r="K692"/>
      <c r="L692"/>
      <c r="M692"/>
      <c r="N692"/>
      <c r="O692"/>
    </row>
    <row r="693" spans="1:15" x14ac:dyDescent="0.35">
      <c r="A693" t="s">
        <v>55</v>
      </c>
      <c r="B693" t="s">
        <v>1175</v>
      </c>
      <c r="C693" t="s">
        <v>1176</v>
      </c>
      <c r="D693">
        <v>41092.81</v>
      </c>
      <c r="E693">
        <v>40352.46</v>
      </c>
      <c r="F693">
        <v>740.35</v>
      </c>
      <c r="G693"/>
      <c r="J693" s="5">
        <v>740.35</v>
      </c>
      <c r="K693"/>
      <c r="L693"/>
      <c r="M693"/>
      <c r="N693"/>
      <c r="O693"/>
    </row>
    <row r="694" spans="1:15" x14ac:dyDescent="0.35">
      <c r="A694" t="s">
        <v>19</v>
      </c>
      <c r="B694" t="s">
        <v>1187</v>
      </c>
      <c r="C694" t="s">
        <v>1188</v>
      </c>
      <c r="D694">
        <v>935.90000000000896</v>
      </c>
      <c r="E694"/>
      <c r="F694">
        <v>935.90000000000896</v>
      </c>
      <c r="G694"/>
      <c r="I694" s="5">
        <v>935.90000000000896</v>
      </c>
      <c r="J694" s="5">
        <v>0</v>
      </c>
      <c r="K694"/>
      <c r="L694">
        <v>0</v>
      </c>
      <c r="M694">
        <v>0</v>
      </c>
      <c r="N694"/>
      <c r="O694"/>
    </row>
    <row r="695" spans="1:15" x14ac:dyDescent="0.35">
      <c r="A695" t="s">
        <v>33</v>
      </c>
      <c r="B695" t="s">
        <v>1193</v>
      </c>
      <c r="C695" t="s">
        <v>1194</v>
      </c>
      <c r="D695">
        <v>71491.069999999992</v>
      </c>
      <c r="E695"/>
      <c r="F695">
        <v>71491.069999999992</v>
      </c>
      <c r="G695"/>
      <c r="I695" s="5">
        <v>71491.069999999992</v>
      </c>
      <c r="K695"/>
      <c r="L695"/>
      <c r="M695"/>
      <c r="N695"/>
      <c r="O695"/>
    </row>
    <row r="696" spans="1:15" x14ac:dyDescent="0.35">
      <c r="A696" t="s">
        <v>30</v>
      </c>
      <c r="B696" t="s">
        <v>1197</v>
      </c>
      <c r="C696" t="s">
        <v>1198</v>
      </c>
      <c r="D696">
        <v>165.890000000014</v>
      </c>
      <c r="E696"/>
      <c r="F696">
        <v>165.890000000014</v>
      </c>
      <c r="G696"/>
      <c r="I696" s="5">
        <v>165.890000000014</v>
      </c>
      <c r="K696"/>
      <c r="L696"/>
      <c r="M696"/>
      <c r="N696"/>
      <c r="O696"/>
    </row>
    <row r="697" spans="1:15" x14ac:dyDescent="0.35">
      <c r="A697" t="s">
        <v>46</v>
      </c>
      <c r="B697" t="s">
        <v>1199</v>
      </c>
      <c r="C697" t="s">
        <v>1200</v>
      </c>
      <c r="D697">
        <v>100765.64</v>
      </c>
      <c r="E697"/>
      <c r="F697">
        <v>100765.64</v>
      </c>
      <c r="G697"/>
      <c r="I697" s="5">
        <v>100765.64</v>
      </c>
      <c r="J697" s="5">
        <v>0</v>
      </c>
      <c r="K697"/>
      <c r="L697"/>
      <c r="M697"/>
      <c r="N697"/>
      <c r="O697"/>
    </row>
    <row r="698" spans="1:15" x14ac:dyDescent="0.35">
      <c r="A698" t="s">
        <v>19</v>
      </c>
      <c r="B698" t="s">
        <v>1203</v>
      </c>
      <c r="C698" t="s">
        <v>1204</v>
      </c>
      <c r="D698">
        <v>3019.87</v>
      </c>
      <c r="E698"/>
      <c r="F698">
        <v>3019.87</v>
      </c>
      <c r="G698"/>
      <c r="I698" s="5">
        <v>3019.87</v>
      </c>
      <c r="K698"/>
      <c r="L698"/>
      <c r="M698"/>
      <c r="N698"/>
      <c r="O698"/>
    </row>
    <row r="699" spans="1:15" x14ac:dyDescent="0.35">
      <c r="A699" t="s">
        <v>30</v>
      </c>
      <c r="B699" t="s">
        <v>1207</v>
      </c>
      <c r="C699" t="s">
        <v>1208</v>
      </c>
      <c r="D699">
        <v>59268.86</v>
      </c>
      <c r="E699"/>
      <c r="F699">
        <v>59268.86</v>
      </c>
      <c r="G699">
        <v>59268.86</v>
      </c>
      <c r="I699" s="5">
        <v>0</v>
      </c>
      <c r="K699"/>
      <c r="L699"/>
      <c r="M699"/>
      <c r="N699"/>
      <c r="O699"/>
    </row>
    <row r="700" spans="1:15" x14ac:dyDescent="0.35">
      <c r="A700" t="s">
        <v>100</v>
      </c>
      <c r="B700" t="s">
        <v>1211</v>
      </c>
      <c r="C700" t="s">
        <v>1212</v>
      </c>
      <c r="D700">
        <v>1150.05</v>
      </c>
      <c r="E700"/>
      <c r="F700">
        <v>1150.05</v>
      </c>
      <c r="G700"/>
      <c r="I700" s="5">
        <v>1150.05</v>
      </c>
      <c r="K700"/>
      <c r="L700"/>
      <c r="M700"/>
      <c r="N700"/>
      <c r="O700"/>
    </row>
    <row r="701" spans="1:15" x14ac:dyDescent="0.35">
      <c r="A701" t="s">
        <v>55</v>
      </c>
      <c r="B701" t="s">
        <v>1217</v>
      </c>
      <c r="C701" t="s">
        <v>1218</v>
      </c>
      <c r="D701">
        <v>22076.400000000001</v>
      </c>
      <c r="E701"/>
      <c r="F701">
        <v>22076.400000000001</v>
      </c>
      <c r="G701"/>
      <c r="I701" s="5">
        <v>22053.27</v>
      </c>
      <c r="J701" s="5">
        <v>23.13</v>
      </c>
      <c r="K701">
        <v>0</v>
      </c>
      <c r="L701"/>
      <c r="M701"/>
      <c r="N701"/>
      <c r="O701"/>
    </row>
    <row r="702" spans="1:15" x14ac:dyDescent="0.35">
      <c r="A702" t="s">
        <v>36</v>
      </c>
      <c r="B702" t="s">
        <v>1221</v>
      </c>
      <c r="C702" t="s">
        <v>1222</v>
      </c>
      <c r="D702">
        <v>376.43</v>
      </c>
      <c r="E702"/>
      <c r="F702">
        <v>376.43</v>
      </c>
      <c r="G702">
        <v>376.43</v>
      </c>
      <c r="I702" s="5">
        <v>0</v>
      </c>
      <c r="K702"/>
      <c r="L702"/>
      <c r="M702"/>
      <c r="N702"/>
      <c r="O702"/>
    </row>
    <row r="703" spans="1:15" x14ac:dyDescent="0.35">
      <c r="A703" t="s">
        <v>100</v>
      </c>
      <c r="B703" t="s">
        <v>1223</v>
      </c>
      <c r="C703" t="s">
        <v>1224</v>
      </c>
      <c r="D703">
        <v>1543.92</v>
      </c>
      <c r="E703"/>
      <c r="F703">
        <v>1543.92</v>
      </c>
      <c r="G703"/>
      <c r="I703" s="5">
        <v>1543.92</v>
      </c>
      <c r="K703"/>
      <c r="L703"/>
      <c r="M703"/>
      <c r="N703"/>
      <c r="O703"/>
    </row>
    <row r="704" spans="1:15" x14ac:dyDescent="0.35">
      <c r="A704" t="s">
        <v>19</v>
      </c>
      <c r="B704" t="s">
        <v>1225</v>
      </c>
      <c r="C704" t="s">
        <v>1226</v>
      </c>
      <c r="D704">
        <v>35422.480000000003</v>
      </c>
      <c r="E704"/>
      <c r="F704">
        <v>35422.480000000003</v>
      </c>
      <c r="G704"/>
      <c r="I704" s="5">
        <v>59</v>
      </c>
      <c r="J704" s="5">
        <v>35363.480000000003</v>
      </c>
      <c r="K704"/>
      <c r="L704"/>
      <c r="M704"/>
      <c r="N704"/>
      <c r="O704"/>
    </row>
    <row r="705" spans="1:15" x14ac:dyDescent="0.35">
      <c r="A705" t="s">
        <v>36</v>
      </c>
      <c r="B705" t="s">
        <v>1235</v>
      </c>
      <c r="C705" t="s">
        <v>1236</v>
      </c>
      <c r="D705">
        <v>182.08999999999699</v>
      </c>
      <c r="E705"/>
      <c r="F705">
        <v>182.08999999999699</v>
      </c>
      <c r="G705"/>
      <c r="H705" s="5">
        <v>182.08999999999699</v>
      </c>
      <c r="I705" s="5">
        <v>0</v>
      </c>
      <c r="K705"/>
      <c r="L705"/>
      <c r="M705"/>
      <c r="N705"/>
      <c r="O705"/>
    </row>
    <row r="706" spans="1:15" x14ac:dyDescent="0.35">
      <c r="A706" t="s">
        <v>33</v>
      </c>
      <c r="B706" t="s">
        <v>1239</v>
      </c>
      <c r="C706" t="s">
        <v>1240</v>
      </c>
      <c r="D706">
        <v>147637.78</v>
      </c>
      <c r="E706"/>
      <c r="F706">
        <v>147637.78</v>
      </c>
      <c r="G706"/>
      <c r="H706" s="5">
        <v>147637.78</v>
      </c>
      <c r="I706" s="5">
        <v>0</v>
      </c>
      <c r="K706"/>
      <c r="L706"/>
      <c r="M706"/>
      <c r="N706"/>
      <c r="O706"/>
    </row>
    <row r="707" spans="1:15" x14ac:dyDescent="0.35">
      <c r="A707" t="s">
        <v>33</v>
      </c>
      <c r="B707" t="s">
        <v>1241</v>
      </c>
      <c r="C707" t="s">
        <v>1242</v>
      </c>
      <c r="D707">
        <v>4091305.09</v>
      </c>
      <c r="E707"/>
      <c r="F707">
        <v>4091305.09</v>
      </c>
      <c r="G707"/>
      <c r="I707" s="5">
        <v>1794808.3199999998</v>
      </c>
      <c r="J707" s="5">
        <v>2296496.77</v>
      </c>
      <c r="K707"/>
      <c r="L707"/>
      <c r="M707"/>
      <c r="N707"/>
      <c r="O707"/>
    </row>
    <row r="708" spans="1:15" x14ac:dyDescent="0.35">
      <c r="A708" t="s">
        <v>210</v>
      </c>
      <c r="B708" t="s">
        <v>1243</v>
      </c>
      <c r="C708" t="s">
        <v>1244</v>
      </c>
      <c r="D708">
        <v>436156.27999999997</v>
      </c>
      <c r="E708"/>
      <c r="F708">
        <v>436156.27999999997</v>
      </c>
      <c r="G708"/>
      <c r="J708" s="5">
        <v>404734.94</v>
      </c>
      <c r="K708">
        <v>31421.34</v>
      </c>
      <c r="L708"/>
      <c r="M708"/>
      <c r="N708"/>
      <c r="O708"/>
    </row>
    <row r="709" spans="1:15" x14ac:dyDescent="0.35">
      <c r="A709" t="s">
        <v>169</v>
      </c>
      <c r="B709" t="s">
        <v>1247</v>
      </c>
      <c r="C709" t="s">
        <v>1248</v>
      </c>
      <c r="D709">
        <v>743697.2</v>
      </c>
      <c r="E709"/>
      <c r="F709">
        <v>743697.2</v>
      </c>
      <c r="G709"/>
      <c r="J709" s="5">
        <v>743697.2</v>
      </c>
      <c r="K709"/>
      <c r="L709"/>
      <c r="M709"/>
      <c r="N709"/>
      <c r="O709"/>
    </row>
    <row r="710" spans="1:15" x14ac:dyDescent="0.35">
      <c r="A710" t="s">
        <v>169</v>
      </c>
      <c r="B710" t="s">
        <v>1249</v>
      </c>
      <c r="C710" t="s">
        <v>1250</v>
      </c>
      <c r="D710">
        <v>346910.79000000004</v>
      </c>
      <c r="E710"/>
      <c r="F710">
        <v>346910.79000000004</v>
      </c>
      <c r="G710"/>
      <c r="J710" s="5">
        <v>346910.79000000004</v>
      </c>
      <c r="K710"/>
      <c r="L710"/>
      <c r="M710"/>
      <c r="N710"/>
      <c r="O710"/>
    </row>
    <row r="711" spans="1:15" x14ac:dyDescent="0.35">
      <c r="A711" t="s">
        <v>169</v>
      </c>
      <c r="B711" t="s">
        <v>1253</v>
      </c>
      <c r="C711" t="s">
        <v>1254</v>
      </c>
      <c r="D711">
        <v>474182.16000000003</v>
      </c>
      <c r="E711"/>
      <c r="F711">
        <v>474182.16000000003</v>
      </c>
      <c r="G711"/>
      <c r="J711" s="5">
        <v>474182.16000000003</v>
      </c>
      <c r="K711"/>
      <c r="L711"/>
      <c r="M711"/>
      <c r="N711"/>
      <c r="O711"/>
    </row>
    <row r="712" spans="1:15" x14ac:dyDescent="0.35">
      <c r="A712" t="s">
        <v>19</v>
      </c>
      <c r="B712" t="s">
        <v>1255</v>
      </c>
      <c r="C712" t="s">
        <v>1256</v>
      </c>
      <c r="D712">
        <v>150165.73000000001</v>
      </c>
      <c r="E712"/>
      <c r="F712">
        <v>150165.73000000001</v>
      </c>
      <c r="G712"/>
      <c r="J712" s="5">
        <v>150165.73000000001</v>
      </c>
      <c r="K712"/>
      <c r="L712"/>
      <c r="M712"/>
      <c r="N712"/>
      <c r="O712"/>
    </row>
    <row r="713" spans="1:15" x14ac:dyDescent="0.35">
      <c r="A713" t="s">
        <v>36</v>
      </c>
      <c r="B713" t="s">
        <v>1257</v>
      </c>
      <c r="C713" t="s">
        <v>1258</v>
      </c>
      <c r="D713">
        <v>346.98</v>
      </c>
      <c r="E713"/>
      <c r="F713">
        <v>346.98</v>
      </c>
      <c r="G713"/>
      <c r="J713" s="5">
        <v>346.98</v>
      </c>
      <c r="K713"/>
      <c r="L713"/>
      <c r="M713"/>
      <c r="N713"/>
      <c r="O713"/>
    </row>
    <row r="714" spans="1:15" x14ac:dyDescent="0.35">
      <c r="A714" t="s">
        <v>19</v>
      </c>
      <c r="B714" t="s">
        <v>1259</v>
      </c>
      <c r="C714" t="s">
        <v>1260</v>
      </c>
      <c r="D714">
        <v>99.149999999999906</v>
      </c>
      <c r="E714"/>
      <c r="F714">
        <v>99.149999999999906</v>
      </c>
      <c r="G714"/>
      <c r="J714" s="5">
        <v>99.149999999999906</v>
      </c>
      <c r="K714">
        <v>0</v>
      </c>
      <c r="L714"/>
      <c r="M714"/>
      <c r="N714"/>
      <c r="O714"/>
    </row>
    <row r="715" spans="1:15" x14ac:dyDescent="0.35">
      <c r="A715" t="s">
        <v>33</v>
      </c>
      <c r="B715" t="s">
        <v>1261</v>
      </c>
      <c r="C715" t="s">
        <v>1262</v>
      </c>
      <c r="D715">
        <v>385689.11</v>
      </c>
      <c r="E715"/>
      <c r="F715">
        <v>385689.11</v>
      </c>
      <c r="G715"/>
      <c r="J715" s="5">
        <v>385689.11</v>
      </c>
      <c r="K715"/>
      <c r="L715"/>
      <c r="M715"/>
      <c r="N715"/>
      <c r="O715"/>
    </row>
    <row r="716" spans="1:15" x14ac:dyDescent="0.35">
      <c r="A716" t="s">
        <v>27</v>
      </c>
      <c r="B716" t="s">
        <v>1263</v>
      </c>
      <c r="C716" t="s">
        <v>1264</v>
      </c>
      <c r="D716">
        <v>600.75</v>
      </c>
      <c r="E716"/>
      <c r="F716">
        <v>600.75</v>
      </c>
      <c r="G716"/>
      <c r="H716" s="5">
        <v>600.75</v>
      </c>
      <c r="J716" s="5">
        <v>0</v>
      </c>
      <c r="K716">
        <v>0</v>
      </c>
      <c r="L716"/>
      <c r="M716"/>
      <c r="N716"/>
      <c r="O716"/>
    </row>
    <row r="717" spans="1:15" x14ac:dyDescent="0.35">
      <c r="A717" t="s">
        <v>55</v>
      </c>
      <c r="B717" t="s">
        <v>1267</v>
      </c>
      <c r="C717" t="s">
        <v>1268</v>
      </c>
      <c r="D717">
        <v>27689.98</v>
      </c>
      <c r="E717"/>
      <c r="F717">
        <v>27689.98</v>
      </c>
      <c r="G717"/>
      <c r="H717" s="5">
        <v>27689.98</v>
      </c>
      <c r="J717" s="5">
        <v>0</v>
      </c>
      <c r="K717"/>
      <c r="L717"/>
      <c r="M717"/>
      <c r="N717"/>
      <c r="O717"/>
    </row>
    <row r="718" spans="1:15" x14ac:dyDescent="0.35">
      <c r="A718" t="s">
        <v>210</v>
      </c>
      <c r="B718" t="s">
        <v>1269</v>
      </c>
      <c r="C718" t="s">
        <v>1270</v>
      </c>
      <c r="D718">
        <v>9650.35</v>
      </c>
      <c r="E718"/>
      <c r="F718">
        <v>9650.35</v>
      </c>
      <c r="G718"/>
      <c r="J718" s="5">
        <v>861.68000000000006</v>
      </c>
      <c r="K718">
        <v>59</v>
      </c>
      <c r="L718">
        <v>8729.67</v>
      </c>
      <c r="M718"/>
      <c r="N718"/>
      <c r="O718"/>
    </row>
    <row r="719" spans="1:15" x14ac:dyDescent="0.35">
      <c r="A719" t="s">
        <v>88</v>
      </c>
      <c r="B719" t="s">
        <v>1271</v>
      </c>
      <c r="C719" t="s">
        <v>1272</v>
      </c>
      <c r="D719">
        <v>229454.13999999998</v>
      </c>
      <c r="E719"/>
      <c r="F719">
        <v>229454.13999999998</v>
      </c>
      <c r="G719"/>
      <c r="J719" s="5">
        <v>8562.3599999999988</v>
      </c>
      <c r="K719">
        <v>19712.599999999999</v>
      </c>
      <c r="L719">
        <v>201179.18</v>
      </c>
      <c r="M719"/>
      <c r="N719"/>
      <c r="O719"/>
    </row>
    <row r="720" spans="1:15" x14ac:dyDescent="0.35">
      <c r="A720" t="s">
        <v>275</v>
      </c>
      <c r="B720" t="s">
        <v>1273</v>
      </c>
      <c r="C720" t="s">
        <v>1274</v>
      </c>
      <c r="D720">
        <v>37986.86</v>
      </c>
      <c r="E720"/>
      <c r="F720">
        <v>37986.86</v>
      </c>
      <c r="G720"/>
      <c r="J720" s="5">
        <v>1166.6399999999999</v>
      </c>
      <c r="K720">
        <v>36820.22</v>
      </c>
      <c r="L720"/>
      <c r="M720"/>
      <c r="N720"/>
      <c r="O720"/>
    </row>
    <row r="721" spans="1:15" x14ac:dyDescent="0.35">
      <c r="A721" t="s">
        <v>36</v>
      </c>
      <c r="B721" t="s">
        <v>1275</v>
      </c>
      <c r="C721" t="s">
        <v>1276</v>
      </c>
      <c r="D721">
        <v>190.33</v>
      </c>
      <c r="E721"/>
      <c r="F721">
        <v>190.33</v>
      </c>
      <c r="G721"/>
      <c r="J721" s="5">
        <v>190.33</v>
      </c>
      <c r="K721">
        <v>0</v>
      </c>
      <c r="L721"/>
      <c r="M721"/>
      <c r="N721"/>
      <c r="O721"/>
    </row>
    <row r="722" spans="1:15" x14ac:dyDescent="0.35">
      <c r="A722" t="s">
        <v>19</v>
      </c>
      <c r="B722" t="s">
        <v>1279</v>
      </c>
      <c r="C722" t="s">
        <v>1280</v>
      </c>
      <c r="D722">
        <v>593.78</v>
      </c>
      <c r="E722"/>
      <c r="F722">
        <v>593.78</v>
      </c>
      <c r="G722"/>
      <c r="J722" s="5">
        <v>593.38</v>
      </c>
      <c r="K722">
        <v>0.4</v>
      </c>
      <c r="L722"/>
      <c r="M722"/>
      <c r="N722"/>
      <c r="O722"/>
    </row>
    <row r="723" spans="1:15" x14ac:dyDescent="0.35">
      <c r="A723" t="s">
        <v>19</v>
      </c>
      <c r="B723" t="s">
        <v>1281</v>
      </c>
      <c r="C723" t="s">
        <v>1282</v>
      </c>
      <c r="D723">
        <v>6233.77</v>
      </c>
      <c r="E723"/>
      <c r="F723">
        <v>6233.77</v>
      </c>
      <c r="G723"/>
      <c r="J723" s="5">
        <v>184.03</v>
      </c>
      <c r="K723">
        <v>6049.74</v>
      </c>
      <c r="L723"/>
      <c r="M723"/>
      <c r="N723"/>
      <c r="O723"/>
    </row>
    <row r="724" spans="1:15" x14ac:dyDescent="0.35">
      <c r="A724" t="s">
        <v>27</v>
      </c>
      <c r="B724" t="s">
        <v>1283</v>
      </c>
      <c r="C724" t="s">
        <v>1284</v>
      </c>
      <c r="D724">
        <v>249.04</v>
      </c>
      <c r="E724"/>
      <c r="F724">
        <v>249.04</v>
      </c>
      <c r="G724"/>
      <c r="J724" s="5">
        <v>190.94</v>
      </c>
      <c r="K724">
        <v>58.1</v>
      </c>
      <c r="L724"/>
      <c r="M724"/>
      <c r="N724"/>
      <c r="O724"/>
    </row>
    <row r="725" spans="1:15" x14ac:dyDescent="0.35">
      <c r="A725" t="s">
        <v>33</v>
      </c>
      <c r="B725" t="s">
        <v>1285</v>
      </c>
      <c r="C725" t="s">
        <v>1286</v>
      </c>
      <c r="D725">
        <v>38427.82</v>
      </c>
      <c r="E725"/>
      <c r="F725">
        <v>38427.82</v>
      </c>
      <c r="G725"/>
      <c r="J725" s="5">
        <v>1030.8800000000001</v>
      </c>
      <c r="K725">
        <v>37396.94</v>
      </c>
      <c r="L725"/>
      <c r="M725"/>
      <c r="N725"/>
      <c r="O725"/>
    </row>
    <row r="726" spans="1:15" x14ac:dyDescent="0.35">
      <c r="A726" t="s">
        <v>19</v>
      </c>
      <c r="B726" t="s">
        <v>1287</v>
      </c>
      <c r="C726" t="s">
        <v>1288</v>
      </c>
      <c r="D726">
        <v>0.2</v>
      </c>
      <c r="E726"/>
      <c r="F726">
        <v>0.2</v>
      </c>
      <c r="G726"/>
      <c r="J726" s="5">
        <v>0.2</v>
      </c>
      <c r="K726"/>
      <c r="L726"/>
      <c r="M726"/>
      <c r="N726"/>
      <c r="O726"/>
    </row>
    <row r="727" spans="1:15" x14ac:dyDescent="0.35">
      <c r="A727" t="s">
        <v>41</v>
      </c>
      <c r="B727" t="s">
        <v>1289</v>
      </c>
      <c r="C727" t="s">
        <v>1290</v>
      </c>
      <c r="D727">
        <v>207.95</v>
      </c>
      <c r="E727"/>
      <c r="F727">
        <v>207.95</v>
      </c>
      <c r="G727"/>
      <c r="J727" s="5">
        <v>207.95</v>
      </c>
      <c r="K727"/>
      <c r="L727"/>
      <c r="M727"/>
      <c r="N727"/>
      <c r="O727"/>
    </row>
    <row r="728" spans="1:15" x14ac:dyDescent="0.35">
      <c r="A728" t="s">
        <v>328</v>
      </c>
      <c r="B728" t="s">
        <v>1291</v>
      </c>
      <c r="C728" t="s">
        <v>1292</v>
      </c>
      <c r="D728">
        <v>454.84999999999997</v>
      </c>
      <c r="E728"/>
      <c r="F728">
        <v>454.84999999999997</v>
      </c>
      <c r="G728"/>
      <c r="J728" s="5">
        <v>403.84</v>
      </c>
      <c r="K728"/>
      <c r="L728">
        <v>51.01</v>
      </c>
      <c r="M728"/>
      <c r="N728"/>
      <c r="O728"/>
    </row>
    <row r="729" spans="1:15" x14ac:dyDescent="0.35">
      <c r="A729" t="s">
        <v>169</v>
      </c>
      <c r="B729" t="s">
        <v>1293</v>
      </c>
      <c r="C729" t="s">
        <v>1294</v>
      </c>
      <c r="D729">
        <v>417232.37</v>
      </c>
      <c r="E729"/>
      <c r="F729">
        <v>417232.37</v>
      </c>
      <c r="G729"/>
      <c r="J729" s="5">
        <v>2072.7600000000002</v>
      </c>
      <c r="K729">
        <v>383398.14</v>
      </c>
      <c r="L729">
        <v>31761.47</v>
      </c>
      <c r="M729"/>
      <c r="N729"/>
      <c r="O729"/>
    </row>
    <row r="730" spans="1:15" x14ac:dyDescent="0.35">
      <c r="A730" t="s">
        <v>19</v>
      </c>
      <c r="B730" t="s">
        <v>1295</v>
      </c>
      <c r="C730" t="s">
        <v>1296</v>
      </c>
      <c r="D730">
        <v>294879.08</v>
      </c>
      <c r="E730"/>
      <c r="F730">
        <v>294879.08</v>
      </c>
      <c r="G730"/>
      <c r="J730" s="5">
        <v>17942.2</v>
      </c>
      <c r="K730"/>
      <c r="L730">
        <v>276936.88</v>
      </c>
      <c r="M730"/>
      <c r="N730"/>
      <c r="O730"/>
    </row>
    <row r="731" spans="1:15" x14ac:dyDescent="0.35">
      <c r="A731" t="s">
        <v>19</v>
      </c>
      <c r="B731" t="s">
        <v>1297</v>
      </c>
      <c r="C731" t="s">
        <v>1298</v>
      </c>
      <c r="D731">
        <v>208.67</v>
      </c>
      <c r="E731"/>
      <c r="F731">
        <v>208.67</v>
      </c>
      <c r="G731"/>
      <c r="J731" s="5">
        <v>208.67</v>
      </c>
      <c r="K731"/>
      <c r="L731">
        <v>0</v>
      </c>
      <c r="M731"/>
      <c r="N731"/>
      <c r="O731"/>
    </row>
    <row r="732" spans="1:15" x14ac:dyDescent="0.35">
      <c r="A732" t="s">
        <v>19</v>
      </c>
      <c r="B732" t="s">
        <v>1299</v>
      </c>
      <c r="C732" t="s">
        <v>1300</v>
      </c>
      <c r="D732">
        <v>10181.64</v>
      </c>
      <c r="E732"/>
      <c r="F732">
        <v>10181.64</v>
      </c>
      <c r="G732"/>
      <c r="J732" s="5">
        <v>445.16</v>
      </c>
      <c r="K732"/>
      <c r="L732">
        <v>9736.48</v>
      </c>
      <c r="M732"/>
      <c r="N732"/>
      <c r="O732"/>
    </row>
    <row r="733" spans="1:15" x14ac:dyDescent="0.35">
      <c r="A733" t="s">
        <v>19</v>
      </c>
      <c r="B733" t="s">
        <v>1301</v>
      </c>
      <c r="C733" t="s">
        <v>1302</v>
      </c>
      <c r="D733">
        <v>18138.72</v>
      </c>
      <c r="E733"/>
      <c r="F733">
        <v>18138.72</v>
      </c>
      <c r="G733"/>
      <c r="J733" s="5">
        <v>1698.99</v>
      </c>
      <c r="K733"/>
      <c r="L733">
        <v>16439.73</v>
      </c>
      <c r="M733"/>
      <c r="N733"/>
      <c r="O733"/>
    </row>
    <row r="734" spans="1:15" x14ac:dyDescent="0.35">
      <c r="A734" t="s">
        <v>19</v>
      </c>
      <c r="B734" t="s">
        <v>1303</v>
      </c>
      <c r="C734" t="s">
        <v>1304</v>
      </c>
      <c r="D734">
        <v>6386.72</v>
      </c>
      <c r="E734"/>
      <c r="F734">
        <v>6386.72</v>
      </c>
      <c r="G734"/>
      <c r="J734" s="5">
        <v>5865.29</v>
      </c>
      <c r="K734"/>
      <c r="L734">
        <v>521.42999999999995</v>
      </c>
      <c r="M734"/>
      <c r="N734"/>
      <c r="O734"/>
    </row>
    <row r="735" spans="1:15" x14ac:dyDescent="0.35">
      <c r="A735" t="s">
        <v>19</v>
      </c>
      <c r="B735" t="s">
        <v>1305</v>
      </c>
      <c r="C735" t="s">
        <v>1306</v>
      </c>
      <c r="D735">
        <v>122158.84</v>
      </c>
      <c r="E735"/>
      <c r="F735">
        <v>122158.84</v>
      </c>
      <c r="G735"/>
      <c r="J735" s="5">
        <v>3664.17</v>
      </c>
      <c r="K735"/>
      <c r="L735">
        <v>118494.67</v>
      </c>
      <c r="M735"/>
      <c r="N735"/>
      <c r="O735"/>
    </row>
    <row r="736" spans="1:15" x14ac:dyDescent="0.35">
      <c r="A736" t="s">
        <v>19</v>
      </c>
      <c r="B736" t="s">
        <v>1307</v>
      </c>
      <c r="C736" t="s">
        <v>1308</v>
      </c>
      <c r="D736">
        <v>2260.44</v>
      </c>
      <c r="E736"/>
      <c r="F736">
        <v>2260.44</v>
      </c>
      <c r="G736"/>
      <c r="J736" s="5">
        <v>2260.44</v>
      </c>
      <c r="K736"/>
      <c r="L736"/>
      <c r="M736"/>
      <c r="N736"/>
      <c r="O736"/>
    </row>
    <row r="737" spans="1:15" x14ac:dyDescent="0.35">
      <c r="A737" t="s">
        <v>19</v>
      </c>
      <c r="B737" t="s">
        <v>1309</v>
      </c>
      <c r="C737" t="s">
        <v>1310</v>
      </c>
      <c r="D737">
        <v>993.12</v>
      </c>
      <c r="E737"/>
      <c r="F737">
        <v>993.12</v>
      </c>
      <c r="G737"/>
      <c r="J737" s="5">
        <v>993.12</v>
      </c>
      <c r="K737"/>
      <c r="L737"/>
      <c r="M737"/>
      <c r="N737"/>
      <c r="O737"/>
    </row>
    <row r="738" spans="1:15" x14ac:dyDescent="0.35">
      <c r="A738" t="s">
        <v>93</v>
      </c>
      <c r="B738" t="s">
        <v>1311</v>
      </c>
      <c r="C738" t="s">
        <v>1312</v>
      </c>
      <c r="D738">
        <v>318542.84999999998</v>
      </c>
      <c r="E738"/>
      <c r="F738">
        <v>318542.84999999998</v>
      </c>
      <c r="G738"/>
      <c r="J738" s="5">
        <v>11040.05</v>
      </c>
      <c r="K738">
        <v>11.59</v>
      </c>
      <c r="L738">
        <v>307491.20999999996</v>
      </c>
      <c r="M738"/>
      <c r="N738"/>
      <c r="O738"/>
    </row>
    <row r="739" spans="1:15" x14ac:dyDescent="0.35">
      <c r="A739" t="s">
        <v>33</v>
      </c>
      <c r="B739" t="s">
        <v>1313</v>
      </c>
      <c r="C739" t="s">
        <v>1314</v>
      </c>
      <c r="D739">
        <v>209040.5</v>
      </c>
      <c r="E739"/>
      <c r="F739">
        <v>209040.5</v>
      </c>
      <c r="G739"/>
      <c r="J739" s="5">
        <v>8865.9700000000012</v>
      </c>
      <c r="K739"/>
      <c r="L739">
        <v>200174.53</v>
      </c>
      <c r="M739"/>
      <c r="N739"/>
      <c r="O739"/>
    </row>
    <row r="740" spans="1:15" x14ac:dyDescent="0.35">
      <c r="A740" t="s">
        <v>33</v>
      </c>
      <c r="B740" t="s">
        <v>1315</v>
      </c>
      <c r="C740" t="s">
        <v>1316</v>
      </c>
      <c r="D740">
        <v>78285.950000000012</v>
      </c>
      <c r="E740"/>
      <c r="F740">
        <v>78285.950000000012</v>
      </c>
      <c r="G740"/>
      <c r="J740" s="5">
        <v>11168.76</v>
      </c>
      <c r="K740">
        <v>50978.770000000004</v>
      </c>
      <c r="L740">
        <v>16138.42</v>
      </c>
      <c r="M740"/>
      <c r="N740"/>
      <c r="O740"/>
    </row>
    <row r="741" spans="1:15" x14ac:dyDescent="0.35">
      <c r="A741" t="s">
        <v>19</v>
      </c>
      <c r="B741" t="s">
        <v>1317</v>
      </c>
      <c r="C741" t="s">
        <v>1318</v>
      </c>
      <c r="D741">
        <v>7.0000000000000007E-2</v>
      </c>
      <c r="E741"/>
      <c r="F741">
        <v>7.0000000000000007E-2</v>
      </c>
      <c r="G741"/>
      <c r="J741" s="5">
        <v>7.0000000000000007E-2</v>
      </c>
      <c r="K741"/>
      <c r="L741"/>
      <c r="M741"/>
      <c r="N741"/>
      <c r="O741"/>
    </row>
    <row r="742" spans="1:15" x14ac:dyDescent="0.35">
      <c r="A742" t="s">
        <v>88</v>
      </c>
      <c r="B742" t="s">
        <v>1319</v>
      </c>
      <c r="C742" t="s">
        <v>1320</v>
      </c>
      <c r="D742">
        <v>24032.48</v>
      </c>
      <c r="E742"/>
      <c r="F742">
        <v>24032.48</v>
      </c>
      <c r="G742"/>
      <c r="J742" s="5">
        <v>7643.59</v>
      </c>
      <c r="K742"/>
      <c r="L742">
        <v>59</v>
      </c>
      <c r="M742">
        <v>16329.89</v>
      </c>
      <c r="N742"/>
      <c r="O742"/>
    </row>
    <row r="743" spans="1:15" x14ac:dyDescent="0.35">
      <c r="A743" t="s">
        <v>210</v>
      </c>
      <c r="B743" t="s">
        <v>1321</v>
      </c>
      <c r="C743" t="s">
        <v>1322</v>
      </c>
      <c r="D743">
        <v>184661.17</v>
      </c>
      <c r="E743"/>
      <c r="F743">
        <v>184661.17</v>
      </c>
      <c r="G743"/>
      <c r="J743" s="5">
        <v>16748.11</v>
      </c>
      <c r="K743">
        <v>917.9</v>
      </c>
      <c r="L743">
        <v>59</v>
      </c>
      <c r="M743">
        <v>166936.16</v>
      </c>
      <c r="N743"/>
      <c r="O743"/>
    </row>
    <row r="744" spans="1:15" x14ac:dyDescent="0.35">
      <c r="A744" t="s">
        <v>88</v>
      </c>
      <c r="B744" t="s">
        <v>1323</v>
      </c>
      <c r="C744" t="s">
        <v>1324</v>
      </c>
      <c r="D744">
        <v>24908.93</v>
      </c>
      <c r="E744"/>
      <c r="F744">
        <v>24908.93</v>
      </c>
      <c r="G744"/>
      <c r="J744" s="5">
        <v>1831.33</v>
      </c>
      <c r="K744">
        <v>2064.58</v>
      </c>
      <c r="L744">
        <v>21013.02</v>
      </c>
      <c r="M744"/>
      <c r="N744"/>
      <c r="O744"/>
    </row>
    <row r="745" spans="1:15" x14ac:dyDescent="0.35">
      <c r="A745" t="s">
        <v>55</v>
      </c>
      <c r="B745" t="s">
        <v>1325</v>
      </c>
      <c r="C745" t="s">
        <v>1326</v>
      </c>
      <c r="D745">
        <v>53682.33</v>
      </c>
      <c r="E745"/>
      <c r="F745">
        <v>53682.33</v>
      </c>
      <c r="G745"/>
      <c r="J745" s="5">
        <v>2044.13</v>
      </c>
      <c r="K745"/>
      <c r="L745">
        <v>90.460000000000008</v>
      </c>
      <c r="M745">
        <v>51547.74</v>
      </c>
      <c r="N745"/>
      <c r="O745"/>
    </row>
    <row r="746" spans="1:15" x14ac:dyDescent="0.35">
      <c r="A746" t="s">
        <v>55</v>
      </c>
      <c r="B746" t="s">
        <v>1327</v>
      </c>
      <c r="C746" t="s">
        <v>1328</v>
      </c>
      <c r="D746">
        <v>14976.63</v>
      </c>
      <c r="E746"/>
      <c r="F746">
        <v>14976.63</v>
      </c>
      <c r="G746"/>
      <c r="J746" s="5">
        <v>765.34</v>
      </c>
      <c r="K746"/>
      <c r="L746">
        <v>14211.289999999999</v>
      </c>
      <c r="M746"/>
      <c r="N746"/>
      <c r="O746"/>
    </row>
    <row r="747" spans="1:15" x14ac:dyDescent="0.35">
      <c r="A747" t="s">
        <v>36</v>
      </c>
      <c r="B747" t="s">
        <v>1329</v>
      </c>
      <c r="C747" t="s">
        <v>1330</v>
      </c>
      <c r="D747">
        <v>376241.56000000006</v>
      </c>
      <c r="E747"/>
      <c r="F747">
        <v>376241.56000000006</v>
      </c>
      <c r="G747"/>
      <c r="J747" s="5">
        <v>14037.739999999998</v>
      </c>
      <c r="K747">
        <v>618</v>
      </c>
      <c r="L747">
        <v>281720.18</v>
      </c>
      <c r="M747">
        <v>79865.64</v>
      </c>
      <c r="N747"/>
      <c r="O747"/>
    </row>
    <row r="748" spans="1:15" x14ac:dyDescent="0.35">
      <c r="A748" t="s">
        <v>36</v>
      </c>
      <c r="B748" t="s">
        <v>1331</v>
      </c>
      <c r="C748" t="s">
        <v>1332</v>
      </c>
      <c r="D748">
        <v>86.03</v>
      </c>
      <c r="E748"/>
      <c r="F748">
        <v>86.03</v>
      </c>
      <c r="G748"/>
      <c r="J748" s="5">
        <v>86.03</v>
      </c>
      <c r="K748"/>
      <c r="L748"/>
      <c r="M748"/>
      <c r="N748"/>
      <c r="O748"/>
    </row>
    <row r="749" spans="1:15" x14ac:dyDescent="0.35">
      <c r="A749" t="s">
        <v>19</v>
      </c>
      <c r="B749" t="s">
        <v>1333</v>
      </c>
      <c r="C749" t="s">
        <v>1334</v>
      </c>
      <c r="D749">
        <v>5416.02</v>
      </c>
      <c r="E749"/>
      <c r="F749">
        <v>5416.02</v>
      </c>
      <c r="G749"/>
      <c r="J749" s="5">
        <v>1511.42</v>
      </c>
      <c r="K749"/>
      <c r="L749">
        <v>3904.6</v>
      </c>
      <c r="M749"/>
      <c r="N749"/>
      <c r="O749"/>
    </row>
    <row r="750" spans="1:15" x14ac:dyDescent="0.35">
      <c r="A750" t="s">
        <v>24</v>
      </c>
      <c r="B750" t="s">
        <v>1335</v>
      </c>
      <c r="C750" t="s">
        <v>1336</v>
      </c>
      <c r="D750">
        <v>48415.69</v>
      </c>
      <c r="E750"/>
      <c r="F750">
        <v>48415.69</v>
      </c>
      <c r="G750"/>
      <c r="J750" s="5">
        <v>2974.65</v>
      </c>
      <c r="K750"/>
      <c r="L750">
        <v>45441.04</v>
      </c>
      <c r="M750"/>
      <c r="N750"/>
      <c r="O750"/>
    </row>
    <row r="751" spans="1:15" x14ac:dyDescent="0.35">
      <c r="A751" t="s">
        <v>24</v>
      </c>
      <c r="B751" t="s">
        <v>1337</v>
      </c>
      <c r="C751" t="s">
        <v>1338</v>
      </c>
      <c r="D751">
        <v>104104.51999999999</v>
      </c>
      <c r="E751"/>
      <c r="F751">
        <v>104104.51999999999</v>
      </c>
      <c r="G751"/>
      <c r="J751" s="5">
        <v>11107.96</v>
      </c>
      <c r="K751">
        <v>2212.44</v>
      </c>
      <c r="L751">
        <v>90784.12</v>
      </c>
      <c r="M751"/>
      <c r="N751"/>
      <c r="O751"/>
    </row>
    <row r="752" spans="1:15" x14ac:dyDescent="0.35">
      <c r="A752" t="s">
        <v>24</v>
      </c>
      <c r="B752" t="s">
        <v>1339</v>
      </c>
      <c r="C752" t="s">
        <v>1340</v>
      </c>
      <c r="D752">
        <v>2705.38</v>
      </c>
      <c r="E752"/>
      <c r="F752">
        <v>2705.38</v>
      </c>
      <c r="G752"/>
      <c r="J752" s="5">
        <v>2705.38</v>
      </c>
      <c r="K752"/>
      <c r="L752"/>
      <c r="M752">
        <v>0</v>
      </c>
      <c r="N752"/>
      <c r="O752"/>
    </row>
    <row r="753" spans="1:15" x14ac:dyDescent="0.35">
      <c r="A753" t="s">
        <v>16</v>
      </c>
      <c r="B753" t="s">
        <v>1341</v>
      </c>
      <c r="C753" t="s">
        <v>1342</v>
      </c>
      <c r="D753">
        <v>10525.81</v>
      </c>
      <c r="E753"/>
      <c r="F753">
        <v>10525.81</v>
      </c>
      <c r="G753"/>
      <c r="J753" s="5">
        <v>281.3</v>
      </c>
      <c r="K753"/>
      <c r="L753">
        <v>10244.51</v>
      </c>
      <c r="M753"/>
      <c r="N753"/>
      <c r="O753"/>
    </row>
    <row r="754" spans="1:15" x14ac:dyDescent="0.35">
      <c r="A754" t="s">
        <v>16</v>
      </c>
      <c r="B754" t="s">
        <v>1343</v>
      </c>
      <c r="C754" t="s">
        <v>1344</v>
      </c>
      <c r="D754">
        <v>67798.329999999987</v>
      </c>
      <c r="E754"/>
      <c r="F754">
        <v>67798.329999999987</v>
      </c>
      <c r="G754"/>
      <c r="J754" s="5">
        <v>6259.7099999999991</v>
      </c>
      <c r="K754"/>
      <c r="L754">
        <v>61538.619999999995</v>
      </c>
      <c r="M754"/>
      <c r="N754"/>
      <c r="O754"/>
    </row>
    <row r="755" spans="1:15" x14ac:dyDescent="0.35">
      <c r="A755" t="s">
        <v>210</v>
      </c>
      <c r="B755" t="s">
        <v>1345</v>
      </c>
      <c r="C755" t="s">
        <v>1346</v>
      </c>
      <c r="D755">
        <v>13520.26</v>
      </c>
      <c r="E755"/>
      <c r="F755">
        <v>13520.26</v>
      </c>
      <c r="G755"/>
      <c r="J755" s="5">
        <v>5145.62</v>
      </c>
      <c r="K755"/>
      <c r="L755"/>
      <c r="M755">
        <v>8374.64</v>
      </c>
      <c r="N755"/>
      <c r="O755"/>
    </row>
    <row r="756" spans="1:15" x14ac:dyDescent="0.35">
      <c r="A756" t="s">
        <v>210</v>
      </c>
      <c r="B756" t="s">
        <v>1347</v>
      </c>
      <c r="C756" t="s">
        <v>1348</v>
      </c>
      <c r="D756">
        <v>600.38</v>
      </c>
      <c r="E756"/>
      <c r="F756">
        <v>600.38</v>
      </c>
      <c r="G756"/>
      <c r="J756" s="5">
        <v>600.38</v>
      </c>
      <c r="K756"/>
      <c r="L756"/>
      <c r="M756"/>
      <c r="N756"/>
      <c r="O756"/>
    </row>
    <row r="757" spans="1:15" x14ac:dyDescent="0.35">
      <c r="A757" t="s">
        <v>36</v>
      </c>
      <c r="B757" t="s">
        <v>1349</v>
      </c>
      <c r="C757" t="s">
        <v>1350</v>
      </c>
      <c r="D757">
        <v>477.65999999999997</v>
      </c>
      <c r="E757"/>
      <c r="F757">
        <v>477.65999999999997</v>
      </c>
      <c r="G757"/>
      <c r="J757" s="5">
        <v>419.26</v>
      </c>
      <c r="K757"/>
      <c r="L757"/>
      <c r="M757">
        <v>58.4</v>
      </c>
      <c r="N757"/>
      <c r="O757"/>
    </row>
    <row r="758" spans="1:15" x14ac:dyDescent="0.35">
      <c r="A758" t="s">
        <v>36</v>
      </c>
      <c r="B758" t="s">
        <v>1351</v>
      </c>
      <c r="C758" t="s">
        <v>1352</v>
      </c>
      <c r="D758">
        <v>722.01</v>
      </c>
      <c r="E758"/>
      <c r="F758">
        <v>722.01</v>
      </c>
      <c r="G758"/>
      <c r="J758" s="5">
        <v>722.01</v>
      </c>
      <c r="K758"/>
      <c r="L758"/>
      <c r="M758"/>
      <c r="N758"/>
      <c r="O758"/>
    </row>
    <row r="759" spans="1:15" x14ac:dyDescent="0.35">
      <c r="A759" t="s">
        <v>19</v>
      </c>
      <c r="B759" t="s">
        <v>1353</v>
      </c>
      <c r="C759" t="s">
        <v>1354</v>
      </c>
      <c r="D759">
        <v>12329.76</v>
      </c>
      <c r="E759"/>
      <c r="F759">
        <v>12329.76</v>
      </c>
      <c r="G759"/>
      <c r="J759" s="5">
        <v>1373.1</v>
      </c>
      <c r="K759"/>
      <c r="L759">
        <v>8000</v>
      </c>
      <c r="M759">
        <v>2956.66</v>
      </c>
      <c r="N759"/>
      <c r="O759"/>
    </row>
    <row r="760" spans="1:15" x14ac:dyDescent="0.35">
      <c r="A760" t="s">
        <v>19</v>
      </c>
      <c r="B760" t="s">
        <v>1355</v>
      </c>
      <c r="C760" t="s">
        <v>1356</v>
      </c>
      <c r="D760">
        <v>47106.520000000004</v>
      </c>
      <c r="E760"/>
      <c r="F760">
        <v>47106.520000000004</v>
      </c>
      <c r="G760"/>
      <c r="J760" s="5">
        <v>5043.55</v>
      </c>
      <c r="K760">
        <v>2932.81</v>
      </c>
      <c r="L760"/>
      <c r="M760">
        <v>39130.160000000003</v>
      </c>
      <c r="N760"/>
      <c r="O760"/>
    </row>
    <row r="761" spans="1:15" x14ac:dyDescent="0.35">
      <c r="A761" t="s">
        <v>19</v>
      </c>
      <c r="B761" t="s">
        <v>1357</v>
      </c>
      <c r="C761" t="s">
        <v>1358</v>
      </c>
      <c r="D761">
        <v>227.43</v>
      </c>
      <c r="E761"/>
      <c r="F761">
        <v>227.43</v>
      </c>
      <c r="G761"/>
      <c r="J761" s="5">
        <v>68.239999999999995</v>
      </c>
      <c r="K761"/>
      <c r="L761">
        <v>159.19</v>
      </c>
      <c r="M761"/>
      <c r="N761"/>
      <c r="O761"/>
    </row>
    <row r="762" spans="1:15" x14ac:dyDescent="0.35">
      <c r="A762" t="s">
        <v>93</v>
      </c>
      <c r="B762" t="s">
        <v>1359</v>
      </c>
      <c r="C762" t="s">
        <v>1360</v>
      </c>
      <c r="D762">
        <v>1465563.56</v>
      </c>
      <c r="E762"/>
      <c r="F762">
        <v>1465563.56</v>
      </c>
      <c r="G762"/>
      <c r="J762" s="5">
        <v>18479.07</v>
      </c>
      <c r="K762">
        <v>8582.49</v>
      </c>
      <c r="L762"/>
      <c r="M762">
        <v>1438502</v>
      </c>
      <c r="N762"/>
      <c r="O762"/>
    </row>
    <row r="763" spans="1:15" x14ac:dyDescent="0.35">
      <c r="A763" t="s">
        <v>93</v>
      </c>
      <c r="B763" t="s">
        <v>1361</v>
      </c>
      <c r="C763" t="s">
        <v>1362</v>
      </c>
      <c r="D763">
        <v>4127.41</v>
      </c>
      <c r="E763"/>
      <c r="F763">
        <v>4127.41</v>
      </c>
      <c r="G763"/>
      <c r="J763" s="5">
        <v>2648.14</v>
      </c>
      <c r="K763">
        <v>1479.27</v>
      </c>
      <c r="L763"/>
      <c r="M763"/>
      <c r="N763"/>
      <c r="O763"/>
    </row>
    <row r="764" spans="1:15" x14ac:dyDescent="0.35">
      <c r="A764" t="s">
        <v>93</v>
      </c>
      <c r="B764" t="s">
        <v>1363</v>
      </c>
      <c r="C764" t="s">
        <v>1364</v>
      </c>
      <c r="D764">
        <v>2289.87</v>
      </c>
      <c r="E764"/>
      <c r="F764">
        <v>2289.87</v>
      </c>
      <c r="G764"/>
      <c r="J764" s="5">
        <v>975.64</v>
      </c>
      <c r="K764">
        <v>1314.23</v>
      </c>
      <c r="L764"/>
      <c r="M764"/>
      <c r="N764"/>
      <c r="O764"/>
    </row>
    <row r="765" spans="1:15" x14ac:dyDescent="0.35">
      <c r="A765" t="s">
        <v>100</v>
      </c>
      <c r="B765" t="s">
        <v>1365</v>
      </c>
      <c r="C765" t="s">
        <v>1366</v>
      </c>
      <c r="D765">
        <v>27404.720000000001</v>
      </c>
      <c r="E765"/>
      <c r="F765">
        <v>27404.720000000001</v>
      </c>
      <c r="G765"/>
      <c r="J765" s="5">
        <v>778.76</v>
      </c>
      <c r="K765"/>
      <c r="L765"/>
      <c r="M765">
        <v>26625.96</v>
      </c>
      <c r="N765"/>
      <c r="O765"/>
    </row>
    <row r="766" spans="1:15" x14ac:dyDescent="0.35">
      <c r="A766" t="s">
        <v>24</v>
      </c>
      <c r="B766" t="s">
        <v>1367</v>
      </c>
      <c r="C766" t="s">
        <v>1368</v>
      </c>
      <c r="D766">
        <v>2960.04000000001</v>
      </c>
      <c r="E766"/>
      <c r="F766">
        <v>2960.04000000001</v>
      </c>
      <c r="G766"/>
      <c r="I766" s="5">
        <v>2960.04000000001</v>
      </c>
      <c r="J766" s="5">
        <v>0</v>
      </c>
      <c r="K766"/>
      <c r="L766"/>
      <c r="M766"/>
      <c r="N766"/>
      <c r="O766"/>
    </row>
    <row r="767" spans="1:15" x14ac:dyDescent="0.35">
      <c r="A767" t="s">
        <v>24</v>
      </c>
      <c r="B767" t="s">
        <v>1369</v>
      </c>
      <c r="C767" t="s">
        <v>1370</v>
      </c>
      <c r="D767">
        <v>225636.33</v>
      </c>
      <c r="E767"/>
      <c r="F767">
        <v>225636.33</v>
      </c>
      <c r="G767"/>
      <c r="J767" s="5">
        <v>13543.3</v>
      </c>
      <c r="K767"/>
      <c r="L767"/>
      <c r="M767">
        <v>212093.03</v>
      </c>
      <c r="N767"/>
      <c r="O767"/>
    </row>
    <row r="768" spans="1:15" x14ac:dyDescent="0.35">
      <c r="A768" t="s">
        <v>41</v>
      </c>
      <c r="B768" t="s">
        <v>1371</v>
      </c>
      <c r="C768" t="s">
        <v>1372</v>
      </c>
      <c r="D768">
        <v>211310.53</v>
      </c>
      <c r="E768"/>
      <c r="F768">
        <v>211310.53</v>
      </c>
      <c r="G768"/>
      <c r="J768" s="5">
        <v>23676.79</v>
      </c>
      <c r="K768">
        <v>187633.74</v>
      </c>
      <c r="L768"/>
      <c r="M768"/>
      <c r="N768"/>
      <c r="O768"/>
    </row>
    <row r="769" spans="1:15" x14ac:dyDescent="0.35">
      <c r="A769" t="s">
        <v>41</v>
      </c>
      <c r="B769" t="s">
        <v>1373</v>
      </c>
      <c r="C769" t="s">
        <v>1374</v>
      </c>
      <c r="D769">
        <v>481238.18</v>
      </c>
      <c r="E769"/>
      <c r="F769">
        <v>481238.18</v>
      </c>
      <c r="G769"/>
      <c r="J769" s="5">
        <v>22794.16</v>
      </c>
      <c r="K769">
        <v>3120.41</v>
      </c>
      <c r="L769"/>
      <c r="M769">
        <v>455323.61</v>
      </c>
      <c r="N769"/>
      <c r="O769"/>
    </row>
    <row r="770" spans="1:15" x14ac:dyDescent="0.35">
      <c r="A770" t="s">
        <v>41</v>
      </c>
      <c r="B770" t="s">
        <v>1375</v>
      </c>
      <c r="C770" t="s">
        <v>1376</v>
      </c>
      <c r="D770">
        <v>143217.03</v>
      </c>
      <c r="E770"/>
      <c r="F770">
        <v>143217.03</v>
      </c>
      <c r="G770"/>
      <c r="J770" s="5">
        <v>8025.78</v>
      </c>
      <c r="K770">
        <v>5115.37</v>
      </c>
      <c r="L770"/>
      <c r="M770">
        <v>130075.88</v>
      </c>
      <c r="N770"/>
      <c r="O770"/>
    </row>
    <row r="771" spans="1:15" x14ac:dyDescent="0.35">
      <c r="A771" t="s">
        <v>41</v>
      </c>
      <c r="B771" t="s">
        <v>1377</v>
      </c>
      <c r="C771" t="s">
        <v>1378</v>
      </c>
      <c r="D771">
        <v>1804.8</v>
      </c>
      <c r="E771"/>
      <c r="F771">
        <v>1804.8</v>
      </c>
      <c r="G771"/>
      <c r="J771" s="5">
        <v>1804.73</v>
      </c>
      <c r="K771"/>
      <c r="L771">
        <v>7.0000000000000007E-2</v>
      </c>
      <c r="M771"/>
      <c r="N771"/>
      <c r="O771"/>
    </row>
    <row r="772" spans="1:15" x14ac:dyDescent="0.35">
      <c r="A772" t="s">
        <v>41</v>
      </c>
      <c r="B772" t="s">
        <v>1379</v>
      </c>
      <c r="C772" t="s">
        <v>1380</v>
      </c>
      <c r="D772">
        <v>74689.39</v>
      </c>
      <c r="E772"/>
      <c r="F772">
        <v>74689.39</v>
      </c>
      <c r="G772"/>
      <c r="J772" s="5">
        <v>714.94</v>
      </c>
      <c r="K772">
        <v>4186.6099999999997</v>
      </c>
      <c r="L772"/>
      <c r="M772">
        <v>69787.839999999997</v>
      </c>
      <c r="N772"/>
      <c r="O772"/>
    </row>
    <row r="773" spans="1:15" x14ac:dyDescent="0.35">
      <c r="A773" t="s">
        <v>27</v>
      </c>
      <c r="B773" t="s">
        <v>1381</v>
      </c>
      <c r="C773" t="s">
        <v>1382</v>
      </c>
      <c r="D773">
        <v>38630.43</v>
      </c>
      <c r="E773"/>
      <c r="F773">
        <v>38630.43</v>
      </c>
      <c r="G773"/>
      <c r="J773" s="5">
        <v>1844.26</v>
      </c>
      <c r="K773">
        <v>762.1</v>
      </c>
      <c r="L773"/>
      <c r="M773">
        <v>36024.07</v>
      </c>
      <c r="N773"/>
      <c r="O773"/>
    </row>
    <row r="774" spans="1:15" x14ac:dyDescent="0.35">
      <c r="A774" t="s">
        <v>41</v>
      </c>
      <c r="B774" t="s">
        <v>1383</v>
      </c>
      <c r="C774" t="s">
        <v>1384</v>
      </c>
      <c r="D774">
        <v>751.68999999999994</v>
      </c>
      <c r="E774"/>
      <c r="F774">
        <v>751.68999999999994</v>
      </c>
      <c r="G774"/>
      <c r="K774">
        <v>751.68999999999994</v>
      </c>
      <c r="L774"/>
      <c r="M774"/>
      <c r="N774"/>
      <c r="O774"/>
    </row>
    <row r="775" spans="1:15" x14ac:dyDescent="0.35">
      <c r="A775" t="s">
        <v>33</v>
      </c>
      <c r="B775" t="s">
        <v>1385</v>
      </c>
      <c r="C775" t="s">
        <v>1386</v>
      </c>
      <c r="D775">
        <v>0.1</v>
      </c>
      <c r="E775"/>
      <c r="F775">
        <v>0.1</v>
      </c>
      <c r="G775"/>
      <c r="K775">
        <v>0.1</v>
      </c>
      <c r="L775"/>
      <c r="M775"/>
      <c r="N775"/>
      <c r="O775"/>
    </row>
    <row r="776" spans="1:15" x14ac:dyDescent="0.35">
      <c r="A776" t="s">
        <v>210</v>
      </c>
      <c r="B776" t="s">
        <v>1387</v>
      </c>
      <c r="C776" t="s">
        <v>1388</v>
      </c>
      <c r="D776">
        <v>51128.790000000008</v>
      </c>
      <c r="E776"/>
      <c r="F776">
        <v>51128.790000000008</v>
      </c>
      <c r="G776"/>
      <c r="K776">
        <v>9074.67</v>
      </c>
      <c r="L776">
        <v>16271.87</v>
      </c>
      <c r="M776">
        <v>25782.25</v>
      </c>
      <c r="N776"/>
      <c r="O776"/>
    </row>
    <row r="777" spans="1:15" x14ac:dyDescent="0.35">
      <c r="A777" t="s">
        <v>169</v>
      </c>
      <c r="B777" t="s">
        <v>1391</v>
      </c>
      <c r="C777" t="s">
        <v>1392</v>
      </c>
      <c r="D777">
        <v>9550.7099999999991</v>
      </c>
      <c r="E777"/>
      <c r="F777">
        <v>9550.7099999999991</v>
      </c>
      <c r="G777"/>
      <c r="K777">
        <v>2903.2</v>
      </c>
      <c r="L777"/>
      <c r="M777">
        <v>6647.51</v>
      </c>
      <c r="N777"/>
      <c r="O777"/>
    </row>
    <row r="778" spans="1:15" x14ac:dyDescent="0.35">
      <c r="A778" t="s">
        <v>36</v>
      </c>
      <c r="B778" t="s">
        <v>1393</v>
      </c>
      <c r="C778" t="s">
        <v>1394</v>
      </c>
      <c r="D778">
        <v>102.22</v>
      </c>
      <c r="E778"/>
      <c r="F778">
        <v>102.22</v>
      </c>
      <c r="G778"/>
      <c r="K778">
        <v>102.22</v>
      </c>
      <c r="L778"/>
      <c r="M778"/>
      <c r="N778"/>
      <c r="O778"/>
    </row>
    <row r="779" spans="1:15" x14ac:dyDescent="0.35">
      <c r="A779" t="s">
        <v>36</v>
      </c>
      <c r="B779" t="s">
        <v>1395</v>
      </c>
      <c r="C779" t="s">
        <v>1396</v>
      </c>
      <c r="D779">
        <v>3110.76</v>
      </c>
      <c r="E779"/>
      <c r="F779">
        <v>3110.76</v>
      </c>
      <c r="G779"/>
      <c r="K779">
        <v>1120.26</v>
      </c>
      <c r="L779"/>
      <c r="M779">
        <v>1990.5</v>
      </c>
      <c r="N779"/>
      <c r="O779"/>
    </row>
    <row r="780" spans="1:15" x14ac:dyDescent="0.35">
      <c r="A780" t="s">
        <v>19</v>
      </c>
      <c r="B780" t="s">
        <v>1397</v>
      </c>
      <c r="C780" t="s">
        <v>1398</v>
      </c>
      <c r="D780">
        <v>13516.8</v>
      </c>
      <c r="E780"/>
      <c r="F780">
        <v>13516.8</v>
      </c>
      <c r="G780"/>
      <c r="K780">
        <v>6113.36</v>
      </c>
      <c r="L780"/>
      <c r="M780">
        <v>7403.44</v>
      </c>
      <c r="N780"/>
      <c r="O780"/>
    </row>
    <row r="781" spans="1:15" x14ac:dyDescent="0.35">
      <c r="A781" t="s">
        <v>19</v>
      </c>
      <c r="B781" t="s">
        <v>1399</v>
      </c>
      <c r="C781" t="s">
        <v>1400</v>
      </c>
      <c r="D781">
        <v>1010.95</v>
      </c>
      <c r="E781"/>
      <c r="F781">
        <v>1010.95</v>
      </c>
      <c r="G781"/>
      <c r="K781">
        <v>1010.95</v>
      </c>
      <c r="L781"/>
      <c r="M781"/>
      <c r="N781"/>
      <c r="O781"/>
    </row>
    <row r="782" spans="1:15" x14ac:dyDescent="0.35">
      <c r="A782" t="s">
        <v>19</v>
      </c>
      <c r="B782" t="s">
        <v>1401</v>
      </c>
      <c r="C782" t="s">
        <v>1402</v>
      </c>
      <c r="D782">
        <v>308.77</v>
      </c>
      <c r="E782"/>
      <c r="F782">
        <v>308.77</v>
      </c>
      <c r="G782"/>
      <c r="K782">
        <v>248.53</v>
      </c>
      <c r="L782"/>
      <c r="M782">
        <v>60.24</v>
      </c>
      <c r="N782"/>
      <c r="O782"/>
    </row>
    <row r="783" spans="1:15" x14ac:dyDescent="0.35">
      <c r="A783" t="s">
        <v>93</v>
      </c>
      <c r="B783" t="s">
        <v>1403</v>
      </c>
      <c r="C783" t="s">
        <v>1404</v>
      </c>
      <c r="D783">
        <v>323315.23</v>
      </c>
      <c r="E783"/>
      <c r="F783">
        <v>323315.23</v>
      </c>
      <c r="G783"/>
      <c r="K783">
        <v>21607.85</v>
      </c>
      <c r="L783"/>
      <c r="M783">
        <v>301707.38</v>
      </c>
      <c r="N783"/>
      <c r="O783"/>
    </row>
    <row r="784" spans="1:15" x14ac:dyDescent="0.35">
      <c r="A784" t="s">
        <v>100</v>
      </c>
      <c r="B784" t="s">
        <v>1405</v>
      </c>
      <c r="C784" t="s">
        <v>1406</v>
      </c>
      <c r="D784">
        <v>349.58</v>
      </c>
      <c r="E784"/>
      <c r="F784">
        <v>349.58</v>
      </c>
      <c r="G784"/>
      <c r="K784">
        <v>291.2</v>
      </c>
      <c r="L784"/>
      <c r="M784">
        <v>58.38</v>
      </c>
      <c r="N784"/>
      <c r="O784"/>
    </row>
    <row r="785" spans="1:15" x14ac:dyDescent="0.35">
      <c r="A785" t="s">
        <v>24</v>
      </c>
      <c r="B785" t="s">
        <v>1407</v>
      </c>
      <c r="C785" t="s">
        <v>1408</v>
      </c>
      <c r="D785">
        <v>936117.24</v>
      </c>
      <c r="E785"/>
      <c r="F785">
        <v>936117.24</v>
      </c>
      <c r="G785"/>
      <c r="K785">
        <v>15255.5</v>
      </c>
      <c r="L785"/>
      <c r="M785">
        <v>920861.74</v>
      </c>
      <c r="N785"/>
      <c r="O785"/>
    </row>
    <row r="786" spans="1:15" x14ac:dyDescent="0.35">
      <c r="A786" t="s">
        <v>41</v>
      </c>
      <c r="B786" t="s">
        <v>1409</v>
      </c>
      <c r="C786" t="s">
        <v>1410</v>
      </c>
      <c r="D786">
        <v>1845.5</v>
      </c>
      <c r="E786"/>
      <c r="F786">
        <v>1845.5</v>
      </c>
      <c r="G786"/>
      <c r="K786">
        <v>1845.5</v>
      </c>
      <c r="L786"/>
      <c r="M786"/>
      <c r="N786"/>
      <c r="O786"/>
    </row>
    <row r="787" spans="1:15" x14ac:dyDescent="0.35">
      <c r="A787" t="s">
        <v>27</v>
      </c>
      <c r="B787" t="s">
        <v>1411</v>
      </c>
      <c r="C787" t="s">
        <v>1412</v>
      </c>
      <c r="D787">
        <v>19865.329999999998</v>
      </c>
      <c r="E787"/>
      <c r="F787">
        <v>19865.329999999998</v>
      </c>
      <c r="G787"/>
      <c r="K787">
        <v>764.64</v>
      </c>
      <c r="L787"/>
      <c r="M787">
        <v>19100.689999999999</v>
      </c>
      <c r="N787"/>
      <c r="O787"/>
    </row>
    <row r="788" spans="1:15" x14ac:dyDescent="0.35">
      <c r="A788" t="s">
        <v>27</v>
      </c>
      <c r="B788" t="s">
        <v>1413</v>
      </c>
      <c r="C788" t="s">
        <v>1414</v>
      </c>
      <c r="D788">
        <v>46552.79</v>
      </c>
      <c r="E788"/>
      <c r="F788">
        <v>46552.79</v>
      </c>
      <c r="G788"/>
      <c r="K788">
        <v>1354.2</v>
      </c>
      <c r="L788"/>
      <c r="M788">
        <v>45198.59</v>
      </c>
      <c r="N788"/>
      <c r="O788"/>
    </row>
    <row r="789" spans="1:15" x14ac:dyDescent="0.35">
      <c r="A789" t="s">
        <v>210</v>
      </c>
      <c r="B789" t="s">
        <v>1415</v>
      </c>
      <c r="C789" t="s">
        <v>1416</v>
      </c>
      <c r="D789">
        <v>876600.66999999993</v>
      </c>
      <c r="E789"/>
      <c r="F789">
        <v>876600.66999999993</v>
      </c>
      <c r="G789"/>
      <c r="K789">
        <v>102372.54</v>
      </c>
      <c r="L789">
        <v>194019.56</v>
      </c>
      <c r="M789">
        <v>580208.56999999995</v>
      </c>
      <c r="N789"/>
      <c r="O789"/>
    </row>
    <row r="790" spans="1:15" x14ac:dyDescent="0.35">
      <c r="A790" t="s">
        <v>33</v>
      </c>
      <c r="B790" t="s">
        <v>1417</v>
      </c>
      <c r="C790" t="s">
        <v>1418</v>
      </c>
      <c r="D790">
        <v>291864.95999999996</v>
      </c>
      <c r="E790"/>
      <c r="F790">
        <v>291864.95999999996</v>
      </c>
      <c r="G790"/>
      <c r="I790" s="5">
        <v>137017.12</v>
      </c>
      <c r="J790" s="5">
        <v>154847.84</v>
      </c>
      <c r="K790"/>
      <c r="L790"/>
      <c r="M790"/>
      <c r="N790"/>
      <c r="O790"/>
    </row>
    <row r="791" spans="1:15" x14ac:dyDescent="0.35">
      <c r="A791" t="s">
        <v>210</v>
      </c>
      <c r="B791" t="s">
        <v>1419</v>
      </c>
      <c r="C791" t="s">
        <v>1420</v>
      </c>
      <c r="D791">
        <v>2.0000000004074502E-2</v>
      </c>
      <c r="E791"/>
      <c r="F791">
        <v>2.0000000004074502E-2</v>
      </c>
      <c r="G791"/>
      <c r="I791" s="5">
        <v>2.0000000004074502E-2</v>
      </c>
      <c r="K791"/>
      <c r="L791"/>
      <c r="M791"/>
      <c r="N791"/>
      <c r="O791"/>
    </row>
    <row r="792" spans="1:15" x14ac:dyDescent="0.35">
      <c r="A792" t="s">
        <v>88</v>
      </c>
      <c r="B792" t="s">
        <v>1421</v>
      </c>
      <c r="C792" t="s">
        <v>1422</v>
      </c>
      <c r="D792">
        <v>47.94</v>
      </c>
      <c r="E792"/>
      <c r="F792">
        <v>47.94</v>
      </c>
      <c r="G792"/>
      <c r="K792">
        <v>47.94</v>
      </c>
      <c r="L792"/>
      <c r="M792"/>
      <c r="N792"/>
      <c r="O792"/>
    </row>
    <row r="793" spans="1:15" x14ac:dyDescent="0.35">
      <c r="A793" t="s">
        <v>19</v>
      </c>
      <c r="B793" t="s">
        <v>1423</v>
      </c>
      <c r="C793" t="s">
        <v>1424</v>
      </c>
      <c r="D793">
        <v>1616.5</v>
      </c>
      <c r="E793"/>
      <c r="F793">
        <v>1616.5</v>
      </c>
      <c r="G793"/>
      <c r="J793" s="5">
        <v>1616.5</v>
      </c>
      <c r="K793"/>
      <c r="L793"/>
      <c r="M793"/>
      <c r="N793"/>
      <c r="O793"/>
    </row>
    <row r="794" spans="1:15" x14ac:dyDescent="0.35">
      <c r="A794" t="s">
        <v>55</v>
      </c>
      <c r="B794" t="s">
        <v>1427</v>
      </c>
      <c r="C794" t="s">
        <v>1428</v>
      </c>
      <c r="D794">
        <v>31.39</v>
      </c>
      <c r="E794"/>
      <c r="F794">
        <v>31.39</v>
      </c>
      <c r="G794"/>
      <c r="K794"/>
      <c r="L794">
        <v>31.39</v>
      </c>
      <c r="M794"/>
      <c r="N794"/>
      <c r="O794"/>
    </row>
    <row r="795" spans="1:15" x14ac:dyDescent="0.35">
      <c r="A795" t="s">
        <v>16</v>
      </c>
      <c r="B795" t="s">
        <v>1429</v>
      </c>
      <c r="C795" t="s">
        <v>1430</v>
      </c>
      <c r="D795">
        <v>95811.73</v>
      </c>
      <c r="E795"/>
      <c r="F795">
        <v>95811.73</v>
      </c>
      <c r="G795"/>
      <c r="K795"/>
      <c r="L795">
        <v>95811.73</v>
      </c>
      <c r="M795"/>
      <c r="N795"/>
      <c r="O795"/>
    </row>
    <row r="796" spans="1:15" x14ac:dyDescent="0.35">
      <c r="A796" t="s">
        <v>88</v>
      </c>
      <c r="B796" t="s">
        <v>1431</v>
      </c>
      <c r="C796" t="s">
        <v>1432</v>
      </c>
      <c r="D796">
        <v>288.02</v>
      </c>
      <c r="E796"/>
      <c r="F796">
        <v>288.02</v>
      </c>
      <c r="G796"/>
      <c r="K796">
        <v>288.02</v>
      </c>
      <c r="L796"/>
      <c r="M796"/>
      <c r="N796"/>
      <c r="O796"/>
    </row>
    <row r="797" spans="1:15" x14ac:dyDescent="0.35">
      <c r="A797" t="s">
        <v>164</v>
      </c>
      <c r="B797" t="s">
        <v>1433</v>
      </c>
      <c r="C797" t="s">
        <v>1434</v>
      </c>
      <c r="D797">
        <v>599</v>
      </c>
      <c r="E797"/>
      <c r="F797">
        <v>599</v>
      </c>
      <c r="G797"/>
      <c r="K797"/>
      <c r="L797">
        <v>599</v>
      </c>
      <c r="M797"/>
      <c r="N797"/>
      <c r="O797"/>
    </row>
    <row r="798" spans="1:15" x14ac:dyDescent="0.35">
      <c r="A798" t="s">
        <v>88</v>
      </c>
      <c r="B798" t="s">
        <v>1435</v>
      </c>
      <c r="C798" t="s">
        <v>1436</v>
      </c>
      <c r="D798">
        <v>192918.88</v>
      </c>
      <c r="E798"/>
      <c r="F798">
        <v>192918.88</v>
      </c>
      <c r="G798"/>
      <c r="K798"/>
      <c r="L798">
        <v>30000</v>
      </c>
      <c r="M798"/>
      <c r="N798">
        <v>162918.88</v>
      </c>
      <c r="O798"/>
    </row>
    <row r="799" spans="1:15" x14ac:dyDescent="0.35">
      <c r="A799" t="s">
        <v>16</v>
      </c>
      <c r="B799" t="s">
        <v>1437</v>
      </c>
      <c r="C799" t="s">
        <v>1438</v>
      </c>
      <c r="D799">
        <v>429.17</v>
      </c>
      <c r="E799"/>
      <c r="F799">
        <v>429.17</v>
      </c>
      <c r="G799"/>
      <c r="K799">
        <v>429.17</v>
      </c>
      <c r="L799"/>
      <c r="M799"/>
      <c r="N799"/>
      <c r="O799"/>
    </row>
    <row r="800" spans="1:15" x14ac:dyDescent="0.35">
      <c r="A800" t="s">
        <v>169</v>
      </c>
      <c r="B800" t="s">
        <v>1439</v>
      </c>
      <c r="C800" t="s">
        <v>1440</v>
      </c>
      <c r="D800">
        <v>239099.94</v>
      </c>
      <c r="E800"/>
      <c r="F800">
        <v>239099.94</v>
      </c>
      <c r="G800"/>
      <c r="K800">
        <v>32710.78</v>
      </c>
      <c r="L800"/>
      <c r="M800">
        <v>206389.16</v>
      </c>
      <c r="N800"/>
      <c r="O800"/>
    </row>
    <row r="801" spans="1:15" x14ac:dyDescent="0.35">
      <c r="A801" t="s">
        <v>210</v>
      </c>
      <c r="B801" t="s">
        <v>1441</v>
      </c>
      <c r="C801" t="s">
        <v>1442</v>
      </c>
      <c r="D801">
        <v>185412.39</v>
      </c>
      <c r="E801"/>
      <c r="F801">
        <v>185412.39</v>
      </c>
      <c r="G801"/>
      <c r="K801"/>
      <c r="L801">
        <v>185412.39</v>
      </c>
      <c r="M801"/>
      <c r="N801"/>
      <c r="O801"/>
    </row>
    <row r="802" spans="1:15" x14ac:dyDescent="0.35">
      <c r="A802" t="s">
        <v>27</v>
      </c>
      <c r="B802" t="s">
        <v>1443</v>
      </c>
      <c r="C802" t="s">
        <v>1444</v>
      </c>
      <c r="D802">
        <v>134755.07999999999</v>
      </c>
      <c r="E802"/>
      <c r="F802">
        <v>134755.07999999999</v>
      </c>
      <c r="G802"/>
      <c r="K802">
        <v>54539.63</v>
      </c>
      <c r="L802"/>
      <c r="M802"/>
      <c r="N802">
        <v>80215.45</v>
      </c>
      <c r="O802"/>
    </row>
    <row r="803" spans="1:15" x14ac:dyDescent="0.35">
      <c r="A803" t="s">
        <v>36</v>
      </c>
      <c r="B803" t="s">
        <v>1445</v>
      </c>
      <c r="C803" t="s">
        <v>1446</v>
      </c>
      <c r="D803">
        <v>42.35</v>
      </c>
      <c r="E803"/>
      <c r="F803">
        <v>42.35</v>
      </c>
      <c r="G803"/>
      <c r="K803"/>
      <c r="L803">
        <v>42.35</v>
      </c>
      <c r="M803"/>
      <c r="N803"/>
      <c r="O803"/>
    </row>
    <row r="804" spans="1:15" x14ac:dyDescent="0.35">
      <c r="A804" t="s">
        <v>24</v>
      </c>
      <c r="B804" t="s">
        <v>1447</v>
      </c>
      <c r="C804" t="s">
        <v>1448</v>
      </c>
      <c r="D804">
        <v>192317.76</v>
      </c>
      <c r="E804"/>
      <c r="F804">
        <v>192317.76</v>
      </c>
      <c r="G804"/>
      <c r="K804"/>
      <c r="L804">
        <v>13814.14</v>
      </c>
      <c r="M804">
        <v>178503.62</v>
      </c>
      <c r="N804"/>
      <c r="O804"/>
    </row>
    <row r="805" spans="1:15" x14ac:dyDescent="0.35">
      <c r="A805" t="s">
        <v>210</v>
      </c>
      <c r="B805" t="s">
        <v>1449</v>
      </c>
      <c r="C805" t="s">
        <v>1450</v>
      </c>
      <c r="D805">
        <v>178156.37</v>
      </c>
      <c r="E805"/>
      <c r="F805">
        <v>178156.37</v>
      </c>
      <c r="G805"/>
      <c r="K805"/>
      <c r="L805">
        <v>28924.75</v>
      </c>
      <c r="M805">
        <v>149231.62</v>
      </c>
      <c r="N805"/>
      <c r="O805"/>
    </row>
    <row r="806" spans="1:15" x14ac:dyDescent="0.35">
      <c r="A806" t="s">
        <v>55</v>
      </c>
      <c r="B806" t="s">
        <v>1451</v>
      </c>
      <c r="C806" t="s">
        <v>1452</v>
      </c>
      <c r="D806">
        <v>28.19</v>
      </c>
      <c r="E806"/>
      <c r="F806">
        <v>28.19</v>
      </c>
      <c r="G806"/>
      <c r="K806"/>
      <c r="L806">
        <v>28.19</v>
      </c>
      <c r="M806"/>
      <c r="N806"/>
      <c r="O806"/>
    </row>
    <row r="807" spans="1:15" x14ac:dyDescent="0.35">
      <c r="A807" t="s">
        <v>210</v>
      </c>
      <c r="B807" t="s">
        <v>1453</v>
      </c>
      <c r="C807" t="s">
        <v>1454</v>
      </c>
      <c r="D807">
        <v>916543.84</v>
      </c>
      <c r="E807"/>
      <c r="F807">
        <v>916543.84</v>
      </c>
      <c r="G807"/>
      <c r="K807"/>
      <c r="L807">
        <v>441167.85</v>
      </c>
      <c r="M807">
        <v>475375.99</v>
      </c>
      <c r="N807"/>
      <c r="O807"/>
    </row>
    <row r="808" spans="1:15" x14ac:dyDescent="0.35">
      <c r="A808" t="s">
        <v>100</v>
      </c>
      <c r="B808" t="s">
        <v>1455</v>
      </c>
      <c r="C808" t="s">
        <v>1456</v>
      </c>
      <c r="D808">
        <v>892.99</v>
      </c>
      <c r="E808"/>
      <c r="F808">
        <v>892.99</v>
      </c>
      <c r="G808"/>
      <c r="K808"/>
      <c r="L808">
        <v>892.99</v>
      </c>
      <c r="M808"/>
      <c r="N808"/>
      <c r="O808"/>
    </row>
    <row r="809" spans="1:15" x14ac:dyDescent="0.35">
      <c r="A809" t="s">
        <v>210</v>
      </c>
      <c r="B809" t="s">
        <v>1457</v>
      </c>
      <c r="C809" t="s">
        <v>1458</v>
      </c>
      <c r="D809">
        <v>31.2</v>
      </c>
      <c r="E809"/>
      <c r="F809">
        <v>31.2</v>
      </c>
      <c r="G809"/>
      <c r="K809"/>
      <c r="L809">
        <v>31.2</v>
      </c>
      <c r="M809"/>
      <c r="N809"/>
      <c r="O809"/>
    </row>
    <row r="810" spans="1:15" x14ac:dyDescent="0.35">
      <c r="A810" t="s">
        <v>88</v>
      </c>
      <c r="B810" t="s">
        <v>1459</v>
      </c>
      <c r="C810" t="s">
        <v>1460</v>
      </c>
      <c r="D810">
        <v>304.95</v>
      </c>
      <c r="E810"/>
      <c r="F810">
        <v>304.95</v>
      </c>
      <c r="G810"/>
      <c r="K810"/>
      <c r="L810"/>
      <c r="M810">
        <v>304.95</v>
      </c>
      <c r="N810"/>
      <c r="O810"/>
    </row>
    <row r="811" spans="1:15" x14ac:dyDescent="0.35">
      <c r="A811" t="s">
        <v>36</v>
      </c>
      <c r="B811" t="s">
        <v>1461</v>
      </c>
      <c r="C811" t="s">
        <v>1462</v>
      </c>
      <c r="D811">
        <v>4.2300000000000004</v>
      </c>
      <c r="E811"/>
      <c r="F811">
        <v>4.2300000000000004</v>
      </c>
      <c r="G811"/>
      <c r="K811"/>
      <c r="L811"/>
      <c r="M811">
        <v>4.2300000000000004</v>
      </c>
      <c r="N811"/>
      <c r="O811"/>
    </row>
    <row r="812" spans="1:15" x14ac:dyDescent="0.35">
      <c r="A812" t="s">
        <v>169</v>
      </c>
      <c r="B812" t="s">
        <v>1463</v>
      </c>
      <c r="C812" t="s">
        <v>1464</v>
      </c>
      <c r="D812">
        <v>472843.92000000004</v>
      </c>
      <c r="E812"/>
      <c r="F812">
        <v>472843.92000000004</v>
      </c>
      <c r="G812"/>
      <c r="K812"/>
      <c r="L812"/>
      <c r="M812">
        <v>472843.92000000004</v>
      </c>
      <c r="N812"/>
      <c r="O812"/>
    </row>
    <row r="813" spans="1:15" x14ac:dyDescent="0.35">
      <c r="A813" t="s">
        <v>19</v>
      </c>
      <c r="B813" t="s">
        <v>1465</v>
      </c>
      <c r="C813" t="s">
        <v>1466</v>
      </c>
      <c r="D813">
        <v>16617.84</v>
      </c>
      <c r="E813"/>
      <c r="F813">
        <v>16617.84</v>
      </c>
      <c r="G813"/>
      <c r="K813"/>
      <c r="L813"/>
      <c r="M813">
        <v>16617.84</v>
      </c>
      <c r="N813"/>
      <c r="O813"/>
    </row>
    <row r="814" spans="1:15" x14ac:dyDescent="0.35">
      <c r="A814" t="s">
        <v>275</v>
      </c>
      <c r="B814" t="s">
        <v>1467</v>
      </c>
      <c r="C814" t="s">
        <v>1468</v>
      </c>
      <c r="D814">
        <v>59</v>
      </c>
      <c r="E814"/>
      <c r="F814">
        <v>59</v>
      </c>
      <c r="G814"/>
      <c r="K814"/>
      <c r="L814"/>
      <c r="M814">
        <v>59</v>
      </c>
      <c r="N814"/>
      <c r="O814"/>
    </row>
    <row r="815" spans="1:15" x14ac:dyDescent="0.35">
      <c r="A815" t="s">
        <v>169</v>
      </c>
      <c r="B815" t="s">
        <v>1469</v>
      </c>
      <c r="C815" t="s">
        <v>1470</v>
      </c>
      <c r="D815">
        <v>142.6</v>
      </c>
      <c r="E815"/>
      <c r="F815">
        <v>142.6</v>
      </c>
      <c r="G815"/>
      <c r="K815"/>
      <c r="L815"/>
      <c r="M815">
        <v>142.6</v>
      </c>
      <c r="N815"/>
      <c r="O815"/>
    </row>
    <row r="816" spans="1:15" x14ac:dyDescent="0.35">
      <c r="A816" t="s">
        <v>19</v>
      </c>
      <c r="B816" t="s">
        <v>1471</v>
      </c>
      <c r="C816" t="s">
        <v>1472</v>
      </c>
      <c r="D816">
        <v>82104.97</v>
      </c>
      <c r="E816"/>
      <c r="F816">
        <v>82104.97</v>
      </c>
      <c r="G816"/>
      <c r="K816"/>
      <c r="L816">
        <v>82104.97</v>
      </c>
      <c r="M816"/>
      <c r="N816"/>
      <c r="O816"/>
    </row>
    <row r="817" spans="1:15" x14ac:dyDescent="0.35">
      <c r="A817" t="s">
        <v>36</v>
      </c>
      <c r="B817" t="s">
        <v>1473</v>
      </c>
      <c r="C817" t="s">
        <v>1474</v>
      </c>
      <c r="D817">
        <v>14910.939999999999</v>
      </c>
      <c r="E817"/>
      <c r="F817">
        <v>14910.939999999999</v>
      </c>
      <c r="G817"/>
      <c r="K817"/>
      <c r="L817"/>
      <c r="M817">
        <v>14910.939999999999</v>
      </c>
      <c r="N817"/>
      <c r="O817"/>
    </row>
    <row r="818" spans="1:15" x14ac:dyDescent="0.35">
      <c r="A818" t="s">
        <v>88</v>
      </c>
      <c r="B818" t="s">
        <v>1475</v>
      </c>
      <c r="C818" t="s">
        <v>1476</v>
      </c>
      <c r="D818">
        <v>243732.58000000002</v>
      </c>
      <c r="E818"/>
      <c r="F818">
        <v>243732.58000000002</v>
      </c>
      <c r="G818"/>
      <c r="K818"/>
      <c r="L818"/>
      <c r="M818">
        <v>243732.58000000002</v>
      </c>
      <c r="N818"/>
      <c r="O818"/>
    </row>
    <row r="819" spans="1:15" x14ac:dyDescent="0.35">
      <c r="A819" t="s">
        <v>19</v>
      </c>
      <c r="B819" t="s">
        <v>1477</v>
      </c>
      <c r="C819" t="s">
        <v>1478</v>
      </c>
      <c r="D819">
        <v>234.85</v>
      </c>
      <c r="E819"/>
      <c r="F819">
        <v>234.85</v>
      </c>
      <c r="G819"/>
      <c r="K819"/>
      <c r="L819"/>
      <c r="M819">
        <v>234.85</v>
      </c>
      <c r="N819"/>
      <c r="O819"/>
    </row>
    <row r="820" spans="1:15" x14ac:dyDescent="0.35">
      <c r="A820" t="s">
        <v>88</v>
      </c>
      <c r="B820" t="s">
        <v>1479</v>
      </c>
      <c r="C820" t="s">
        <v>1480</v>
      </c>
      <c r="D820">
        <v>41.29</v>
      </c>
      <c r="E820"/>
      <c r="F820">
        <v>41.29</v>
      </c>
      <c r="G820"/>
      <c r="K820"/>
      <c r="L820"/>
      <c r="M820">
        <v>41.29</v>
      </c>
      <c r="N820"/>
      <c r="O820"/>
    </row>
    <row r="821" spans="1:15" x14ac:dyDescent="0.35">
      <c r="A821" t="s">
        <v>93</v>
      </c>
      <c r="B821" t="s">
        <v>1481</v>
      </c>
      <c r="C821" t="s">
        <v>1482</v>
      </c>
      <c r="D821">
        <v>0.32</v>
      </c>
      <c r="E821"/>
      <c r="F821">
        <v>0.32</v>
      </c>
      <c r="G821"/>
      <c r="K821"/>
      <c r="L821"/>
      <c r="M821">
        <v>0.32</v>
      </c>
      <c r="N821"/>
      <c r="O821"/>
    </row>
    <row r="822" spans="1:15" x14ac:dyDescent="0.35">
      <c r="A822" t="s">
        <v>41</v>
      </c>
      <c r="B822" t="s">
        <v>1483</v>
      </c>
      <c r="C822" t="s">
        <v>1484</v>
      </c>
      <c r="D822">
        <v>221423.49</v>
      </c>
      <c r="E822"/>
      <c r="F822">
        <v>221423.49</v>
      </c>
      <c r="G822"/>
      <c r="K822"/>
      <c r="L822"/>
      <c r="M822">
        <v>221423.49</v>
      </c>
      <c r="N822"/>
      <c r="O822"/>
    </row>
    <row r="823" spans="1:15" x14ac:dyDescent="0.35">
      <c r="A823" t="s">
        <v>27</v>
      </c>
      <c r="B823" t="s">
        <v>1485</v>
      </c>
      <c r="C823" t="s">
        <v>1486</v>
      </c>
      <c r="D823">
        <v>240.16</v>
      </c>
      <c r="E823"/>
      <c r="F823">
        <v>240.16</v>
      </c>
      <c r="G823"/>
      <c r="K823"/>
      <c r="L823"/>
      <c r="M823">
        <v>240.16</v>
      </c>
      <c r="N823"/>
      <c r="O823"/>
    </row>
    <row r="824" spans="1:15" x14ac:dyDescent="0.35">
      <c r="A824" t="s">
        <v>30</v>
      </c>
      <c r="B824" t="s">
        <v>1487</v>
      </c>
      <c r="C824" t="s">
        <v>1488</v>
      </c>
      <c r="D824">
        <v>1895.3</v>
      </c>
      <c r="E824"/>
      <c r="F824">
        <v>1895.3</v>
      </c>
      <c r="G824"/>
      <c r="K824"/>
      <c r="L824"/>
      <c r="M824">
        <v>1895.3</v>
      </c>
      <c r="N824"/>
      <c r="O824"/>
    </row>
    <row r="825" spans="1:15" x14ac:dyDescent="0.35">
      <c r="A825" t="s">
        <v>169</v>
      </c>
      <c r="B825" t="s">
        <v>1489</v>
      </c>
      <c r="C825" t="s">
        <v>1490</v>
      </c>
      <c r="D825">
        <v>66383.709999999992</v>
      </c>
      <c r="E825"/>
      <c r="F825">
        <v>66383.709999999992</v>
      </c>
      <c r="G825"/>
      <c r="K825"/>
      <c r="L825"/>
      <c r="M825">
        <v>66383.709999999992</v>
      </c>
      <c r="N825"/>
      <c r="O825"/>
    </row>
    <row r="826" spans="1:15" x14ac:dyDescent="0.35">
      <c r="A826" t="s">
        <v>100</v>
      </c>
      <c r="B826" t="s">
        <v>1491</v>
      </c>
      <c r="C826" t="s">
        <v>1492</v>
      </c>
      <c r="D826">
        <v>11053.17</v>
      </c>
      <c r="E826"/>
      <c r="F826">
        <v>11053.17</v>
      </c>
      <c r="G826"/>
      <c r="K826"/>
      <c r="L826"/>
      <c r="M826">
        <v>11053.17</v>
      </c>
      <c r="N826"/>
      <c r="O826"/>
    </row>
    <row r="827" spans="1:15" x14ac:dyDescent="0.35">
      <c r="A827" t="s">
        <v>169</v>
      </c>
      <c r="B827" t="s">
        <v>1493</v>
      </c>
      <c r="C827" t="s">
        <v>1494</v>
      </c>
      <c r="D827">
        <v>2072.79</v>
      </c>
      <c r="E827"/>
      <c r="F827">
        <v>2072.79</v>
      </c>
      <c r="G827"/>
      <c r="K827"/>
      <c r="L827"/>
      <c r="M827">
        <v>2072.79</v>
      </c>
      <c r="N827"/>
      <c r="O827"/>
    </row>
    <row r="828" spans="1:15" x14ac:dyDescent="0.35">
      <c r="A828" t="s">
        <v>36</v>
      </c>
      <c r="B828" t="s">
        <v>1495</v>
      </c>
      <c r="C828" t="s">
        <v>1496</v>
      </c>
      <c r="D828">
        <v>16686.38</v>
      </c>
      <c r="E828"/>
      <c r="F828">
        <v>16686.38</v>
      </c>
      <c r="G828"/>
      <c r="K828"/>
      <c r="L828"/>
      <c r="M828">
        <v>16686.38</v>
      </c>
      <c r="N828"/>
      <c r="O828"/>
    </row>
    <row r="829" spans="1:15" x14ac:dyDescent="0.35">
      <c r="A829" t="s">
        <v>19</v>
      </c>
      <c r="B829" t="s">
        <v>1497</v>
      </c>
      <c r="C829" t="s">
        <v>1498</v>
      </c>
      <c r="D829">
        <v>490.96</v>
      </c>
      <c r="E829"/>
      <c r="F829">
        <v>490.96</v>
      </c>
      <c r="G829"/>
      <c r="K829"/>
      <c r="L829"/>
      <c r="M829">
        <v>490.96</v>
      </c>
      <c r="N829"/>
      <c r="O829"/>
    </row>
    <row r="830" spans="1:15" x14ac:dyDescent="0.35">
      <c r="A830" t="s">
        <v>24</v>
      </c>
      <c r="B830" t="s">
        <v>1499</v>
      </c>
      <c r="C830" t="s">
        <v>1500</v>
      </c>
      <c r="D830">
        <v>67863.13</v>
      </c>
      <c r="E830"/>
      <c r="F830">
        <v>67863.13</v>
      </c>
      <c r="G830"/>
      <c r="K830"/>
      <c r="L830"/>
      <c r="M830">
        <v>67863.13</v>
      </c>
      <c r="N830"/>
      <c r="O830"/>
    </row>
    <row r="831" spans="1:15" x14ac:dyDescent="0.35">
      <c r="A831" t="s">
        <v>210</v>
      </c>
      <c r="B831" t="s">
        <v>1501</v>
      </c>
      <c r="C831" t="s">
        <v>1502</v>
      </c>
      <c r="D831">
        <v>13519.26</v>
      </c>
      <c r="E831"/>
      <c r="F831">
        <v>13519.26</v>
      </c>
      <c r="G831"/>
      <c r="K831"/>
      <c r="L831"/>
      <c r="M831">
        <v>13519.26</v>
      </c>
      <c r="N831"/>
      <c r="O831"/>
    </row>
    <row r="832" spans="1:15" x14ac:dyDescent="0.35">
      <c r="A832" t="s">
        <v>55</v>
      </c>
      <c r="B832" t="s">
        <v>1503</v>
      </c>
      <c r="C832" t="s">
        <v>1504</v>
      </c>
      <c r="D832">
        <v>0.14000000000000001</v>
      </c>
      <c r="E832"/>
      <c r="F832">
        <v>0.14000000000000001</v>
      </c>
      <c r="G832"/>
      <c r="K832"/>
      <c r="L832"/>
      <c r="M832">
        <v>0.14000000000000001</v>
      </c>
      <c r="N832"/>
      <c r="O832"/>
    </row>
    <row r="833" spans="1:15" x14ac:dyDescent="0.35">
      <c r="A833" t="s">
        <v>210</v>
      </c>
      <c r="B833" t="s">
        <v>1505</v>
      </c>
      <c r="C833" t="s">
        <v>1506</v>
      </c>
      <c r="D833">
        <v>372214.34</v>
      </c>
      <c r="E833"/>
      <c r="F833">
        <v>372214.34</v>
      </c>
      <c r="G833"/>
      <c r="K833"/>
      <c r="L833"/>
      <c r="M833">
        <v>372214.34</v>
      </c>
      <c r="N833"/>
      <c r="O833"/>
    </row>
    <row r="834" spans="1:15" x14ac:dyDescent="0.35">
      <c r="A834" t="s">
        <v>169</v>
      </c>
      <c r="B834" t="s">
        <v>1507</v>
      </c>
      <c r="C834" t="s">
        <v>1508</v>
      </c>
      <c r="D834">
        <v>0.47</v>
      </c>
      <c r="E834"/>
      <c r="F834">
        <v>0.47</v>
      </c>
      <c r="G834"/>
      <c r="K834"/>
      <c r="L834"/>
      <c r="M834">
        <v>0.47</v>
      </c>
      <c r="N834"/>
      <c r="O834"/>
    </row>
    <row r="835" spans="1:15" x14ac:dyDescent="0.35">
      <c r="A835" t="s">
        <v>24</v>
      </c>
      <c r="B835" t="s">
        <v>1509</v>
      </c>
      <c r="C835" t="s">
        <v>1510</v>
      </c>
      <c r="D835">
        <v>0.64</v>
      </c>
      <c r="E835"/>
      <c r="F835">
        <v>0.64</v>
      </c>
      <c r="G835"/>
      <c r="K835"/>
      <c r="L835"/>
      <c r="M835"/>
      <c r="N835">
        <v>0.64</v>
      </c>
      <c r="O835"/>
    </row>
    <row r="836" spans="1:15" x14ac:dyDescent="0.35">
      <c r="A836" t="s">
        <v>36</v>
      </c>
      <c r="B836" t="s">
        <v>1511</v>
      </c>
      <c r="C836" t="s">
        <v>1512</v>
      </c>
      <c r="D836">
        <v>3997.51</v>
      </c>
      <c r="E836"/>
      <c r="F836">
        <v>3997.51</v>
      </c>
      <c r="G836"/>
      <c r="K836"/>
      <c r="L836"/>
      <c r="M836">
        <v>3997.51</v>
      </c>
      <c r="N836"/>
      <c r="O836"/>
    </row>
    <row r="837" spans="1:15" x14ac:dyDescent="0.35">
      <c r="A837" t="s">
        <v>210</v>
      </c>
      <c r="B837" t="s">
        <v>1513</v>
      </c>
      <c r="C837" t="s">
        <v>1514</v>
      </c>
      <c r="D837">
        <v>99244.74</v>
      </c>
      <c r="E837"/>
      <c r="F837">
        <v>99244.74</v>
      </c>
      <c r="G837"/>
      <c r="K837"/>
      <c r="L837"/>
      <c r="M837">
        <v>99244.74</v>
      </c>
      <c r="N837"/>
      <c r="O837"/>
    </row>
    <row r="838" spans="1:15" x14ac:dyDescent="0.35">
      <c r="A838" t="s">
        <v>55</v>
      </c>
      <c r="B838" t="s">
        <v>1515</v>
      </c>
      <c r="C838" t="s">
        <v>1516</v>
      </c>
      <c r="D838">
        <v>0.11</v>
      </c>
      <c r="E838"/>
      <c r="F838">
        <v>0.11</v>
      </c>
      <c r="G838"/>
      <c r="K838"/>
      <c r="L838"/>
      <c r="M838">
        <v>0.11</v>
      </c>
      <c r="N838"/>
      <c r="O838"/>
    </row>
    <row r="839" spans="1:15" x14ac:dyDescent="0.35">
      <c r="A839" t="s">
        <v>55</v>
      </c>
      <c r="B839" t="s">
        <v>1517</v>
      </c>
      <c r="C839" t="s">
        <v>1518</v>
      </c>
      <c r="D839">
        <v>147117.60999999999</v>
      </c>
      <c r="E839"/>
      <c r="F839">
        <v>147117.60999999999</v>
      </c>
      <c r="G839"/>
      <c r="K839"/>
      <c r="L839"/>
      <c r="M839">
        <v>147117.60999999999</v>
      </c>
      <c r="N839"/>
      <c r="O839"/>
    </row>
    <row r="840" spans="1:15" x14ac:dyDescent="0.35">
      <c r="A840" t="s">
        <v>210</v>
      </c>
      <c r="B840" t="s">
        <v>1519</v>
      </c>
      <c r="C840" t="s">
        <v>1520</v>
      </c>
      <c r="D840">
        <v>180167.6</v>
      </c>
      <c r="E840"/>
      <c r="F840">
        <v>180167.6</v>
      </c>
      <c r="G840"/>
      <c r="K840"/>
      <c r="L840"/>
      <c r="M840">
        <v>180167.6</v>
      </c>
      <c r="N840"/>
      <c r="O840"/>
    </row>
    <row r="841" spans="1:15" x14ac:dyDescent="0.35">
      <c r="A841" t="s">
        <v>19</v>
      </c>
      <c r="B841" t="s">
        <v>1521</v>
      </c>
      <c r="C841" t="s">
        <v>1522</v>
      </c>
      <c r="D841">
        <v>79338.149999999994</v>
      </c>
      <c r="E841"/>
      <c r="F841">
        <v>79338.149999999994</v>
      </c>
      <c r="G841"/>
      <c r="K841"/>
      <c r="L841"/>
      <c r="M841">
        <v>79338.149999999994</v>
      </c>
      <c r="N841"/>
      <c r="O841"/>
    </row>
    <row r="842" spans="1:15" x14ac:dyDescent="0.35">
      <c r="A842" t="s">
        <v>41</v>
      </c>
      <c r="B842" t="s">
        <v>1523</v>
      </c>
      <c r="C842" t="s">
        <v>1524</v>
      </c>
      <c r="D842">
        <v>123411.86</v>
      </c>
      <c r="E842"/>
      <c r="F842">
        <v>123411.86</v>
      </c>
      <c r="G842"/>
      <c r="K842"/>
      <c r="L842"/>
      <c r="M842">
        <v>111390.75</v>
      </c>
      <c r="N842">
        <v>12021.11</v>
      </c>
      <c r="O842"/>
    </row>
    <row r="843" spans="1:15" x14ac:dyDescent="0.35">
      <c r="A843" t="s">
        <v>210</v>
      </c>
      <c r="B843" t="s">
        <v>1525</v>
      </c>
      <c r="C843" t="s">
        <v>1526</v>
      </c>
      <c r="D843">
        <v>987067.07000000007</v>
      </c>
      <c r="E843"/>
      <c r="F843">
        <v>987067.07000000007</v>
      </c>
      <c r="G843"/>
      <c r="K843"/>
      <c r="L843"/>
      <c r="M843">
        <v>987067.07000000007</v>
      </c>
      <c r="N843"/>
      <c r="O843"/>
    </row>
    <row r="844" spans="1:15" x14ac:dyDescent="0.35">
      <c r="A844" t="s">
        <v>19</v>
      </c>
      <c r="B844" t="s">
        <v>1527</v>
      </c>
      <c r="C844" t="s">
        <v>1528</v>
      </c>
      <c r="D844">
        <v>3449.92</v>
      </c>
      <c r="E844"/>
      <c r="F844">
        <v>3449.92</v>
      </c>
      <c r="G844"/>
      <c r="K844"/>
      <c r="L844"/>
      <c r="M844">
        <v>3449.92</v>
      </c>
      <c r="N844"/>
      <c r="O844"/>
    </row>
    <row r="845" spans="1:15" x14ac:dyDescent="0.35">
      <c r="A845" t="s">
        <v>36</v>
      </c>
      <c r="B845" t="s">
        <v>1529</v>
      </c>
      <c r="C845" t="s">
        <v>1530</v>
      </c>
      <c r="D845">
        <v>61.46</v>
      </c>
      <c r="E845"/>
      <c r="F845">
        <v>61.46</v>
      </c>
      <c r="G845"/>
      <c r="K845"/>
      <c r="L845"/>
      <c r="M845">
        <v>61.46</v>
      </c>
      <c r="N845"/>
      <c r="O845"/>
    </row>
    <row r="846" spans="1:15" x14ac:dyDescent="0.35">
      <c r="A846" t="s">
        <v>24</v>
      </c>
      <c r="B846" t="s">
        <v>1531</v>
      </c>
      <c r="C846" t="s">
        <v>1532</v>
      </c>
      <c r="D846">
        <v>7590.36</v>
      </c>
      <c r="E846"/>
      <c r="F846">
        <v>7590.36</v>
      </c>
      <c r="G846"/>
      <c r="K846"/>
      <c r="L846"/>
      <c r="M846">
        <v>7590.36</v>
      </c>
      <c r="N846"/>
      <c r="O846"/>
    </row>
    <row r="847" spans="1:15" x14ac:dyDescent="0.35">
      <c r="A847" t="s">
        <v>27</v>
      </c>
      <c r="B847" t="s">
        <v>1533</v>
      </c>
      <c r="C847" t="s">
        <v>1534</v>
      </c>
      <c r="D847">
        <v>71172.740000000005</v>
      </c>
      <c r="E847"/>
      <c r="F847">
        <v>71172.740000000005</v>
      </c>
      <c r="G847"/>
      <c r="K847"/>
      <c r="L847"/>
      <c r="M847">
        <v>71172.740000000005</v>
      </c>
      <c r="N847"/>
      <c r="O847"/>
    </row>
    <row r="848" spans="1:15" x14ac:dyDescent="0.35">
      <c r="A848" t="s">
        <v>210</v>
      </c>
      <c r="B848" t="s">
        <v>1535</v>
      </c>
      <c r="C848" t="s">
        <v>1536</v>
      </c>
      <c r="D848">
        <v>0.32</v>
      </c>
      <c r="E848"/>
      <c r="F848">
        <v>0.32</v>
      </c>
      <c r="G848"/>
      <c r="K848"/>
      <c r="L848"/>
      <c r="M848">
        <v>0.32</v>
      </c>
      <c r="N848"/>
      <c r="O848"/>
    </row>
    <row r="849" spans="1:15" x14ac:dyDescent="0.35">
      <c r="A849" t="s">
        <v>169</v>
      </c>
      <c r="B849" t="s">
        <v>1537</v>
      </c>
      <c r="C849" t="s">
        <v>1538</v>
      </c>
      <c r="D849">
        <v>140308.91</v>
      </c>
      <c r="E849"/>
      <c r="F849">
        <v>140308.91</v>
      </c>
      <c r="G849"/>
      <c r="K849"/>
      <c r="L849"/>
      <c r="M849">
        <v>140308.91</v>
      </c>
      <c r="N849"/>
      <c r="O849"/>
    </row>
    <row r="850" spans="1:15" x14ac:dyDescent="0.35">
      <c r="A850" t="s">
        <v>36</v>
      </c>
      <c r="B850" t="s">
        <v>1539</v>
      </c>
      <c r="C850" t="s">
        <v>1540</v>
      </c>
      <c r="D850">
        <v>16557.48</v>
      </c>
      <c r="E850"/>
      <c r="F850">
        <v>16557.48</v>
      </c>
      <c r="G850"/>
      <c r="K850"/>
      <c r="L850"/>
      <c r="M850">
        <v>15000</v>
      </c>
      <c r="N850">
        <v>1557.48</v>
      </c>
      <c r="O850"/>
    </row>
    <row r="851" spans="1:15" x14ac:dyDescent="0.35">
      <c r="A851" t="s">
        <v>164</v>
      </c>
      <c r="B851" t="s">
        <v>1541</v>
      </c>
      <c r="C851" t="s">
        <v>1542</v>
      </c>
      <c r="D851">
        <v>0.5</v>
      </c>
      <c r="E851"/>
      <c r="F851">
        <v>0.5</v>
      </c>
      <c r="G851"/>
      <c r="K851"/>
      <c r="L851"/>
      <c r="M851">
        <v>0.5</v>
      </c>
      <c r="N851"/>
      <c r="O851"/>
    </row>
    <row r="852" spans="1:15" x14ac:dyDescent="0.35">
      <c r="A852" t="s">
        <v>169</v>
      </c>
      <c r="B852" t="s">
        <v>1543</v>
      </c>
      <c r="C852" t="s">
        <v>1544</v>
      </c>
      <c r="D852">
        <v>112095.07</v>
      </c>
      <c r="E852"/>
      <c r="F852">
        <v>112095.07</v>
      </c>
      <c r="G852"/>
      <c r="K852"/>
      <c r="L852"/>
      <c r="M852">
        <v>112095.07</v>
      </c>
      <c r="N852"/>
      <c r="O852"/>
    </row>
    <row r="853" spans="1:15" x14ac:dyDescent="0.35">
      <c r="A853" t="s">
        <v>100</v>
      </c>
      <c r="B853" t="s">
        <v>1545</v>
      </c>
      <c r="C853" t="s">
        <v>1546</v>
      </c>
      <c r="D853">
        <v>1782.27</v>
      </c>
      <c r="E853"/>
      <c r="F853">
        <v>1782.27</v>
      </c>
      <c r="G853"/>
      <c r="K853"/>
      <c r="L853"/>
      <c r="M853">
        <v>1782.27</v>
      </c>
      <c r="N853"/>
      <c r="O853"/>
    </row>
    <row r="854" spans="1:15" x14ac:dyDescent="0.35">
      <c r="A854" t="s">
        <v>93</v>
      </c>
      <c r="B854" t="s">
        <v>1547</v>
      </c>
      <c r="C854" t="s">
        <v>1548</v>
      </c>
      <c r="D854">
        <v>5343.9</v>
      </c>
      <c r="E854"/>
      <c r="F854">
        <v>5343.9</v>
      </c>
      <c r="G854"/>
      <c r="K854"/>
      <c r="L854"/>
      <c r="M854">
        <v>5343.9</v>
      </c>
      <c r="N854"/>
      <c r="O854"/>
    </row>
    <row r="855" spans="1:15" x14ac:dyDescent="0.35">
      <c r="A855" t="s">
        <v>210</v>
      </c>
      <c r="B855" t="s">
        <v>1549</v>
      </c>
      <c r="C855" t="s">
        <v>1550</v>
      </c>
      <c r="D855">
        <v>39477.17</v>
      </c>
      <c r="E855"/>
      <c r="F855">
        <v>39477.17</v>
      </c>
      <c r="G855"/>
      <c r="K855"/>
      <c r="L855"/>
      <c r="M855">
        <v>39477.17</v>
      </c>
      <c r="N855"/>
      <c r="O855"/>
    </row>
    <row r="856" spans="1:15" x14ac:dyDescent="0.35">
      <c r="A856" t="s">
        <v>24</v>
      </c>
      <c r="B856" t="s">
        <v>1551</v>
      </c>
      <c r="C856" t="s">
        <v>1552</v>
      </c>
      <c r="D856">
        <v>24613.81</v>
      </c>
      <c r="E856"/>
      <c r="F856">
        <v>24613.81</v>
      </c>
      <c r="G856"/>
      <c r="K856"/>
      <c r="L856"/>
      <c r="M856">
        <v>24613.81</v>
      </c>
      <c r="N856"/>
      <c r="O856"/>
    </row>
    <row r="857" spans="1:15" x14ac:dyDescent="0.35">
      <c r="A857" t="s">
        <v>16</v>
      </c>
      <c r="B857" t="s">
        <v>1553</v>
      </c>
      <c r="C857" t="s">
        <v>1554</v>
      </c>
      <c r="D857">
        <v>26392.53</v>
      </c>
      <c r="E857"/>
      <c r="F857">
        <v>26392.53</v>
      </c>
      <c r="G857"/>
      <c r="K857"/>
      <c r="L857"/>
      <c r="M857">
        <v>26392.53</v>
      </c>
      <c r="N857"/>
      <c r="O857"/>
    </row>
    <row r="858" spans="1:15" x14ac:dyDescent="0.35">
      <c r="A858" t="s">
        <v>30</v>
      </c>
      <c r="B858" t="s">
        <v>1555</v>
      </c>
      <c r="C858" t="s">
        <v>1556</v>
      </c>
      <c r="D858">
        <v>354.51</v>
      </c>
      <c r="E858"/>
      <c r="F858">
        <v>354.51</v>
      </c>
      <c r="G858"/>
      <c r="K858"/>
      <c r="L858"/>
      <c r="M858">
        <v>354.51</v>
      </c>
      <c r="N858"/>
      <c r="O858"/>
    </row>
    <row r="859" spans="1:15" x14ac:dyDescent="0.35">
      <c r="A859" t="s">
        <v>30</v>
      </c>
      <c r="B859" t="s">
        <v>1557</v>
      </c>
      <c r="C859" t="s">
        <v>1558</v>
      </c>
      <c r="D859">
        <v>65908.61</v>
      </c>
      <c r="E859"/>
      <c r="F859">
        <v>65908.61</v>
      </c>
      <c r="G859"/>
      <c r="K859"/>
      <c r="L859"/>
      <c r="M859">
        <v>65908.61</v>
      </c>
      <c r="N859"/>
      <c r="O859"/>
    </row>
    <row r="860" spans="1:15" x14ac:dyDescent="0.35">
      <c r="A860" t="s">
        <v>16</v>
      </c>
      <c r="B860" t="s">
        <v>1559</v>
      </c>
      <c r="C860" t="s">
        <v>1560</v>
      </c>
      <c r="D860">
        <v>197858.09</v>
      </c>
      <c r="E860"/>
      <c r="F860">
        <v>197858.09</v>
      </c>
      <c r="G860"/>
      <c r="K860"/>
      <c r="L860"/>
      <c r="M860">
        <v>197858.09</v>
      </c>
      <c r="N860"/>
      <c r="O860"/>
    </row>
    <row r="861" spans="1:15" x14ac:dyDescent="0.35">
      <c r="A861" t="s">
        <v>27</v>
      </c>
      <c r="B861" t="s">
        <v>1561</v>
      </c>
      <c r="C861" t="s">
        <v>1562</v>
      </c>
      <c r="D861">
        <v>35261.17</v>
      </c>
      <c r="E861"/>
      <c r="F861">
        <v>35261.17</v>
      </c>
      <c r="G861"/>
      <c r="K861"/>
      <c r="L861"/>
      <c r="M861">
        <v>925</v>
      </c>
      <c r="N861">
        <v>34336.17</v>
      </c>
      <c r="O861"/>
    </row>
    <row r="862" spans="1:15" x14ac:dyDescent="0.35">
      <c r="A862" t="s">
        <v>210</v>
      </c>
      <c r="B862" t="s">
        <v>1563</v>
      </c>
      <c r="C862" t="s">
        <v>1564</v>
      </c>
      <c r="D862">
        <v>865892.41999999993</v>
      </c>
      <c r="E862"/>
      <c r="F862">
        <v>865892.41999999993</v>
      </c>
      <c r="G862"/>
      <c r="K862"/>
      <c r="L862"/>
      <c r="M862">
        <v>864656.05999999994</v>
      </c>
      <c r="N862">
        <v>1236.3599999999999</v>
      </c>
      <c r="O862"/>
    </row>
    <row r="863" spans="1:15" x14ac:dyDescent="0.35">
      <c r="A863" t="s">
        <v>210</v>
      </c>
      <c r="B863" t="s">
        <v>1565</v>
      </c>
      <c r="C863" t="s">
        <v>1566</v>
      </c>
      <c r="D863">
        <v>497902.36</v>
      </c>
      <c r="E863"/>
      <c r="F863">
        <v>497902.36</v>
      </c>
      <c r="G863"/>
      <c r="K863"/>
      <c r="L863"/>
      <c r="M863">
        <v>355</v>
      </c>
      <c r="N863">
        <v>497547.36</v>
      </c>
      <c r="O863"/>
    </row>
    <row r="864" spans="1:15" x14ac:dyDescent="0.35">
      <c r="A864" t="s">
        <v>33</v>
      </c>
      <c r="B864" t="s">
        <v>1567</v>
      </c>
      <c r="C864" t="s">
        <v>1568</v>
      </c>
      <c r="D864">
        <v>79542.92</v>
      </c>
      <c r="E864"/>
      <c r="F864">
        <v>79542.92</v>
      </c>
      <c r="G864"/>
      <c r="K864"/>
      <c r="L864"/>
      <c r="M864">
        <v>79542.92</v>
      </c>
      <c r="N864"/>
      <c r="O864"/>
    </row>
    <row r="865" spans="1:15" x14ac:dyDescent="0.35">
      <c r="A865" t="s">
        <v>88</v>
      </c>
      <c r="B865" t="s">
        <v>1569</v>
      </c>
      <c r="C865" t="s">
        <v>1570</v>
      </c>
      <c r="D865">
        <v>1068152.3</v>
      </c>
      <c r="E865"/>
      <c r="F865">
        <v>1068152.3</v>
      </c>
      <c r="G865"/>
      <c r="K865"/>
      <c r="L865"/>
      <c r="M865">
        <v>1169</v>
      </c>
      <c r="N865">
        <v>1066983.3</v>
      </c>
      <c r="O865"/>
    </row>
    <row r="866" spans="1:15" x14ac:dyDescent="0.35">
      <c r="A866" t="s">
        <v>169</v>
      </c>
      <c r="B866" t="s">
        <v>1571</v>
      </c>
      <c r="C866" t="s">
        <v>1572</v>
      </c>
      <c r="D866">
        <v>184573.07</v>
      </c>
      <c r="E866"/>
      <c r="F866">
        <v>184573.07</v>
      </c>
      <c r="G866"/>
      <c r="K866"/>
      <c r="L866"/>
      <c r="M866">
        <v>1502</v>
      </c>
      <c r="N866">
        <v>183071.07</v>
      </c>
      <c r="O866"/>
    </row>
    <row r="867" spans="1:15" x14ac:dyDescent="0.35">
      <c r="A867" t="s">
        <v>169</v>
      </c>
      <c r="B867" t="s">
        <v>1573</v>
      </c>
      <c r="C867" t="s">
        <v>1574</v>
      </c>
      <c r="D867">
        <v>639137.32000000007</v>
      </c>
      <c r="E867"/>
      <c r="F867">
        <v>639137.32000000007</v>
      </c>
      <c r="G867"/>
      <c r="K867"/>
      <c r="L867"/>
      <c r="M867">
        <v>639137.32000000007</v>
      </c>
      <c r="N867"/>
      <c r="O867"/>
    </row>
    <row r="868" spans="1:15" x14ac:dyDescent="0.35">
      <c r="A868" t="s">
        <v>169</v>
      </c>
      <c r="B868" t="s">
        <v>1575</v>
      </c>
      <c r="C868" t="s">
        <v>1576</v>
      </c>
      <c r="D868">
        <v>199414.47</v>
      </c>
      <c r="E868"/>
      <c r="F868">
        <v>199414.47</v>
      </c>
      <c r="G868"/>
      <c r="K868"/>
      <c r="L868"/>
      <c r="M868">
        <v>60407</v>
      </c>
      <c r="N868">
        <v>139007.47</v>
      </c>
      <c r="O868"/>
    </row>
    <row r="869" spans="1:15" x14ac:dyDescent="0.35">
      <c r="A869" t="s">
        <v>169</v>
      </c>
      <c r="B869" t="s">
        <v>1577</v>
      </c>
      <c r="C869" t="s">
        <v>1578</v>
      </c>
      <c r="D869">
        <v>223067.34000000003</v>
      </c>
      <c r="E869"/>
      <c r="F869">
        <v>223067.34000000003</v>
      </c>
      <c r="G869"/>
      <c r="K869"/>
      <c r="L869"/>
      <c r="M869">
        <v>133</v>
      </c>
      <c r="N869">
        <v>222934.34000000003</v>
      </c>
      <c r="O869"/>
    </row>
    <row r="870" spans="1:15" x14ac:dyDescent="0.35">
      <c r="A870" t="s">
        <v>169</v>
      </c>
      <c r="B870" t="s">
        <v>1579</v>
      </c>
      <c r="C870" t="s">
        <v>1580</v>
      </c>
      <c r="D870">
        <v>199778.6</v>
      </c>
      <c r="E870"/>
      <c r="F870">
        <v>199778.6</v>
      </c>
      <c r="G870"/>
      <c r="K870"/>
      <c r="L870"/>
      <c r="M870">
        <v>199778.6</v>
      </c>
      <c r="N870"/>
      <c r="O870"/>
    </row>
    <row r="871" spans="1:15" x14ac:dyDescent="0.35">
      <c r="A871" t="s">
        <v>169</v>
      </c>
      <c r="B871" t="s">
        <v>1583</v>
      </c>
      <c r="C871" t="s">
        <v>1584</v>
      </c>
      <c r="D871">
        <v>279028.07</v>
      </c>
      <c r="E871"/>
      <c r="F871">
        <v>279028.07</v>
      </c>
      <c r="G871"/>
      <c r="K871"/>
      <c r="L871"/>
      <c r="M871">
        <v>33</v>
      </c>
      <c r="N871">
        <v>278995.07</v>
      </c>
      <c r="O871"/>
    </row>
    <row r="872" spans="1:15" x14ac:dyDescent="0.35">
      <c r="A872" t="s">
        <v>169</v>
      </c>
      <c r="B872" t="s">
        <v>1585</v>
      </c>
      <c r="C872" t="s">
        <v>1586</v>
      </c>
      <c r="D872">
        <v>47768.119999999995</v>
      </c>
      <c r="E872"/>
      <c r="F872">
        <v>47768.119999999995</v>
      </c>
      <c r="G872"/>
      <c r="K872"/>
      <c r="L872"/>
      <c r="M872">
        <v>666</v>
      </c>
      <c r="N872">
        <v>47102.119999999995</v>
      </c>
      <c r="O872"/>
    </row>
    <row r="873" spans="1:15" x14ac:dyDescent="0.35">
      <c r="A873" t="s">
        <v>275</v>
      </c>
      <c r="B873" t="s">
        <v>1587</v>
      </c>
      <c r="C873" t="s">
        <v>1588</v>
      </c>
      <c r="D873">
        <v>1066124.68</v>
      </c>
      <c r="E873"/>
      <c r="F873">
        <v>1066124.68</v>
      </c>
      <c r="G873"/>
      <c r="K873"/>
      <c r="L873"/>
      <c r="M873">
        <v>1576</v>
      </c>
      <c r="N873">
        <v>1064548.68</v>
      </c>
      <c r="O873"/>
    </row>
    <row r="874" spans="1:15" x14ac:dyDescent="0.35">
      <c r="A874" t="s">
        <v>275</v>
      </c>
      <c r="B874" t="s">
        <v>1589</v>
      </c>
      <c r="C874" t="s">
        <v>1590</v>
      </c>
      <c r="D874">
        <v>243091.62</v>
      </c>
      <c r="E874"/>
      <c r="F874">
        <v>243091.62</v>
      </c>
      <c r="G874"/>
      <c r="K874"/>
      <c r="L874"/>
      <c r="M874">
        <v>138186</v>
      </c>
      <c r="N874">
        <v>104905.62</v>
      </c>
      <c r="O874"/>
    </row>
    <row r="875" spans="1:15" x14ac:dyDescent="0.35">
      <c r="A875" t="s">
        <v>19</v>
      </c>
      <c r="B875" t="s">
        <v>1591</v>
      </c>
      <c r="C875" t="s">
        <v>1592</v>
      </c>
      <c r="D875">
        <v>535.54</v>
      </c>
      <c r="E875"/>
      <c r="F875">
        <v>535.54</v>
      </c>
      <c r="G875"/>
      <c r="K875"/>
      <c r="L875"/>
      <c r="M875">
        <v>259</v>
      </c>
      <c r="N875">
        <v>276.54000000000002</v>
      </c>
      <c r="O875"/>
    </row>
    <row r="876" spans="1:15" x14ac:dyDescent="0.35">
      <c r="A876" t="s">
        <v>36</v>
      </c>
      <c r="B876" t="s">
        <v>1593</v>
      </c>
      <c r="C876" t="s">
        <v>1594</v>
      </c>
      <c r="D876">
        <v>1003.14</v>
      </c>
      <c r="E876"/>
      <c r="F876">
        <v>1003.14</v>
      </c>
      <c r="G876"/>
      <c r="K876"/>
      <c r="L876"/>
      <c r="M876">
        <v>544</v>
      </c>
      <c r="N876">
        <v>459.14</v>
      </c>
      <c r="O876"/>
    </row>
    <row r="877" spans="1:15" x14ac:dyDescent="0.35">
      <c r="A877" t="s">
        <v>36</v>
      </c>
      <c r="B877" t="s">
        <v>1595</v>
      </c>
      <c r="C877" t="s">
        <v>1596</v>
      </c>
      <c r="D877">
        <v>8268.5</v>
      </c>
      <c r="E877"/>
      <c r="F877">
        <v>8268.5</v>
      </c>
      <c r="G877"/>
      <c r="K877"/>
      <c r="L877"/>
      <c r="M877">
        <v>8268.5</v>
      </c>
      <c r="N877"/>
      <c r="O877"/>
    </row>
    <row r="878" spans="1:15" x14ac:dyDescent="0.35">
      <c r="A878" t="s">
        <v>55</v>
      </c>
      <c r="B878" t="s">
        <v>1597</v>
      </c>
      <c r="C878" t="s">
        <v>1598</v>
      </c>
      <c r="D878">
        <v>385.26</v>
      </c>
      <c r="E878"/>
      <c r="F878">
        <v>385.26</v>
      </c>
      <c r="G878"/>
      <c r="K878"/>
      <c r="L878"/>
      <c r="M878">
        <v>385.26</v>
      </c>
      <c r="N878"/>
      <c r="O878"/>
    </row>
    <row r="879" spans="1:15" x14ac:dyDescent="0.35">
      <c r="A879" t="s">
        <v>41</v>
      </c>
      <c r="B879" t="s">
        <v>1599</v>
      </c>
      <c r="C879" t="s">
        <v>1600</v>
      </c>
      <c r="D879">
        <v>94621.7</v>
      </c>
      <c r="E879"/>
      <c r="F879">
        <v>94621.7</v>
      </c>
      <c r="G879"/>
      <c r="K879"/>
      <c r="L879"/>
      <c r="M879">
        <v>52716.11</v>
      </c>
      <c r="N879">
        <v>41905.589999999997</v>
      </c>
      <c r="O879"/>
    </row>
    <row r="880" spans="1:15" x14ac:dyDescent="0.35">
      <c r="A880" t="s">
        <v>93</v>
      </c>
      <c r="B880" t="s">
        <v>1601</v>
      </c>
      <c r="C880" t="s">
        <v>1602</v>
      </c>
      <c r="D880">
        <v>434.52</v>
      </c>
      <c r="E880"/>
      <c r="F880">
        <v>434.52</v>
      </c>
      <c r="G880"/>
      <c r="K880"/>
      <c r="L880"/>
      <c r="M880">
        <v>274</v>
      </c>
      <c r="N880">
        <v>160.52000000000001</v>
      </c>
      <c r="O880"/>
    </row>
    <row r="881" spans="1:15" x14ac:dyDescent="0.35">
      <c r="A881" t="s">
        <v>93</v>
      </c>
      <c r="B881" t="s">
        <v>1603</v>
      </c>
      <c r="C881" t="s">
        <v>1604</v>
      </c>
      <c r="D881">
        <v>23866.13</v>
      </c>
      <c r="E881"/>
      <c r="F881">
        <v>23866.13</v>
      </c>
      <c r="G881"/>
      <c r="K881"/>
      <c r="L881"/>
      <c r="M881">
        <v>311</v>
      </c>
      <c r="N881">
        <v>23555.13</v>
      </c>
      <c r="O881"/>
    </row>
    <row r="882" spans="1:15" x14ac:dyDescent="0.35">
      <c r="A882" t="s">
        <v>100</v>
      </c>
      <c r="B882" t="s">
        <v>1605</v>
      </c>
      <c r="C882" t="s">
        <v>1606</v>
      </c>
      <c r="D882">
        <v>82162.27</v>
      </c>
      <c r="E882"/>
      <c r="F882">
        <v>82162.27</v>
      </c>
      <c r="G882"/>
      <c r="K882"/>
      <c r="L882"/>
      <c r="M882">
        <v>82162.27</v>
      </c>
      <c r="N882"/>
      <c r="O882"/>
    </row>
    <row r="883" spans="1:15" x14ac:dyDescent="0.35">
      <c r="A883" t="s">
        <v>16</v>
      </c>
      <c r="B883" t="s">
        <v>1607</v>
      </c>
      <c r="C883" t="s">
        <v>1608</v>
      </c>
      <c r="D883">
        <v>18652.87</v>
      </c>
      <c r="E883"/>
      <c r="F883">
        <v>18652.87</v>
      </c>
      <c r="G883"/>
      <c r="K883"/>
      <c r="L883"/>
      <c r="M883">
        <v>18652.87</v>
      </c>
      <c r="N883"/>
      <c r="O883"/>
    </row>
    <row r="884" spans="1:15" x14ac:dyDescent="0.35">
      <c r="A884" t="s">
        <v>275</v>
      </c>
      <c r="B884" t="s">
        <v>1609</v>
      </c>
      <c r="C884" t="s">
        <v>1610</v>
      </c>
      <c r="D884">
        <v>90241.279999999999</v>
      </c>
      <c r="E884"/>
      <c r="F884">
        <v>90241.279999999999</v>
      </c>
      <c r="G884"/>
      <c r="K884"/>
      <c r="L884"/>
      <c r="M884">
        <v>90241.279999999999</v>
      </c>
      <c r="N884"/>
      <c r="O884"/>
    </row>
    <row r="885" spans="1:15" x14ac:dyDescent="0.35">
      <c r="A885" t="s">
        <v>33</v>
      </c>
      <c r="B885" t="s">
        <v>1611</v>
      </c>
      <c r="C885" t="s">
        <v>1612</v>
      </c>
      <c r="D885">
        <v>719.81</v>
      </c>
      <c r="E885"/>
      <c r="F885">
        <v>719.81</v>
      </c>
      <c r="G885"/>
      <c r="K885"/>
      <c r="L885"/>
      <c r="M885">
        <v>719.81</v>
      </c>
      <c r="N885"/>
      <c r="O885"/>
    </row>
    <row r="886" spans="1:15" x14ac:dyDescent="0.35">
      <c r="A886" t="s">
        <v>210</v>
      </c>
      <c r="B886" t="s">
        <v>1613</v>
      </c>
      <c r="C886" t="s">
        <v>1614</v>
      </c>
      <c r="D886">
        <v>0.15</v>
      </c>
      <c r="E886"/>
      <c r="F886">
        <v>0.15</v>
      </c>
      <c r="G886"/>
      <c r="K886"/>
      <c r="L886"/>
      <c r="M886">
        <v>0.15</v>
      </c>
      <c r="N886"/>
      <c r="O886"/>
    </row>
    <row r="887" spans="1:15" x14ac:dyDescent="0.35">
      <c r="A887" t="s">
        <v>88</v>
      </c>
      <c r="B887" t="s">
        <v>1615</v>
      </c>
      <c r="C887" t="s">
        <v>1616</v>
      </c>
      <c r="D887">
        <v>5433.8600000000006</v>
      </c>
      <c r="E887"/>
      <c r="F887">
        <v>5433.8600000000006</v>
      </c>
      <c r="G887"/>
      <c r="K887"/>
      <c r="L887"/>
      <c r="M887">
        <v>444.77</v>
      </c>
      <c r="N887">
        <v>4989.09</v>
      </c>
      <c r="O887"/>
    </row>
    <row r="888" spans="1:15" x14ac:dyDescent="0.35">
      <c r="A888" t="s">
        <v>100</v>
      </c>
      <c r="B888" t="s">
        <v>1617</v>
      </c>
      <c r="C888" t="s">
        <v>1618</v>
      </c>
      <c r="D888">
        <v>571.35</v>
      </c>
      <c r="E888"/>
      <c r="F888">
        <v>571.35</v>
      </c>
      <c r="G888"/>
      <c r="K888"/>
      <c r="L888"/>
      <c r="M888">
        <v>571.35</v>
      </c>
      <c r="N888"/>
      <c r="O888"/>
    </row>
    <row r="889" spans="1:15" x14ac:dyDescent="0.35">
      <c r="A889" t="s">
        <v>41</v>
      </c>
      <c r="B889" t="s">
        <v>1619</v>
      </c>
      <c r="C889" t="s">
        <v>1620</v>
      </c>
      <c r="D889">
        <v>55131.23</v>
      </c>
      <c r="E889"/>
      <c r="F889">
        <v>55131.23</v>
      </c>
      <c r="G889"/>
      <c r="K889"/>
      <c r="L889"/>
      <c r="M889">
        <v>55131.23</v>
      </c>
      <c r="N889"/>
      <c r="O889"/>
    </row>
    <row r="890" spans="1:15" x14ac:dyDescent="0.35">
      <c r="A890" t="s">
        <v>24</v>
      </c>
      <c r="B890" t="s">
        <v>1621</v>
      </c>
      <c r="C890" t="s">
        <v>462</v>
      </c>
      <c r="D890">
        <v>0.18</v>
      </c>
      <c r="E890"/>
      <c r="F890">
        <v>0.18</v>
      </c>
      <c r="G890"/>
      <c r="K890"/>
      <c r="L890"/>
      <c r="M890">
        <v>0.18</v>
      </c>
      <c r="N890"/>
      <c r="O890"/>
    </row>
    <row r="891" spans="1:15" x14ac:dyDescent="0.35">
      <c r="A891" t="s">
        <v>275</v>
      </c>
      <c r="B891" t="s">
        <v>1622</v>
      </c>
      <c r="C891" t="s">
        <v>1623</v>
      </c>
      <c r="D891">
        <v>727542.71</v>
      </c>
      <c r="E891"/>
      <c r="F891">
        <v>727542.71</v>
      </c>
      <c r="G891"/>
      <c r="K891"/>
      <c r="L891"/>
      <c r="M891">
        <v>727542.71</v>
      </c>
      <c r="N891"/>
      <c r="O891"/>
    </row>
    <row r="892" spans="1:15" x14ac:dyDescent="0.35">
      <c r="A892" t="s">
        <v>24</v>
      </c>
      <c r="B892" t="s">
        <v>1624</v>
      </c>
      <c r="C892" t="s">
        <v>1625</v>
      </c>
      <c r="D892">
        <v>26869.75</v>
      </c>
      <c r="E892"/>
      <c r="F892">
        <v>26869.75</v>
      </c>
      <c r="G892"/>
      <c r="K892"/>
      <c r="L892"/>
      <c r="M892">
        <v>26869.75</v>
      </c>
      <c r="N892"/>
      <c r="O892"/>
    </row>
    <row r="893" spans="1:15" x14ac:dyDescent="0.35">
      <c r="A893" t="s">
        <v>169</v>
      </c>
      <c r="B893" t="s">
        <v>1626</v>
      </c>
      <c r="C893" t="s">
        <v>1627</v>
      </c>
      <c r="D893">
        <v>0.36</v>
      </c>
      <c r="E893"/>
      <c r="F893">
        <v>0.36</v>
      </c>
      <c r="G893"/>
      <c r="K893"/>
      <c r="L893"/>
      <c r="M893">
        <v>0.36</v>
      </c>
      <c r="N893"/>
      <c r="O893"/>
    </row>
    <row r="894" spans="1:15" x14ac:dyDescent="0.35">
      <c r="A894" t="s">
        <v>100</v>
      </c>
      <c r="B894" t="s">
        <v>1628</v>
      </c>
      <c r="C894" t="s">
        <v>1629</v>
      </c>
      <c r="D894">
        <v>1022.4</v>
      </c>
      <c r="E894"/>
      <c r="F894">
        <v>1022.4</v>
      </c>
      <c r="G894"/>
      <c r="K894"/>
      <c r="L894"/>
      <c r="M894">
        <v>1022.4</v>
      </c>
      <c r="N894"/>
      <c r="O894"/>
    </row>
    <row r="895" spans="1:15" x14ac:dyDescent="0.35">
      <c r="A895" t="s">
        <v>100</v>
      </c>
      <c r="B895" t="s">
        <v>1630</v>
      </c>
      <c r="C895" t="s">
        <v>1631</v>
      </c>
      <c r="D895">
        <v>8.5399999999999991</v>
      </c>
      <c r="E895"/>
      <c r="F895">
        <v>8.5399999999999991</v>
      </c>
      <c r="G895"/>
      <c r="K895"/>
      <c r="L895"/>
      <c r="M895">
        <v>8.5399999999999991</v>
      </c>
      <c r="N895"/>
      <c r="O895"/>
    </row>
    <row r="896" spans="1:15" x14ac:dyDescent="0.35">
      <c r="A896" t="s">
        <v>16</v>
      </c>
      <c r="B896" t="s">
        <v>1632</v>
      </c>
      <c r="C896" t="s">
        <v>1633</v>
      </c>
      <c r="D896">
        <v>8547.18</v>
      </c>
      <c r="E896"/>
      <c r="F896">
        <v>8547.18</v>
      </c>
      <c r="G896"/>
      <c r="K896"/>
      <c r="L896"/>
      <c r="M896">
        <v>8547.18</v>
      </c>
      <c r="N896"/>
      <c r="O896"/>
    </row>
    <row r="897" spans="1:15" x14ac:dyDescent="0.35">
      <c r="A897" t="s">
        <v>100</v>
      </c>
      <c r="B897" t="s">
        <v>1634</v>
      </c>
      <c r="C897" t="s">
        <v>1635</v>
      </c>
      <c r="D897">
        <v>0.9</v>
      </c>
      <c r="E897"/>
      <c r="F897">
        <v>0.9</v>
      </c>
      <c r="G897"/>
      <c r="K897"/>
      <c r="L897"/>
      <c r="M897">
        <v>0.9</v>
      </c>
      <c r="N897"/>
      <c r="O897"/>
    </row>
    <row r="898" spans="1:15" x14ac:dyDescent="0.35">
      <c r="A898" t="s">
        <v>41</v>
      </c>
      <c r="B898" t="s">
        <v>1636</v>
      </c>
      <c r="C898" t="s">
        <v>1637</v>
      </c>
      <c r="D898">
        <v>19338.8</v>
      </c>
      <c r="E898"/>
      <c r="F898">
        <v>19338.8</v>
      </c>
      <c r="G898"/>
      <c r="K898"/>
      <c r="L898"/>
      <c r="M898">
        <v>19338.8</v>
      </c>
      <c r="N898"/>
      <c r="O898"/>
    </row>
    <row r="899" spans="1:15" x14ac:dyDescent="0.35">
      <c r="A899" t="s">
        <v>33</v>
      </c>
      <c r="B899" t="s">
        <v>1638</v>
      </c>
      <c r="C899" t="s">
        <v>1639</v>
      </c>
      <c r="D899">
        <v>652852.91</v>
      </c>
      <c r="E899"/>
      <c r="F899">
        <v>652852.91</v>
      </c>
      <c r="G899"/>
      <c r="K899"/>
      <c r="L899"/>
      <c r="M899">
        <v>652852.91</v>
      </c>
      <c r="N899"/>
      <c r="O899"/>
    </row>
    <row r="900" spans="1:15" x14ac:dyDescent="0.35">
      <c r="A900" t="s">
        <v>41</v>
      </c>
      <c r="B900" t="s">
        <v>1640</v>
      </c>
      <c r="C900" t="s">
        <v>1641</v>
      </c>
      <c r="D900">
        <v>0.79</v>
      </c>
      <c r="E900"/>
      <c r="F900">
        <v>0.79</v>
      </c>
      <c r="G900"/>
      <c r="K900"/>
      <c r="L900"/>
      <c r="M900">
        <v>0.79</v>
      </c>
      <c r="N900"/>
      <c r="O900"/>
    </row>
    <row r="901" spans="1:15" x14ac:dyDescent="0.35">
      <c r="A901" t="s">
        <v>88</v>
      </c>
      <c r="B901" t="s">
        <v>1642</v>
      </c>
      <c r="C901" t="s">
        <v>1643</v>
      </c>
      <c r="D901">
        <v>326031.64</v>
      </c>
      <c r="E901"/>
      <c r="F901">
        <v>326031.64</v>
      </c>
      <c r="G901"/>
      <c r="K901"/>
      <c r="L901"/>
      <c r="M901">
        <v>273622.28999999998</v>
      </c>
      <c r="N901">
        <v>52409.35</v>
      </c>
      <c r="O901"/>
    </row>
    <row r="902" spans="1:15" x14ac:dyDescent="0.35">
      <c r="A902" t="s">
        <v>210</v>
      </c>
      <c r="B902" t="s">
        <v>1644</v>
      </c>
      <c r="C902" t="s">
        <v>1645</v>
      </c>
      <c r="D902">
        <v>26002.48</v>
      </c>
      <c r="E902"/>
      <c r="F902">
        <v>26002.48</v>
      </c>
      <c r="G902"/>
      <c r="K902"/>
      <c r="L902"/>
      <c r="M902">
        <v>18593</v>
      </c>
      <c r="N902">
        <v>7409.48</v>
      </c>
      <c r="O902"/>
    </row>
    <row r="903" spans="1:15" x14ac:dyDescent="0.35">
      <c r="A903" t="s">
        <v>55</v>
      </c>
      <c r="B903" t="s">
        <v>1646</v>
      </c>
      <c r="C903" t="s">
        <v>1647</v>
      </c>
      <c r="D903">
        <v>65114.13</v>
      </c>
      <c r="E903"/>
      <c r="F903">
        <v>65114.13</v>
      </c>
      <c r="G903"/>
      <c r="K903"/>
      <c r="L903"/>
      <c r="M903">
        <v>31.46</v>
      </c>
      <c r="N903">
        <v>65082.67</v>
      </c>
      <c r="O903"/>
    </row>
    <row r="904" spans="1:15" x14ac:dyDescent="0.35">
      <c r="A904" t="s">
        <v>210</v>
      </c>
      <c r="B904" t="s">
        <v>1648</v>
      </c>
      <c r="C904" t="s">
        <v>1649</v>
      </c>
      <c r="D904">
        <v>186960.25000000003</v>
      </c>
      <c r="E904"/>
      <c r="F904">
        <v>186960.25000000003</v>
      </c>
      <c r="G904"/>
      <c r="K904"/>
      <c r="L904"/>
      <c r="M904">
        <v>186960.25000000003</v>
      </c>
      <c r="N904"/>
      <c r="O904"/>
    </row>
    <row r="905" spans="1:15" x14ac:dyDescent="0.35">
      <c r="A905" t="s">
        <v>36</v>
      </c>
      <c r="B905" t="s">
        <v>1650</v>
      </c>
      <c r="C905" t="s">
        <v>1651</v>
      </c>
      <c r="D905">
        <v>2850.76</v>
      </c>
      <c r="E905"/>
      <c r="F905">
        <v>2850.76</v>
      </c>
      <c r="G905"/>
      <c r="K905"/>
      <c r="L905"/>
      <c r="M905">
        <v>2850.76</v>
      </c>
      <c r="N905"/>
      <c r="O905"/>
    </row>
    <row r="906" spans="1:15" x14ac:dyDescent="0.35">
      <c r="A906" t="s">
        <v>55</v>
      </c>
      <c r="B906" t="s">
        <v>1652</v>
      </c>
      <c r="C906" t="s">
        <v>1653</v>
      </c>
      <c r="D906">
        <v>144720.44</v>
      </c>
      <c r="E906"/>
      <c r="F906">
        <v>144720.44</v>
      </c>
      <c r="G906"/>
      <c r="K906"/>
      <c r="L906"/>
      <c r="M906">
        <v>31.46</v>
      </c>
      <c r="N906">
        <v>144688.98000000001</v>
      </c>
      <c r="O906"/>
    </row>
    <row r="907" spans="1:15" x14ac:dyDescent="0.35">
      <c r="A907" t="s">
        <v>55</v>
      </c>
      <c r="B907" t="s">
        <v>1654</v>
      </c>
      <c r="C907" t="s">
        <v>1655</v>
      </c>
      <c r="D907">
        <v>2896.8</v>
      </c>
      <c r="E907"/>
      <c r="F907">
        <v>2896.8</v>
      </c>
      <c r="G907"/>
      <c r="K907"/>
      <c r="L907"/>
      <c r="M907">
        <v>122.34</v>
      </c>
      <c r="N907">
        <v>2774.46</v>
      </c>
      <c r="O907"/>
    </row>
    <row r="908" spans="1:15" x14ac:dyDescent="0.35">
      <c r="A908" t="s">
        <v>33</v>
      </c>
      <c r="B908" t="s">
        <v>1656</v>
      </c>
      <c r="C908" t="s">
        <v>1657</v>
      </c>
      <c r="D908">
        <v>68.02</v>
      </c>
      <c r="E908"/>
      <c r="F908">
        <v>68.02</v>
      </c>
      <c r="G908"/>
      <c r="K908"/>
      <c r="L908"/>
      <c r="M908">
        <v>68.02</v>
      </c>
      <c r="N908"/>
      <c r="O908"/>
    </row>
    <row r="909" spans="1:15" x14ac:dyDescent="0.35">
      <c r="A909" t="s">
        <v>169</v>
      </c>
      <c r="B909" t="s">
        <v>1658</v>
      </c>
      <c r="C909" t="s">
        <v>1659</v>
      </c>
      <c r="D909">
        <v>476906.15</v>
      </c>
      <c r="E909"/>
      <c r="F909">
        <v>476906.15</v>
      </c>
      <c r="G909"/>
      <c r="K909"/>
      <c r="L909"/>
      <c r="M909">
        <v>30000</v>
      </c>
      <c r="N909">
        <v>446906.15</v>
      </c>
      <c r="O909"/>
    </row>
    <row r="910" spans="1:15" x14ac:dyDescent="0.35">
      <c r="A910" t="s">
        <v>88</v>
      </c>
      <c r="B910" t="s">
        <v>1660</v>
      </c>
      <c r="C910" t="s">
        <v>1661</v>
      </c>
      <c r="D910">
        <v>67171.67</v>
      </c>
      <c r="E910"/>
      <c r="F910">
        <v>67171.67</v>
      </c>
      <c r="G910"/>
      <c r="K910"/>
      <c r="L910"/>
      <c r="M910">
        <v>67171.67</v>
      </c>
      <c r="N910"/>
      <c r="O910"/>
    </row>
    <row r="911" spans="1:15" x14ac:dyDescent="0.35">
      <c r="A911" t="s">
        <v>169</v>
      </c>
      <c r="B911" t="s">
        <v>1662</v>
      </c>
      <c r="C911" t="s">
        <v>1663</v>
      </c>
      <c r="D911">
        <v>0.32</v>
      </c>
      <c r="E911"/>
      <c r="F911">
        <v>0.32</v>
      </c>
      <c r="G911"/>
      <c r="K911"/>
      <c r="L911"/>
      <c r="M911"/>
      <c r="N911">
        <v>0.32</v>
      </c>
      <c r="O911"/>
    </row>
    <row r="912" spans="1:15" x14ac:dyDescent="0.35">
      <c r="A912" t="s">
        <v>30</v>
      </c>
      <c r="B912" t="s">
        <v>1664</v>
      </c>
      <c r="C912" t="s">
        <v>1665</v>
      </c>
      <c r="D912">
        <v>0.17</v>
      </c>
      <c r="E912"/>
      <c r="F912">
        <v>0.17</v>
      </c>
      <c r="G912"/>
      <c r="K912"/>
      <c r="L912"/>
      <c r="M912">
        <v>0.17</v>
      </c>
      <c r="N912"/>
      <c r="O912"/>
    </row>
    <row r="913" spans="1:15" x14ac:dyDescent="0.35">
      <c r="A913" t="s">
        <v>55</v>
      </c>
      <c r="B913" t="s">
        <v>1666</v>
      </c>
      <c r="C913" t="s">
        <v>1667</v>
      </c>
      <c r="D913">
        <v>868.55</v>
      </c>
      <c r="E913"/>
      <c r="F913">
        <v>868.55</v>
      </c>
      <c r="G913"/>
      <c r="K913"/>
      <c r="L913"/>
      <c r="M913"/>
      <c r="N913">
        <v>868.55</v>
      </c>
      <c r="O913"/>
    </row>
    <row r="914" spans="1:15" x14ac:dyDescent="0.35">
      <c r="A914" t="s">
        <v>169</v>
      </c>
      <c r="B914" t="s">
        <v>1668</v>
      </c>
      <c r="C914" t="s">
        <v>1669</v>
      </c>
      <c r="D914">
        <v>123542.3</v>
      </c>
      <c r="E914"/>
      <c r="F914">
        <v>123542.3</v>
      </c>
      <c r="G914"/>
      <c r="K914"/>
      <c r="L914"/>
      <c r="M914">
        <v>123542.3</v>
      </c>
      <c r="N914">
        <v>0</v>
      </c>
      <c r="O914"/>
    </row>
    <row r="915" spans="1:15" x14ac:dyDescent="0.35">
      <c r="A915" t="s">
        <v>36</v>
      </c>
      <c r="B915" t="s">
        <v>1670</v>
      </c>
      <c r="C915" t="s">
        <v>1671</v>
      </c>
      <c r="D915">
        <v>3.7</v>
      </c>
      <c r="E915"/>
      <c r="F915">
        <v>3.7</v>
      </c>
      <c r="G915"/>
      <c r="K915"/>
      <c r="L915"/>
      <c r="M915"/>
      <c r="N915">
        <v>3.7</v>
      </c>
      <c r="O915"/>
    </row>
    <row r="916" spans="1:15" x14ac:dyDescent="0.35">
      <c r="A916" t="s">
        <v>41</v>
      </c>
      <c r="B916" t="s">
        <v>1672</v>
      </c>
      <c r="C916" t="s">
        <v>1673</v>
      </c>
      <c r="D916">
        <v>59872.01</v>
      </c>
      <c r="E916"/>
      <c r="F916">
        <v>59872.01</v>
      </c>
      <c r="G916"/>
      <c r="K916"/>
      <c r="L916"/>
      <c r="M916"/>
      <c r="N916">
        <v>59872.01</v>
      </c>
      <c r="O916"/>
    </row>
    <row r="917" spans="1:15" x14ac:dyDescent="0.35">
      <c r="A917" t="s">
        <v>36</v>
      </c>
      <c r="B917" t="s">
        <v>1674</v>
      </c>
      <c r="C917" t="s">
        <v>1675</v>
      </c>
      <c r="D917">
        <v>22163.47</v>
      </c>
      <c r="E917"/>
      <c r="F917">
        <v>22163.47</v>
      </c>
      <c r="G917"/>
      <c r="K917"/>
      <c r="L917"/>
      <c r="M917"/>
      <c r="N917">
        <v>22163.47</v>
      </c>
      <c r="O917"/>
    </row>
    <row r="918" spans="1:15" x14ac:dyDescent="0.35">
      <c r="A918" t="s">
        <v>27</v>
      </c>
      <c r="B918" t="s">
        <v>1676</v>
      </c>
      <c r="C918" t="s">
        <v>1677</v>
      </c>
      <c r="D918">
        <v>105151.91</v>
      </c>
      <c r="E918"/>
      <c r="F918">
        <v>105151.91</v>
      </c>
      <c r="G918"/>
      <c r="K918"/>
      <c r="L918"/>
      <c r="M918"/>
      <c r="N918">
        <v>105151.91</v>
      </c>
      <c r="O918"/>
    </row>
    <row r="919" spans="1:15" x14ac:dyDescent="0.35">
      <c r="A919" t="s">
        <v>169</v>
      </c>
      <c r="B919" t="s">
        <v>1678</v>
      </c>
      <c r="C919" t="s">
        <v>1679</v>
      </c>
      <c r="D919">
        <v>132115.82</v>
      </c>
      <c r="E919"/>
      <c r="F919">
        <v>132115.82</v>
      </c>
      <c r="G919"/>
      <c r="K919"/>
      <c r="L919"/>
      <c r="M919"/>
      <c r="N919">
        <v>132115.82</v>
      </c>
      <c r="O919"/>
    </row>
    <row r="920" spans="1:15" x14ac:dyDescent="0.35">
      <c r="A920" t="s">
        <v>33</v>
      </c>
      <c r="B920" t="s">
        <v>1680</v>
      </c>
      <c r="C920" t="s">
        <v>1681</v>
      </c>
      <c r="D920">
        <v>373598.15</v>
      </c>
      <c r="E920"/>
      <c r="F920">
        <v>373598.15</v>
      </c>
      <c r="G920"/>
      <c r="K920"/>
      <c r="L920"/>
      <c r="M920"/>
      <c r="N920">
        <v>373598.15</v>
      </c>
      <c r="O920"/>
    </row>
    <row r="921" spans="1:15" x14ac:dyDescent="0.35">
      <c r="A921" t="s">
        <v>46</v>
      </c>
      <c r="B921" t="s">
        <v>1682</v>
      </c>
      <c r="C921" t="s">
        <v>1683</v>
      </c>
      <c r="D921">
        <v>5976</v>
      </c>
      <c r="E921"/>
      <c r="F921">
        <v>5976</v>
      </c>
      <c r="G921"/>
      <c r="K921"/>
      <c r="L921"/>
      <c r="M921"/>
      <c r="N921">
        <v>5976</v>
      </c>
      <c r="O921"/>
    </row>
    <row r="922" spans="1:15" x14ac:dyDescent="0.35">
      <c r="A922" t="s">
        <v>19</v>
      </c>
      <c r="B922" t="s">
        <v>1684</v>
      </c>
      <c r="C922" t="s">
        <v>1685</v>
      </c>
      <c r="D922">
        <v>2638.4</v>
      </c>
      <c r="E922"/>
      <c r="F922">
        <v>2638.4</v>
      </c>
      <c r="G922"/>
      <c r="K922"/>
      <c r="L922"/>
      <c r="M922"/>
      <c r="N922">
        <v>2638.4</v>
      </c>
      <c r="O922"/>
    </row>
    <row r="923" spans="1:15" x14ac:dyDescent="0.35">
      <c r="A923" t="s">
        <v>210</v>
      </c>
      <c r="B923" t="s">
        <v>1686</v>
      </c>
      <c r="C923" t="s">
        <v>1687</v>
      </c>
      <c r="D923">
        <v>723118.82000000007</v>
      </c>
      <c r="E923"/>
      <c r="F923">
        <v>723118.82000000007</v>
      </c>
      <c r="G923"/>
      <c r="K923"/>
      <c r="L923"/>
      <c r="M923"/>
      <c r="N923">
        <v>723118.82000000007</v>
      </c>
      <c r="O923"/>
    </row>
    <row r="924" spans="1:15" x14ac:dyDescent="0.35">
      <c r="A924" t="s">
        <v>41</v>
      </c>
      <c r="B924" t="s">
        <v>1688</v>
      </c>
      <c r="C924" t="s">
        <v>1689</v>
      </c>
      <c r="D924">
        <v>226534.32</v>
      </c>
      <c r="E924"/>
      <c r="F924">
        <v>226534.32</v>
      </c>
      <c r="G924"/>
      <c r="K924"/>
      <c r="L924"/>
      <c r="M924"/>
      <c r="N924">
        <v>226534.32</v>
      </c>
      <c r="O924"/>
    </row>
    <row r="925" spans="1:15" x14ac:dyDescent="0.35">
      <c r="A925" t="s">
        <v>41</v>
      </c>
      <c r="B925" t="s">
        <v>1690</v>
      </c>
      <c r="C925" t="s">
        <v>1691</v>
      </c>
      <c r="D925">
        <v>313039.26</v>
      </c>
      <c r="E925"/>
      <c r="F925">
        <v>313039.26</v>
      </c>
      <c r="G925"/>
      <c r="K925"/>
      <c r="L925"/>
      <c r="M925"/>
      <c r="N925">
        <v>313039.26</v>
      </c>
      <c r="O925"/>
    </row>
    <row r="926" spans="1:15" x14ac:dyDescent="0.35">
      <c r="A926" t="s">
        <v>41</v>
      </c>
      <c r="B926" t="s">
        <v>1692</v>
      </c>
      <c r="C926" t="s">
        <v>1693</v>
      </c>
      <c r="D926">
        <v>0.17</v>
      </c>
      <c r="E926"/>
      <c r="F926">
        <v>0.17</v>
      </c>
      <c r="G926"/>
      <c r="K926"/>
      <c r="L926"/>
      <c r="M926"/>
      <c r="N926">
        <v>0.17</v>
      </c>
      <c r="O926"/>
    </row>
    <row r="927" spans="1:15" x14ac:dyDescent="0.35">
      <c r="A927" t="s">
        <v>24</v>
      </c>
      <c r="B927" t="s">
        <v>1694</v>
      </c>
      <c r="C927" t="s">
        <v>1695</v>
      </c>
      <c r="D927">
        <v>59</v>
      </c>
      <c r="E927"/>
      <c r="F927">
        <v>59</v>
      </c>
      <c r="G927"/>
      <c r="K927"/>
      <c r="L927"/>
      <c r="M927"/>
      <c r="N927">
        <v>59</v>
      </c>
      <c r="O927"/>
    </row>
    <row r="928" spans="1:15" x14ac:dyDescent="0.35">
      <c r="A928" t="s">
        <v>16</v>
      </c>
      <c r="B928" t="s">
        <v>1696</v>
      </c>
      <c r="C928" t="s">
        <v>1697</v>
      </c>
      <c r="D928">
        <v>0.1</v>
      </c>
      <c r="E928"/>
      <c r="F928">
        <v>0.1</v>
      </c>
      <c r="G928"/>
      <c r="K928"/>
      <c r="L928"/>
      <c r="M928"/>
      <c r="N928">
        <v>0.1</v>
      </c>
      <c r="O928"/>
    </row>
    <row r="929" spans="1:15" x14ac:dyDescent="0.35">
      <c r="A929" t="s">
        <v>100</v>
      </c>
      <c r="B929" t="s">
        <v>1698</v>
      </c>
      <c r="C929" t="s">
        <v>1699</v>
      </c>
      <c r="D929">
        <v>57840.52</v>
      </c>
      <c r="E929"/>
      <c r="F929">
        <v>57840.52</v>
      </c>
      <c r="G929"/>
      <c r="K929"/>
      <c r="L929"/>
      <c r="M929"/>
      <c r="N929">
        <v>57840.52</v>
      </c>
      <c r="O929"/>
    </row>
    <row r="930" spans="1:15" x14ac:dyDescent="0.35">
      <c r="A930" t="s">
        <v>36</v>
      </c>
      <c r="B930" t="s">
        <v>1700</v>
      </c>
      <c r="C930" t="s">
        <v>1701</v>
      </c>
      <c r="D930">
        <v>58.73</v>
      </c>
      <c r="E930"/>
      <c r="F930">
        <v>58.73</v>
      </c>
      <c r="G930"/>
      <c r="K930"/>
      <c r="L930"/>
      <c r="M930"/>
      <c r="N930">
        <v>58.73</v>
      </c>
      <c r="O930"/>
    </row>
    <row r="931" spans="1:15" x14ac:dyDescent="0.35">
      <c r="A931" t="s">
        <v>24</v>
      </c>
      <c r="B931" t="s">
        <v>1702</v>
      </c>
      <c r="C931" t="s">
        <v>1703</v>
      </c>
      <c r="D931">
        <v>10.43</v>
      </c>
      <c r="E931"/>
      <c r="F931">
        <v>10.43</v>
      </c>
      <c r="G931"/>
      <c r="K931"/>
      <c r="L931"/>
      <c r="M931"/>
      <c r="N931">
        <v>10.43</v>
      </c>
      <c r="O931"/>
    </row>
    <row r="932" spans="1:15" x14ac:dyDescent="0.35">
      <c r="A932" t="s">
        <v>41</v>
      </c>
      <c r="B932" t="s">
        <v>1704</v>
      </c>
      <c r="C932" t="s">
        <v>1705</v>
      </c>
      <c r="D932">
        <v>0.74</v>
      </c>
      <c r="E932"/>
      <c r="F932">
        <v>0.74</v>
      </c>
      <c r="G932"/>
      <c r="K932"/>
      <c r="L932"/>
      <c r="M932"/>
      <c r="N932">
        <v>0.74</v>
      </c>
      <c r="O932"/>
    </row>
    <row r="933" spans="1:15" x14ac:dyDescent="0.35">
      <c r="A933" t="s">
        <v>16</v>
      </c>
      <c r="B933" t="s">
        <v>1706</v>
      </c>
      <c r="C933" t="s">
        <v>1707</v>
      </c>
      <c r="D933">
        <v>2551.3200000000002</v>
      </c>
      <c r="E933"/>
      <c r="F933">
        <v>2551.3200000000002</v>
      </c>
      <c r="G933"/>
      <c r="K933"/>
      <c r="L933"/>
      <c r="M933"/>
      <c r="N933">
        <v>2551.3200000000002</v>
      </c>
      <c r="O933"/>
    </row>
    <row r="934" spans="1:15" x14ac:dyDescent="0.35">
      <c r="A934" t="s">
        <v>46</v>
      </c>
      <c r="B934" t="s">
        <v>1708</v>
      </c>
      <c r="C934" t="s">
        <v>1709</v>
      </c>
      <c r="D934">
        <v>480.25</v>
      </c>
      <c r="E934"/>
      <c r="F934">
        <v>480.25</v>
      </c>
      <c r="G934"/>
      <c r="K934"/>
      <c r="L934"/>
      <c r="M934"/>
      <c r="N934">
        <v>480.25</v>
      </c>
      <c r="O934"/>
    </row>
    <row r="935" spans="1:15" x14ac:dyDescent="0.35">
      <c r="A935" t="s">
        <v>93</v>
      </c>
      <c r="B935" t="s">
        <v>1710</v>
      </c>
      <c r="C935" t="s">
        <v>1711</v>
      </c>
      <c r="D935">
        <v>3967.34</v>
      </c>
      <c r="E935"/>
      <c r="F935">
        <v>3967.34</v>
      </c>
      <c r="G935"/>
      <c r="K935"/>
      <c r="L935"/>
      <c r="M935"/>
      <c r="N935">
        <v>3967.34</v>
      </c>
      <c r="O935"/>
    </row>
    <row r="936" spans="1:15" x14ac:dyDescent="0.35">
      <c r="A936" t="s">
        <v>24</v>
      </c>
      <c r="B936" t="s">
        <v>1712</v>
      </c>
      <c r="C936" t="s">
        <v>1713</v>
      </c>
      <c r="D936">
        <v>0.11</v>
      </c>
      <c r="E936"/>
      <c r="F936">
        <v>0.11</v>
      </c>
      <c r="G936"/>
      <c r="K936"/>
      <c r="L936"/>
      <c r="M936"/>
      <c r="N936">
        <v>0.11</v>
      </c>
      <c r="O936"/>
    </row>
    <row r="937" spans="1:15" x14ac:dyDescent="0.35">
      <c r="A937" t="s">
        <v>55</v>
      </c>
      <c r="B937" t="s">
        <v>1714</v>
      </c>
      <c r="C937" t="s">
        <v>1715</v>
      </c>
      <c r="D937">
        <v>0.23</v>
      </c>
      <c r="E937"/>
      <c r="F937">
        <v>0.23</v>
      </c>
      <c r="G937"/>
      <c r="K937"/>
      <c r="L937"/>
      <c r="M937"/>
      <c r="N937">
        <v>0.23</v>
      </c>
      <c r="O937"/>
    </row>
    <row r="938" spans="1:15" x14ac:dyDescent="0.35">
      <c r="A938" t="s">
        <v>275</v>
      </c>
      <c r="B938" t="s">
        <v>1716</v>
      </c>
      <c r="C938" t="s">
        <v>1717</v>
      </c>
      <c r="D938">
        <v>318952.56</v>
      </c>
      <c r="E938"/>
      <c r="F938">
        <v>318952.56</v>
      </c>
      <c r="G938"/>
      <c r="K938"/>
      <c r="L938"/>
      <c r="M938"/>
      <c r="N938">
        <v>318952.56</v>
      </c>
      <c r="O938"/>
    </row>
    <row r="939" spans="1:15" x14ac:dyDescent="0.35">
      <c r="A939" t="s">
        <v>88</v>
      </c>
      <c r="B939" t="s">
        <v>1718</v>
      </c>
      <c r="C939" t="s">
        <v>1719</v>
      </c>
      <c r="D939">
        <v>325611.09000000003</v>
      </c>
      <c r="E939"/>
      <c r="F939">
        <v>325611.09000000003</v>
      </c>
      <c r="G939"/>
      <c r="K939"/>
      <c r="L939"/>
      <c r="M939"/>
      <c r="N939">
        <v>325611.09000000003</v>
      </c>
      <c r="O939"/>
    </row>
    <row r="940" spans="1:15" x14ac:dyDescent="0.35">
      <c r="A940" t="s">
        <v>210</v>
      </c>
      <c r="B940" t="s">
        <v>1720</v>
      </c>
      <c r="C940" t="s">
        <v>1721</v>
      </c>
      <c r="D940">
        <v>0.21</v>
      </c>
      <c r="E940"/>
      <c r="F940">
        <v>0.21</v>
      </c>
      <c r="G940"/>
      <c r="K940"/>
      <c r="L940"/>
      <c r="M940"/>
      <c r="N940">
        <v>0.21</v>
      </c>
      <c r="O940"/>
    </row>
    <row r="941" spans="1:15" x14ac:dyDescent="0.35">
      <c r="A941" t="s">
        <v>100</v>
      </c>
      <c r="B941" t="s">
        <v>1722</v>
      </c>
      <c r="C941" t="s">
        <v>1723</v>
      </c>
      <c r="D941">
        <v>111541.35</v>
      </c>
      <c r="E941"/>
      <c r="F941">
        <v>111541.35</v>
      </c>
      <c r="G941"/>
      <c r="K941"/>
      <c r="L941"/>
      <c r="M941"/>
      <c r="N941">
        <v>111541.35</v>
      </c>
      <c r="O941"/>
    </row>
    <row r="942" spans="1:15" x14ac:dyDescent="0.35">
      <c r="A942" t="s">
        <v>19</v>
      </c>
      <c r="B942" t="s">
        <v>1724</v>
      </c>
      <c r="C942" t="s">
        <v>1725</v>
      </c>
      <c r="D942">
        <v>0.47</v>
      </c>
      <c r="E942"/>
      <c r="F942">
        <v>0.47</v>
      </c>
      <c r="G942"/>
      <c r="K942"/>
      <c r="L942"/>
      <c r="M942"/>
      <c r="N942">
        <v>0.47</v>
      </c>
      <c r="O942"/>
    </row>
    <row r="943" spans="1:15" x14ac:dyDescent="0.35">
      <c r="A943" t="s">
        <v>100</v>
      </c>
      <c r="B943" t="s">
        <v>1726</v>
      </c>
      <c r="C943" t="s">
        <v>1727</v>
      </c>
      <c r="D943">
        <v>19700.5</v>
      </c>
      <c r="E943"/>
      <c r="F943">
        <v>19700.5</v>
      </c>
      <c r="G943"/>
      <c r="K943"/>
      <c r="L943"/>
      <c r="M943"/>
      <c r="N943">
        <v>19700.5</v>
      </c>
      <c r="O943"/>
    </row>
    <row r="944" spans="1:15" x14ac:dyDescent="0.35">
      <c r="A944" t="s">
        <v>41</v>
      </c>
      <c r="B944" t="s">
        <v>1728</v>
      </c>
      <c r="C944" t="s">
        <v>1729</v>
      </c>
      <c r="D944">
        <v>20987.45</v>
      </c>
      <c r="E944"/>
      <c r="F944">
        <v>20987.45</v>
      </c>
      <c r="G944"/>
      <c r="K944"/>
      <c r="L944"/>
      <c r="M944"/>
      <c r="N944">
        <v>20987.45</v>
      </c>
      <c r="O944"/>
    </row>
    <row r="945" spans="1:15" x14ac:dyDescent="0.35">
      <c r="A945" t="s">
        <v>24</v>
      </c>
      <c r="B945" t="s">
        <v>1730</v>
      </c>
      <c r="C945" t="s">
        <v>1731</v>
      </c>
      <c r="D945">
        <v>30461.79</v>
      </c>
      <c r="E945"/>
      <c r="F945">
        <v>30461.79</v>
      </c>
      <c r="G945"/>
      <c r="K945"/>
      <c r="L945"/>
      <c r="M945"/>
      <c r="N945">
        <v>30461.79</v>
      </c>
      <c r="O945"/>
    </row>
    <row r="946" spans="1:15" x14ac:dyDescent="0.35">
      <c r="A946" t="s">
        <v>169</v>
      </c>
      <c r="B946" t="s">
        <v>1732</v>
      </c>
      <c r="C946" t="s">
        <v>1733</v>
      </c>
      <c r="D946">
        <v>149275.26999999999</v>
      </c>
      <c r="E946"/>
      <c r="F946">
        <v>149275.26999999999</v>
      </c>
      <c r="G946"/>
      <c r="K946"/>
      <c r="L946"/>
      <c r="M946"/>
      <c r="N946">
        <v>149275.26999999999</v>
      </c>
      <c r="O946"/>
    </row>
    <row r="947" spans="1:15" x14ac:dyDescent="0.35">
      <c r="A947" t="s">
        <v>169</v>
      </c>
      <c r="B947" t="s">
        <v>1734</v>
      </c>
      <c r="C947" t="s">
        <v>1735</v>
      </c>
      <c r="D947">
        <v>110027.43</v>
      </c>
      <c r="E947"/>
      <c r="F947">
        <v>110027.43</v>
      </c>
      <c r="G947"/>
      <c r="K947"/>
      <c r="L947"/>
      <c r="M947"/>
      <c r="N947">
        <v>110027.43</v>
      </c>
      <c r="O947"/>
    </row>
    <row r="948" spans="1:15" x14ac:dyDescent="0.35">
      <c r="A948" t="s">
        <v>275</v>
      </c>
      <c r="B948" t="s">
        <v>1736</v>
      </c>
      <c r="C948" t="s">
        <v>1737</v>
      </c>
      <c r="D948">
        <v>0.01</v>
      </c>
      <c r="E948"/>
      <c r="F948">
        <v>0.01</v>
      </c>
      <c r="G948"/>
      <c r="K948"/>
      <c r="L948"/>
      <c r="M948"/>
      <c r="N948">
        <v>0.01</v>
      </c>
      <c r="O948"/>
    </row>
    <row r="949" spans="1:15" x14ac:dyDescent="0.35">
      <c r="A949" t="s">
        <v>24</v>
      </c>
      <c r="B949" t="s">
        <v>1738</v>
      </c>
      <c r="C949" t="s">
        <v>1739</v>
      </c>
      <c r="D949">
        <v>332932.2</v>
      </c>
      <c r="E949"/>
      <c r="F949">
        <v>332932.2</v>
      </c>
      <c r="G949"/>
      <c r="K949"/>
      <c r="L949"/>
      <c r="M949"/>
      <c r="N949">
        <v>332932.2</v>
      </c>
      <c r="O949"/>
    </row>
    <row r="950" spans="1:15" x14ac:dyDescent="0.35">
      <c r="A950" t="s">
        <v>164</v>
      </c>
      <c r="B950" t="s">
        <v>1740</v>
      </c>
      <c r="C950" t="s">
        <v>1741</v>
      </c>
      <c r="D950">
        <v>40868.409999999996</v>
      </c>
      <c r="E950"/>
      <c r="F950">
        <v>40868.409999999996</v>
      </c>
      <c r="G950"/>
      <c r="K950"/>
      <c r="L950"/>
      <c r="M950"/>
      <c r="N950">
        <v>40868.409999999996</v>
      </c>
      <c r="O950"/>
    </row>
    <row r="951" spans="1:15" x14ac:dyDescent="0.35">
      <c r="A951" t="s">
        <v>275</v>
      </c>
      <c r="B951" t="s">
        <v>1742</v>
      </c>
      <c r="C951" t="s">
        <v>1743</v>
      </c>
      <c r="D951">
        <v>32.24</v>
      </c>
      <c r="E951"/>
      <c r="F951">
        <v>32.24</v>
      </c>
      <c r="G951"/>
      <c r="K951"/>
      <c r="L951"/>
      <c r="M951"/>
      <c r="N951">
        <v>32.24</v>
      </c>
      <c r="O951"/>
    </row>
    <row r="952" spans="1:15" x14ac:dyDescent="0.35">
      <c r="A952" t="s">
        <v>41</v>
      </c>
      <c r="B952" t="s">
        <v>1744</v>
      </c>
      <c r="C952" t="s">
        <v>1745</v>
      </c>
      <c r="D952">
        <v>23643.94</v>
      </c>
      <c r="E952"/>
      <c r="F952">
        <v>23643.94</v>
      </c>
      <c r="G952"/>
      <c r="K952"/>
      <c r="L952"/>
      <c r="M952"/>
      <c r="N952">
        <v>23643.94</v>
      </c>
      <c r="O952"/>
    </row>
    <row r="953" spans="1:15" x14ac:dyDescent="0.35">
      <c r="A953" t="s">
        <v>41</v>
      </c>
      <c r="B953" t="s">
        <v>1746</v>
      </c>
      <c r="C953" t="s">
        <v>1747</v>
      </c>
      <c r="D953">
        <v>54.64</v>
      </c>
      <c r="E953"/>
      <c r="F953">
        <v>54.64</v>
      </c>
      <c r="G953"/>
      <c r="K953"/>
      <c r="L953"/>
      <c r="M953"/>
      <c r="N953">
        <v>54.64</v>
      </c>
      <c r="O953"/>
    </row>
    <row r="954" spans="1:15" x14ac:dyDescent="0.35">
      <c r="A954" t="s">
        <v>210</v>
      </c>
      <c r="B954" t="s">
        <v>1748</v>
      </c>
      <c r="C954" t="s">
        <v>1749</v>
      </c>
      <c r="D954">
        <v>486751.33</v>
      </c>
      <c r="E954"/>
      <c r="F954">
        <v>486751.33</v>
      </c>
      <c r="G954"/>
      <c r="K954"/>
      <c r="L954"/>
      <c r="M954"/>
      <c r="N954">
        <v>486751.33</v>
      </c>
      <c r="O954"/>
    </row>
    <row r="955" spans="1:15" x14ac:dyDescent="0.35">
      <c r="A955" t="s">
        <v>210</v>
      </c>
      <c r="B955" t="s">
        <v>1750</v>
      </c>
      <c r="C955" t="s">
        <v>1751</v>
      </c>
      <c r="D955">
        <v>528875.67000000004</v>
      </c>
      <c r="E955"/>
      <c r="F955">
        <v>528875.67000000004</v>
      </c>
      <c r="G955"/>
      <c r="K955"/>
      <c r="L955"/>
      <c r="M955"/>
      <c r="N955">
        <v>528875.67000000004</v>
      </c>
      <c r="O955"/>
    </row>
    <row r="956" spans="1:15" x14ac:dyDescent="0.35">
      <c r="A956" t="s">
        <v>169</v>
      </c>
      <c r="B956" t="s">
        <v>1752</v>
      </c>
      <c r="C956" t="s">
        <v>1753</v>
      </c>
      <c r="D956">
        <v>66111.5</v>
      </c>
      <c r="E956"/>
      <c r="F956">
        <v>66111.5</v>
      </c>
      <c r="G956"/>
      <c r="K956"/>
      <c r="L956"/>
      <c r="M956"/>
      <c r="N956">
        <v>66111.5</v>
      </c>
      <c r="O956"/>
    </row>
    <row r="957" spans="1:15" x14ac:dyDescent="0.35">
      <c r="A957" t="s">
        <v>93</v>
      </c>
      <c r="B957" t="s">
        <v>1754</v>
      </c>
      <c r="C957" t="s">
        <v>1755</v>
      </c>
      <c r="D957">
        <v>24995.18</v>
      </c>
      <c r="E957"/>
      <c r="F957">
        <v>24995.18</v>
      </c>
      <c r="G957"/>
      <c r="K957"/>
      <c r="L957"/>
      <c r="M957"/>
      <c r="N957">
        <v>24995.18</v>
      </c>
      <c r="O957"/>
    </row>
    <row r="958" spans="1:15" x14ac:dyDescent="0.35">
      <c r="A958" t="s">
        <v>24</v>
      </c>
      <c r="B958" t="s">
        <v>1756</v>
      </c>
      <c r="C958" t="s">
        <v>1757</v>
      </c>
      <c r="D958">
        <v>85673.47</v>
      </c>
      <c r="E958"/>
      <c r="F958">
        <v>85673.47</v>
      </c>
      <c r="G958"/>
      <c r="K958"/>
      <c r="L958"/>
      <c r="M958"/>
      <c r="N958">
        <v>85673.47</v>
      </c>
      <c r="O958"/>
    </row>
    <row r="959" spans="1:15" x14ac:dyDescent="0.35">
      <c r="A959" t="s">
        <v>93</v>
      </c>
      <c r="B959" t="s">
        <v>1758</v>
      </c>
      <c r="C959" t="s">
        <v>1759</v>
      </c>
      <c r="D959">
        <v>251233.09</v>
      </c>
      <c r="E959"/>
      <c r="F959">
        <v>251233.09</v>
      </c>
      <c r="G959"/>
      <c r="K959"/>
      <c r="L959"/>
      <c r="M959"/>
      <c r="N959">
        <v>251233.09</v>
      </c>
      <c r="O959"/>
    </row>
    <row r="960" spans="1:15" x14ac:dyDescent="0.35">
      <c r="A960" t="s">
        <v>111</v>
      </c>
      <c r="B960" t="s">
        <v>1760</v>
      </c>
      <c r="C960" t="s">
        <v>1761</v>
      </c>
      <c r="D960">
        <v>213093.66</v>
      </c>
      <c r="E960"/>
      <c r="F960">
        <v>213093.66</v>
      </c>
      <c r="G960"/>
      <c r="K960"/>
      <c r="L960"/>
      <c r="M960"/>
      <c r="N960">
        <v>213093.66</v>
      </c>
      <c r="O960"/>
    </row>
    <row r="961" spans="1:15" x14ac:dyDescent="0.35">
      <c r="A961" t="s">
        <v>19</v>
      </c>
      <c r="B961" t="s">
        <v>1762</v>
      </c>
      <c r="C961" t="s">
        <v>1763</v>
      </c>
      <c r="D961">
        <v>4.5</v>
      </c>
      <c r="E961"/>
      <c r="F961">
        <v>4.5</v>
      </c>
      <c r="G961"/>
      <c r="K961"/>
      <c r="L961"/>
      <c r="M961"/>
      <c r="N961">
        <v>4.5</v>
      </c>
      <c r="O961"/>
    </row>
    <row r="962" spans="1:15" x14ac:dyDescent="0.35">
      <c r="A962" t="s">
        <v>36</v>
      </c>
      <c r="B962" t="s">
        <v>1764</v>
      </c>
      <c r="C962" t="s">
        <v>1765</v>
      </c>
      <c r="D962">
        <v>57.6</v>
      </c>
      <c r="E962"/>
      <c r="F962">
        <v>57.6</v>
      </c>
      <c r="G962"/>
      <c r="K962"/>
      <c r="L962"/>
      <c r="M962"/>
      <c r="N962">
        <v>57.6</v>
      </c>
      <c r="O962"/>
    </row>
    <row r="963" spans="1:15" x14ac:dyDescent="0.35">
      <c r="A963" t="s">
        <v>164</v>
      </c>
      <c r="B963" t="s">
        <v>1766</v>
      </c>
      <c r="C963" t="s">
        <v>1767</v>
      </c>
      <c r="D963">
        <v>84.79</v>
      </c>
      <c r="E963"/>
      <c r="F963">
        <v>84.79</v>
      </c>
      <c r="G963"/>
      <c r="K963"/>
      <c r="L963"/>
      <c r="M963"/>
      <c r="N963">
        <v>84.79</v>
      </c>
      <c r="O963"/>
    </row>
    <row r="964" spans="1:15" x14ac:dyDescent="0.35">
      <c r="A964" t="s">
        <v>30</v>
      </c>
      <c r="B964" t="s">
        <v>1768</v>
      </c>
      <c r="C964" t="s">
        <v>1769</v>
      </c>
      <c r="D964">
        <v>0.26</v>
      </c>
      <c r="E964"/>
      <c r="F964">
        <v>0.26</v>
      </c>
      <c r="G964"/>
      <c r="K964"/>
      <c r="L964"/>
      <c r="M964"/>
      <c r="N964">
        <v>0.26</v>
      </c>
      <c r="O964"/>
    </row>
    <row r="965" spans="1:15" x14ac:dyDescent="0.35">
      <c r="A965" t="s">
        <v>164</v>
      </c>
      <c r="B965" t="s">
        <v>1770</v>
      </c>
      <c r="C965" t="s">
        <v>1771</v>
      </c>
      <c r="D965">
        <v>29053.11</v>
      </c>
      <c r="E965"/>
      <c r="F965">
        <v>29053.11</v>
      </c>
      <c r="G965"/>
      <c r="K965"/>
      <c r="L965"/>
      <c r="M965"/>
      <c r="N965">
        <v>29053.11</v>
      </c>
      <c r="O965"/>
    </row>
    <row r="966" spans="1:15" x14ac:dyDescent="0.35">
      <c r="A966" t="s">
        <v>164</v>
      </c>
      <c r="B966" t="s">
        <v>1772</v>
      </c>
      <c r="C966" t="s">
        <v>1773</v>
      </c>
      <c r="D966">
        <v>107187.05</v>
      </c>
      <c r="E966"/>
      <c r="F966">
        <v>107187.05</v>
      </c>
      <c r="G966"/>
      <c r="K966"/>
      <c r="L966"/>
      <c r="M966"/>
      <c r="N966">
        <v>107187.05</v>
      </c>
      <c r="O966"/>
    </row>
    <row r="967" spans="1:15" x14ac:dyDescent="0.35">
      <c r="A967" t="s">
        <v>36</v>
      </c>
      <c r="B967" t="s">
        <v>1774</v>
      </c>
      <c r="C967" t="s">
        <v>1775</v>
      </c>
      <c r="D967">
        <v>16358.01</v>
      </c>
      <c r="E967"/>
      <c r="F967">
        <v>16358.01</v>
      </c>
      <c r="G967"/>
      <c r="K967"/>
      <c r="L967"/>
      <c r="M967"/>
      <c r="N967">
        <v>16358.01</v>
      </c>
      <c r="O967"/>
    </row>
    <row r="968" spans="1:15" x14ac:dyDescent="0.35">
      <c r="A968" t="s">
        <v>93</v>
      </c>
      <c r="B968" t="s">
        <v>1776</v>
      </c>
      <c r="C968" t="s">
        <v>1777</v>
      </c>
      <c r="D968">
        <v>63.23</v>
      </c>
      <c r="E968"/>
      <c r="F968">
        <v>63.23</v>
      </c>
      <c r="G968"/>
      <c r="K968"/>
      <c r="L968"/>
      <c r="M968"/>
      <c r="N968">
        <v>63.23</v>
      </c>
      <c r="O968"/>
    </row>
    <row r="969" spans="1:15" x14ac:dyDescent="0.35">
      <c r="A969" t="s">
        <v>93</v>
      </c>
      <c r="B969" t="s">
        <v>1778</v>
      </c>
      <c r="C969" t="s">
        <v>1779</v>
      </c>
      <c r="D969">
        <v>0.57999999999999996</v>
      </c>
      <c r="E969"/>
      <c r="F969">
        <v>0.57999999999999996</v>
      </c>
      <c r="G969"/>
      <c r="K969"/>
      <c r="L969"/>
      <c r="M969"/>
      <c r="N969">
        <v>0.57999999999999996</v>
      </c>
      <c r="O969"/>
    </row>
    <row r="970" spans="1:15" x14ac:dyDescent="0.35">
      <c r="A970" t="s">
        <v>16</v>
      </c>
      <c r="B970" t="s">
        <v>1780</v>
      </c>
      <c r="C970" t="s">
        <v>1781</v>
      </c>
      <c r="D970">
        <v>0.45</v>
      </c>
      <c r="E970"/>
      <c r="F970">
        <v>0.45</v>
      </c>
      <c r="G970"/>
      <c r="K970"/>
      <c r="L970"/>
      <c r="M970"/>
      <c r="N970">
        <v>0.45</v>
      </c>
      <c r="O970"/>
    </row>
    <row r="971" spans="1:15" x14ac:dyDescent="0.35">
      <c r="A971" t="s">
        <v>33</v>
      </c>
      <c r="B971" t="s">
        <v>1782</v>
      </c>
      <c r="C971" t="s">
        <v>1783</v>
      </c>
      <c r="D971">
        <v>460101.88</v>
      </c>
      <c r="E971"/>
      <c r="F971">
        <v>460101.88</v>
      </c>
      <c r="G971"/>
      <c r="K971"/>
      <c r="L971"/>
      <c r="M971"/>
      <c r="N971">
        <v>460101.88</v>
      </c>
      <c r="O971"/>
    </row>
    <row r="972" spans="1:15" x14ac:dyDescent="0.35">
      <c r="A972" t="s">
        <v>24</v>
      </c>
      <c r="B972" t="s">
        <v>1784</v>
      </c>
      <c r="C972" t="s">
        <v>1785</v>
      </c>
      <c r="D972">
        <v>151228.51</v>
      </c>
      <c r="E972"/>
      <c r="F972">
        <v>151228.51</v>
      </c>
      <c r="G972"/>
      <c r="K972"/>
      <c r="L972"/>
      <c r="M972"/>
      <c r="N972">
        <v>151228.51</v>
      </c>
      <c r="O972"/>
    </row>
    <row r="973" spans="1:15" x14ac:dyDescent="0.35">
      <c r="A973" t="s">
        <v>19</v>
      </c>
      <c r="B973" t="s">
        <v>1786</v>
      </c>
      <c r="C973" t="s">
        <v>1787</v>
      </c>
      <c r="D973">
        <v>378.88</v>
      </c>
      <c r="E973"/>
      <c r="F973">
        <v>378.88</v>
      </c>
      <c r="G973"/>
      <c r="K973"/>
      <c r="L973"/>
      <c r="M973"/>
      <c r="N973">
        <v>378.88</v>
      </c>
      <c r="O973"/>
    </row>
    <row r="974" spans="1:15" x14ac:dyDescent="0.35">
      <c r="A974" t="s">
        <v>16</v>
      </c>
      <c r="B974" t="s">
        <v>1788</v>
      </c>
      <c r="C974" t="s">
        <v>1789</v>
      </c>
      <c r="D974">
        <v>29032</v>
      </c>
      <c r="E974"/>
      <c r="F974">
        <v>29032</v>
      </c>
      <c r="G974"/>
      <c r="K974"/>
      <c r="L974"/>
      <c r="M974"/>
      <c r="N974">
        <v>29032</v>
      </c>
      <c r="O974"/>
    </row>
    <row r="975" spans="1:15" x14ac:dyDescent="0.35">
      <c r="A975" t="s">
        <v>93</v>
      </c>
      <c r="B975" t="s">
        <v>1790</v>
      </c>
      <c r="C975" t="s">
        <v>1791</v>
      </c>
      <c r="D975">
        <v>1180.1400000000001</v>
      </c>
      <c r="E975"/>
      <c r="F975">
        <v>1180.1400000000001</v>
      </c>
      <c r="G975"/>
      <c r="K975"/>
      <c r="L975"/>
      <c r="M975"/>
      <c r="N975">
        <v>1180.1400000000001</v>
      </c>
      <c r="O975"/>
    </row>
    <row r="976" spans="1:15" x14ac:dyDescent="0.35">
      <c r="A976" t="s">
        <v>24</v>
      </c>
      <c r="B976" t="s">
        <v>1792</v>
      </c>
      <c r="C976" t="s">
        <v>1793</v>
      </c>
      <c r="D976">
        <v>378483.68</v>
      </c>
      <c r="E976"/>
      <c r="F976">
        <v>378483.68</v>
      </c>
      <c r="G976"/>
      <c r="K976"/>
      <c r="L976"/>
      <c r="M976"/>
      <c r="N976">
        <v>378483.68</v>
      </c>
      <c r="O976"/>
    </row>
    <row r="977" spans="1:15" x14ac:dyDescent="0.35">
      <c r="A977" t="s">
        <v>19</v>
      </c>
      <c r="B977" t="s">
        <v>1794</v>
      </c>
      <c r="C977" t="s">
        <v>1795</v>
      </c>
      <c r="D977">
        <v>0.23</v>
      </c>
      <c r="E977"/>
      <c r="F977">
        <v>0.23</v>
      </c>
      <c r="G977"/>
      <c r="K977"/>
      <c r="L977"/>
      <c r="M977"/>
      <c r="N977">
        <v>0.23</v>
      </c>
      <c r="O977"/>
    </row>
    <row r="978" spans="1:15" x14ac:dyDescent="0.35">
      <c r="A978" t="s">
        <v>100</v>
      </c>
      <c r="B978" t="s">
        <v>1796</v>
      </c>
      <c r="C978" t="s">
        <v>1797</v>
      </c>
      <c r="D978">
        <v>222.75</v>
      </c>
      <c r="E978"/>
      <c r="F978">
        <v>222.75</v>
      </c>
      <c r="G978"/>
      <c r="K978"/>
      <c r="L978"/>
      <c r="M978"/>
      <c r="N978">
        <v>222.75</v>
      </c>
      <c r="O978"/>
    </row>
    <row r="979" spans="1:15" x14ac:dyDescent="0.35">
      <c r="A979" t="s">
        <v>93</v>
      </c>
      <c r="B979" t="s">
        <v>1798</v>
      </c>
      <c r="C979" t="s">
        <v>1799</v>
      </c>
      <c r="D979">
        <v>0.37</v>
      </c>
      <c r="E979"/>
      <c r="F979">
        <v>0.37</v>
      </c>
      <c r="G979"/>
      <c r="K979"/>
      <c r="L979"/>
      <c r="M979"/>
      <c r="N979">
        <v>0.37</v>
      </c>
      <c r="O979"/>
    </row>
    <row r="980" spans="1:15" x14ac:dyDescent="0.35">
      <c r="A980" t="s">
        <v>16</v>
      </c>
      <c r="B980" t="s">
        <v>1800</v>
      </c>
      <c r="C980" t="s">
        <v>1801</v>
      </c>
      <c r="D980">
        <v>16822.689999999999</v>
      </c>
      <c r="E980"/>
      <c r="F980">
        <v>16822.689999999999</v>
      </c>
      <c r="G980"/>
      <c r="K980"/>
      <c r="L980"/>
      <c r="M980"/>
      <c r="N980">
        <v>16822.689999999999</v>
      </c>
      <c r="O980"/>
    </row>
    <row r="981" spans="1:15" x14ac:dyDescent="0.35">
      <c r="A981" t="s">
        <v>275</v>
      </c>
      <c r="B981" t="s">
        <v>1802</v>
      </c>
      <c r="C981" t="s">
        <v>1803</v>
      </c>
      <c r="D981">
        <v>3422.38</v>
      </c>
      <c r="E981"/>
      <c r="F981">
        <v>3422.38</v>
      </c>
      <c r="G981"/>
      <c r="K981"/>
      <c r="L981"/>
      <c r="M981"/>
      <c r="N981">
        <v>3422.38</v>
      </c>
      <c r="O981"/>
    </row>
    <row r="982" spans="1:15" x14ac:dyDescent="0.35">
      <c r="A982" t="s">
        <v>169</v>
      </c>
      <c r="B982" t="s">
        <v>1804</v>
      </c>
      <c r="C982" t="s">
        <v>1805</v>
      </c>
      <c r="D982">
        <v>38075</v>
      </c>
      <c r="E982"/>
      <c r="F982">
        <v>38075</v>
      </c>
      <c r="G982"/>
      <c r="K982"/>
      <c r="L982"/>
      <c r="M982"/>
      <c r="N982">
        <v>38075</v>
      </c>
      <c r="O982"/>
    </row>
    <row r="983" spans="1:15" x14ac:dyDescent="0.35">
      <c r="A983" t="s">
        <v>169</v>
      </c>
      <c r="B983" t="s">
        <v>1806</v>
      </c>
      <c r="C983" t="s">
        <v>1807</v>
      </c>
      <c r="D983">
        <v>17215.599999999999</v>
      </c>
      <c r="E983"/>
      <c r="F983">
        <v>17215.599999999999</v>
      </c>
      <c r="G983"/>
      <c r="K983"/>
      <c r="L983"/>
      <c r="M983"/>
      <c r="N983">
        <v>17215.599999999999</v>
      </c>
      <c r="O983"/>
    </row>
    <row r="984" spans="1:15" x14ac:dyDescent="0.35">
      <c r="A984" t="s">
        <v>275</v>
      </c>
      <c r="B984" t="s">
        <v>1808</v>
      </c>
      <c r="C984" t="s">
        <v>1809</v>
      </c>
      <c r="D984">
        <v>39999.79</v>
      </c>
      <c r="E984"/>
      <c r="F984">
        <v>39999.79</v>
      </c>
      <c r="G984"/>
      <c r="K984"/>
      <c r="L984"/>
      <c r="M984"/>
      <c r="N984">
        <v>39999.79</v>
      </c>
      <c r="O984"/>
    </row>
    <row r="985" spans="1:15" x14ac:dyDescent="0.35">
      <c r="A985" t="s">
        <v>275</v>
      </c>
      <c r="B985" t="s">
        <v>1810</v>
      </c>
      <c r="C985" t="s">
        <v>1811</v>
      </c>
      <c r="D985">
        <v>29.31</v>
      </c>
      <c r="E985"/>
      <c r="F985">
        <v>29.31</v>
      </c>
      <c r="G985"/>
      <c r="K985"/>
      <c r="L985"/>
      <c r="M985"/>
      <c r="N985">
        <v>29.31</v>
      </c>
      <c r="O985"/>
    </row>
    <row r="986" spans="1:15" x14ac:dyDescent="0.35">
      <c r="A986" t="s">
        <v>24</v>
      </c>
      <c r="B986" t="s">
        <v>1812</v>
      </c>
      <c r="C986" t="s">
        <v>1813</v>
      </c>
      <c r="D986">
        <v>213754.75</v>
      </c>
      <c r="E986"/>
      <c r="F986">
        <v>213754.75</v>
      </c>
      <c r="G986"/>
      <c r="K986"/>
      <c r="L986"/>
      <c r="M986"/>
      <c r="N986">
        <v>213754.75</v>
      </c>
      <c r="O986"/>
    </row>
    <row r="987" spans="1:15" x14ac:dyDescent="0.35">
      <c r="A987" t="s">
        <v>46</v>
      </c>
      <c r="B987" t="s">
        <v>1814</v>
      </c>
      <c r="C987" t="s">
        <v>1815</v>
      </c>
      <c r="D987">
        <v>57.24</v>
      </c>
      <c r="E987"/>
      <c r="F987">
        <v>57.24</v>
      </c>
      <c r="G987"/>
      <c r="K987"/>
      <c r="L987"/>
      <c r="M987"/>
      <c r="N987">
        <v>57.24</v>
      </c>
      <c r="O987"/>
    </row>
    <row r="988" spans="1:15" x14ac:dyDescent="0.35">
      <c r="A988" t="s">
        <v>30</v>
      </c>
      <c r="B988" t="s">
        <v>1816</v>
      </c>
      <c r="C988" t="s">
        <v>1817</v>
      </c>
      <c r="D988">
        <v>48592.509999999995</v>
      </c>
      <c r="E988"/>
      <c r="F988">
        <v>48592.509999999995</v>
      </c>
      <c r="G988"/>
      <c r="K988"/>
      <c r="L988"/>
      <c r="M988"/>
      <c r="N988">
        <v>48592.509999999995</v>
      </c>
      <c r="O988"/>
    </row>
    <row r="989" spans="1:15" x14ac:dyDescent="0.35">
      <c r="A989" t="s">
        <v>36</v>
      </c>
      <c r="B989" t="s">
        <v>1818</v>
      </c>
      <c r="C989" t="s">
        <v>1819</v>
      </c>
      <c r="D989">
        <v>25.73</v>
      </c>
      <c r="E989"/>
      <c r="F989">
        <v>25.73</v>
      </c>
      <c r="G989"/>
      <c r="K989"/>
      <c r="L989"/>
      <c r="M989"/>
      <c r="N989">
        <v>25.73</v>
      </c>
      <c r="O989"/>
    </row>
    <row r="990" spans="1:15" x14ac:dyDescent="0.35">
      <c r="A990" t="s">
        <v>24</v>
      </c>
      <c r="B990" t="s">
        <v>1820</v>
      </c>
      <c r="C990" t="s">
        <v>1821</v>
      </c>
      <c r="D990">
        <v>559437.72</v>
      </c>
      <c r="E990"/>
      <c r="F990">
        <v>559437.72</v>
      </c>
      <c r="G990"/>
      <c r="K990"/>
      <c r="L990"/>
      <c r="M990"/>
      <c r="N990">
        <v>559437.72</v>
      </c>
      <c r="O990"/>
    </row>
    <row r="991" spans="1:15" x14ac:dyDescent="0.35">
      <c r="A991" t="s">
        <v>275</v>
      </c>
      <c r="B991" t="s">
        <v>1822</v>
      </c>
      <c r="C991" t="s">
        <v>1823</v>
      </c>
      <c r="D991">
        <v>524.55999999999995</v>
      </c>
      <c r="E991"/>
      <c r="F991">
        <v>524.55999999999995</v>
      </c>
      <c r="G991"/>
      <c r="K991"/>
      <c r="L991"/>
      <c r="M991"/>
      <c r="N991">
        <v>524.55999999999995</v>
      </c>
      <c r="O991"/>
    </row>
    <row r="992" spans="1:15" x14ac:dyDescent="0.35">
      <c r="A992" t="s">
        <v>275</v>
      </c>
      <c r="B992" t="s">
        <v>1824</v>
      </c>
      <c r="C992" t="s">
        <v>1825</v>
      </c>
      <c r="D992">
        <v>33721.82</v>
      </c>
      <c r="E992"/>
      <c r="F992">
        <v>33721.82</v>
      </c>
      <c r="G992"/>
      <c r="K992"/>
      <c r="L992"/>
      <c r="M992"/>
      <c r="N992">
        <v>33721.82</v>
      </c>
      <c r="O992"/>
    </row>
    <row r="993" spans="1:15" x14ac:dyDescent="0.35">
      <c r="A993" t="s">
        <v>328</v>
      </c>
      <c r="B993" t="s">
        <v>1826</v>
      </c>
      <c r="C993" t="s">
        <v>1827</v>
      </c>
      <c r="D993">
        <v>14.86</v>
      </c>
      <c r="E993"/>
      <c r="F993">
        <v>14.86</v>
      </c>
      <c r="G993"/>
      <c r="K993"/>
      <c r="L993"/>
      <c r="M993"/>
      <c r="N993">
        <v>14.86</v>
      </c>
      <c r="O993"/>
    </row>
    <row r="994" spans="1:15" x14ac:dyDescent="0.35">
      <c r="A994" t="s">
        <v>36</v>
      </c>
      <c r="B994" t="s">
        <v>1828</v>
      </c>
      <c r="C994" t="s">
        <v>1829</v>
      </c>
      <c r="D994">
        <v>183995.53</v>
      </c>
      <c r="E994"/>
      <c r="F994">
        <v>183995.53</v>
      </c>
      <c r="G994"/>
      <c r="K994"/>
      <c r="L994"/>
      <c r="M994"/>
      <c r="N994">
        <v>183995.53</v>
      </c>
      <c r="O994"/>
    </row>
    <row r="995" spans="1:15" x14ac:dyDescent="0.35">
      <c r="A995" t="s">
        <v>24</v>
      </c>
      <c r="B995" t="s">
        <v>1830</v>
      </c>
      <c r="C995" t="s">
        <v>1831</v>
      </c>
      <c r="D995">
        <v>119522.07</v>
      </c>
      <c r="E995"/>
      <c r="F995">
        <v>119522.07</v>
      </c>
      <c r="G995"/>
      <c r="K995"/>
      <c r="L995"/>
      <c r="M995"/>
      <c r="N995">
        <v>119522.07</v>
      </c>
      <c r="O995"/>
    </row>
    <row r="996" spans="1:15" x14ac:dyDescent="0.35">
      <c r="A996" t="s">
        <v>210</v>
      </c>
      <c r="B996" t="s">
        <v>1832</v>
      </c>
      <c r="C996" t="s">
        <v>1833</v>
      </c>
      <c r="D996">
        <v>37.74</v>
      </c>
      <c r="E996"/>
      <c r="F996">
        <v>37.74</v>
      </c>
      <c r="G996"/>
      <c r="K996"/>
      <c r="L996"/>
      <c r="M996"/>
      <c r="N996">
        <v>37.74</v>
      </c>
      <c r="O996"/>
    </row>
    <row r="997" spans="1:15" x14ac:dyDescent="0.35">
      <c r="A997" t="s">
        <v>16</v>
      </c>
      <c r="B997" t="s">
        <v>1834</v>
      </c>
      <c r="C997" t="s">
        <v>1835</v>
      </c>
      <c r="D997">
        <v>91.86</v>
      </c>
      <c r="E997"/>
      <c r="F997">
        <v>91.86</v>
      </c>
      <c r="G997"/>
      <c r="K997"/>
      <c r="L997"/>
      <c r="M997"/>
      <c r="N997">
        <v>91.86</v>
      </c>
      <c r="O997"/>
    </row>
    <row r="998" spans="1:15" x14ac:dyDescent="0.35">
      <c r="A998" t="s">
        <v>46</v>
      </c>
      <c r="B998" t="s">
        <v>1836</v>
      </c>
      <c r="C998" t="s">
        <v>1837</v>
      </c>
      <c r="D998">
        <v>110.53</v>
      </c>
      <c r="E998"/>
      <c r="F998">
        <v>110.53</v>
      </c>
      <c r="G998"/>
      <c r="K998"/>
      <c r="L998"/>
      <c r="M998"/>
      <c r="N998">
        <v>110.53</v>
      </c>
      <c r="O998"/>
    </row>
    <row r="999" spans="1:15" x14ac:dyDescent="0.35">
      <c r="A999" t="s">
        <v>36</v>
      </c>
      <c r="B999" t="s">
        <v>1838</v>
      </c>
      <c r="C999" t="s">
        <v>1839</v>
      </c>
      <c r="D999">
        <v>229525.16</v>
      </c>
      <c r="E999"/>
      <c r="F999">
        <v>229525.16</v>
      </c>
      <c r="G999"/>
      <c r="K999"/>
      <c r="L999"/>
      <c r="M999"/>
      <c r="N999">
        <v>229525.16</v>
      </c>
      <c r="O999"/>
    </row>
    <row r="1000" spans="1:15" x14ac:dyDescent="0.35">
      <c r="A1000" t="s">
        <v>24</v>
      </c>
      <c r="B1000" t="s">
        <v>1840</v>
      </c>
      <c r="C1000" t="s">
        <v>1841</v>
      </c>
      <c r="D1000">
        <v>228923.03</v>
      </c>
      <c r="E1000"/>
      <c r="F1000">
        <v>228923.03</v>
      </c>
      <c r="G1000"/>
      <c r="K1000"/>
      <c r="L1000"/>
      <c r="M1000"/>
      <c r="N1000">
        <v>228923.03</v>
      </c>
      <c r="O1000"/>
    </row>
    <row r="1001" spans="1:15" x14ac:dyDescent="0.35">
      <c r="A1001" t="s">
        <v>41</v>
      </c>
      <c r="B1001" t="s">
        <v>1842</v>
      </c>
      <c r="C1001" t="s">
        <v>1843</v>
      </c>
      <c r="D1001">
        <v>590167.23</v>
      </c>
      <c r="E1001"/>
      <c r="F1001">
        <v>590167.23</v>
      </c>
      <c r="G1001"/>
      <c r="K1001"/>
      <c r="L1001"/>
      <c r="M1001"/>
      <c r="N1001">
        <v>590167.23</v>
      </c>
      <c r="O1001"/>
    </row>
    <row r="1002" spans="1:15" x14ac:dyDescent="0.35">
      <c r="A1002" t="s">
        <v>24</v>
      </c>
      <c r="B1002" t="s">
        <v>1844</v>
      </c>
      <c r="C1002" t="s">
        <v>1845</v>
      </c>
      <c r="D1002">
        <v>59.33</v>
      </c>
      <c r="E1002"/>
      <c r="F1002">
        <v>59.33</v>
      </c>
      <c r="G1002"/>
      <c r="K1002"/>
      <c r="L1002"/>
      <c r="M1002"/>
      <c r="N1002">
        <v>59.33</v>
      </c>
      <c r="O1002"/>
    </row>
    <row r="1003" spans="1:15" x14ac:dyDescent="0.35">
      <c r="A1003" t="s">
        <v>88</v>
      </c>
      <c r="B1003" t="s">
        <v>1846</v>
      </c>
      <c r="C1003" t="s">
        <v>1847</v>
      </c>
      <c r="D1003">
        <v>0.31</v>
      </c>
      <c r="E1003"/>
      <c r="F1003">
        <v>0.31</v>
      </c>
      <c r="G1003"/>
      <c r="K1003"/>
      <c r="L1003"/>
      <c r="M1003"/>
      <c r="N1003">
        <v>0.31</v>
      </c>
      <c r="O1003"/>
    </row>
    <row r="1004" spans="1:15" x14ac:dyDescent="0.35">
      <c r="A1004" t="s">
        <v>19</v>
      </c>
      <c r="B1004" t="s">
        <v>1848</v>
      </c>
      <c r="C1004" t="s">
        <v>1849</v>
      </c>
      <c r="D1004">
        <v>0.53</v>
      </c>
      <c r="E1004"/>
      <c r="F1004">
        <v>0.53</v>
      </c>
      <c r="G1004"/>
      <c r="K1004"/>
      <c r="L1004"/>
      <c r="M1004"/>
      <c r="N1004">
        <v>0.53</v>
      </c>
      <c r="O1004"/>
    </row>
    <row r="1005" spans="1:15" x14ac:dyDescent="0.35">
      <c r="A1005" t="s">
        <v>16</v>
      </c>
      <c r="B1005" t="s">
        <v>1850</v>
      </c>
      <c r="C1005" t="s">
        <v>1851</v>
      </c>
      <c r="D1005">
        <v>398826.38000000006</v>
      </c>
      <c r="E1005"/>
      <c r="F1005">
        <v>398826.38000000006</v>
      </c>
      <c r="G1005"/>
      <c r="K1005"/>
      <c r="L1005"/>
      <c r="M1005"/>
      <c r="N1005">
        <v>398826.38000000006</v>
      </c>
      <c r="O1005"/>
    </row>
    <row r="1006" spans="1:15" x14ac:dyDescent="0.35">
      <c r="A1006" t="s">
        <v>93</v>
      </c>
      <c r="B1006" t="s">
        <v>1852</v>
      </c>
      <c r="C1006" t="s">
        <v>1853</v>
      </c>
      <c r="D1006">
        <v>48.03</v>
      </c>
      <c r="E1006"/>
      <c r="F1006">
        <v>48.03</v>
      </c>
      <c r="G1006"/>
      <c r="K1006"/>
      <c r="L1006"/>
      <c r="M1006"/>
      <c r="N1006">
        <v>48.03</v>
      </c>
      <c r="O1006"/>
    </row>
    <row r="1007" spans="1:15" x14ac:dyDescent="0.35">
      <c r="A1007" t="s">
        <v>19</v>
      </c>
      <c r="B1007" t="s">
        <v>1854</v>
      </c>
      <c r="C1007" t="s">
        <v>1855</v>
      </c>
      <c r="D1007">
        <v>106683.71</v>
      </c>
      <c r="E1007"/>
      <c r="F1007">
        <v>106683.71</v>
      </c>
      <c r="G1007"/>
      <c r="K1007"/>
      <c r="L1007"/>
      <c r="M1007"/>
      <c r="N1007">
        <v>106683.71</v>
      </c>
      <c r="O1007"/>
    </row>
    <row r="1008" spans="1:15" x14ac:dyDescent="0.35">
      <c r="A1008" t="s">
        <v>36</v>
      </c>
      <c r="B1008" t="s">
        <v>1856</v>
      </c>
      <c r="C1008" t="s">
        <v>1857</v>
      </c>
      <c r="D1008">
        <v>35566.050000000003</v>
      </c>
      <c r="E1008"/>
      <c r="F1008">
        <v>35566.050000000003</v>
      </c>
      <c r="G1008"/>
      <c r="K1008"/>
      <c r="L1008"/>
      <c r="M1008"/>
      <c r="N1008">
        <v>35566.050000000003</v>
      </c>
      <c r="O1008"/>
    </row>
    <row r="1009" spans="1:15" x14ac:dyDescent="0.35">
      <c r="A1009" t="s">
        <v>19</v>
      </c>
      <c r="B1009" t="s">
        <v>1858</v>
      </c>
      <c r="C1009" t="s">
        <v>1859</v>
      </c>
      <c r="D1009">
        <v>59.22</v>
      </c>
      <c r="E1009"/>
      <c r="F1009">
        <v>59.22</v>
      </c>
      <c r="G1009"/>
      <c r="K1009"/>
      <c r="L1009"/>
      <c r="M1009"/>
      <c r="N1009">
        <v>59.22</v>
      </c>
      <c r="O1009"/>
    </row>
    <row r="1010" spans="1:15" x14ac:dyDescent="0.35">
      <c r="A1010" t="s">
        <v>93</v>
      </c>
      <c r="B1010" t="s">
        <v>1862</v>
      </c>
      <c r="C1010" t="s">
        <v>1863</v>
      </c>
      <c r="D1010">
        <v>58.39</v>
      </c>
      <c r="E1010"/>
      <c r="F1010">
        <v>58.39</v>
      </c>
      <c r="G1010"/>
      <c r="K1010"/>
      <c r="L1010"/>
      <c r="M1010"/>
      <c r="N1010">
        <v>58.39</v>
      </c>
      <c r="O1010"/>
    </row>
    <row r="1011" spans="1:15" x14ac:dyDescent="0.35">
      <c r="A1011" t="s">
        <v>36</v>
      </c>
      <c r="B1011" t="s">
        <v>1864</v>
      </c>
      <c r="C1011" t="s">
        <v>1865</v>
      </c>
      <c r="D1011">
        <v>40745.300000000003</v>
      </c>
      <c r="E1011"/>
      <c r="F1011">
        <v>40745.300000000003</v>
      </c>
      <c r="G1011"/>
      <c r="K1011"/>
      <c r="L1011"/>
      <c r="M1011"/>
      <c r="N1011">
        <v>40745.300000000003</v>
      </c>
      <c r="O1011"/>
    </row>
    <row r="1012" spans="1:15" x14ac:dyDescent="0.35">
      <c r="A1012" t="s">
        <v>30</v>
      </c>
      <c r="B1012" t="s">
        <v>1866</v>
      </c>
      <c r="C1012" t="s">
        <v>1867</v>
      </c>
      <c r="D1012">
        <v>14.4</v>
      </c>
      <c r="E1012"/>
      <c r="F1012">
        <v>14.4</v>
      </c>
      <c r="G1012"/>
      <c r="K1012"/>
      <c r="L1012"/>
      <c r="M1012"/>
      <c r="N1012">
        <v>14.4</v>
      </c>
      <c r="O1012"/>
    </row>
    <row r="1013" spans="1:15" x14ac:dyDescent="0.35">
      <c r="A1013" t="s">
        <v>27</v>
      </c>
      <c r="B1013" t="s">
        <v>1868</v>
      </c>
      <c r="C1013" t="s">
        <v>1869</v>
      </c>
      <c r="D1013">
        <v>303.22000000000003</v>
      </c>
      <c r="E1013"/>
      <c r="F1013">
        <v>303.22000000000003</v>
      </c>
      <c r="G1013"/>
      <c r="K1013"/>
      <c r="L1013"/>
      <c r="M1013"/>
      <c r="N1013">
        <v>303.22000000000003</v>
      </c>
      <c r="O1013"/>
    </row>
    <row r="1014" spans="1:15" x14ac:dyDescent="0.35">
      <c r="A1014" t="s">
        <v>33</v>
      </c>
      <c r="B1014" t="s">
        <v>1870</v>
      </c>
      <c r="C1014" t="s">
        <v>1871</v>
      </c>
      <c r="D1014">
        <v>0.39</v>
      </c>
      <c r="E1014"/>
      <c r="F1014">
        <v>0.39</v>
      </c>
      <c r="G1014"/>
      <c r="K1014"/>
      <c r="L1014"/>
      <c r="M1014"/>
      <c r="N1014">
        <v>0.39</v>
      </c>
      <c r="O1014"/>
    </row>
    <row r="1015" spans="1:15" x14ac:dyDescent="0.35">
      <c r="A1015" t="s">
        <v>19</v>
      </c>
      <c r="B1015" t="s">
        <v>1872</v>
      </c>
      <c r="C1015" t="s">
        <v>1873</v>
      </c>
      <c r="D1015">
        <v>0.03</v>
      </c>
      <c r="E1015"/>
      <c r="F1015">
        <v>0.03</v>
      </c>
      <c r="G1015"/>
      <c r="K1015"/>
      <c r="L1015"/>
      <c r="M1015"/>
      <c r="N1015">
        <v>0.03</v>
      </c>
      <c r="O1015"/>
    </row>
    <row r="1016" spans="1:15" x14ac:dyDescent="0.35">
      <c r="A1016" t="s">
        <v>93</v>
      </c>
      <c r="B1016" t="s">
        <v>1874</v>
      </c>
      <c r="C1016" t="s">
        <v>1875</v>
      </c>
      <c r="D1016">
        <v>722.22</v>
      </c>
      <c r="E1016"/>
      <c r="F1016">
        <v>722.22</v>
      </c>
      <c r="G1016"/>
      <c r="K1016"/>
      <c r="L1016"/>
      <c r="M1016"/>
      <c r="N1016">
        <v>722.22</v>
      </c>
      <c r="O1016"/>
    </row>
    <row r="1017" spans="1:15" x14ac:dyDescent="0.35">
      <c r="A1017" t="s">
        <v>36</v>
      </c>
      <c r="B1017" t="s">
        <v>1876</v>
      </c>
      <c r="C1017" t="s">
        <v>1877</v>
      </c>
      <c r="D1017">
        <v>249.33</v>
      </c>
      <c r="E1017"/>
      <c r="F1017">
        <v>249.33</v>
      </c>
      <c r="G1017"/>
      <c r="K1017"/>
      <c r="L1017"/>
      <c r="M1017"/>
      <c r="N1017">
        <v>249.33</v>
      </c>
      <c r="O1017"/>
    </row>
    <row r="1018" spans="1:15" x14ac:dyDescent="0.35">
      <c r="A1018" t="s">
        <v>24</v>
      </c>
      <c r="B1018" t="s">
        <v>1878</v>
      </c>
      <c r="C1018" t="s">
        <v>1879</v>
      </c>
      <c r="D1018">
        <v>125509.99</v>
      </c>
      <c r="E1018"/>
      <c r="F1018">
        <v>125509.99</v>
      </c>
      <c r="G1018"/>
      <c r="K1018"/>
      <c r="L1018"/>
      <c r="M1018"/>
      <c r="N1018">
        <v>125509.99</v>
      </c>
      <c r="O1018"/>
    </row>
    <row r="1019" spans="1:15" x14ac:dyDescent="0.35">
      <c r="A1019" t="s">
        <v>46</v>
      </c>
      <c r="B1019" t="s">
        <v>1880</v>
      </c>
      <c r="C1019" t="s">
        <v>1881</v>
      </c>
      <c r="D1019">
        <v>0.15</v>
      </c>
      <c r="E1019"/>
      <c r="F1019">
        <v>0.15</v>
      </c>
      <c r="G1019"/>
      <c r="K1019"/>
      <c r="L1019"/>
      <c r="M1019"/>
      <c r="N1019">
        <v>0.15</v>
      </c>
      <c r="O1019"/>
    </row>
    <row r="1020" spans="1:15" x14ac:dyDescent="0.35">
      <c r="A1020" t="s">
        <v>46</v>
      </c>
      <c r="B1020" t="s">
        <v>1882</v>
      </c>
      <c r="C1020" t="s">
        <v>1883</v>
      </c>
      <c r="D1020">
        <v>0.66</v>
      </c>
      <c r="E1020"/>
      <c r="F1020">
        <v>0.66</v>
      </c>
      <c r="G1020"/>
      <c r="K1020"/>
      <c r="L1020"/>
      <c r="M1020"/>
      <c r="N1020">
        <v>0.66</v>
      </c>
      <c r="O1020"/>
    </row>
    <row r="1021" spans="1:15" x14ac:dyDescent="0.35">
      <c r="A1021" t="s">
        <v>19</v>
      </c>
      <c r="B1021" t="s">
        <v>1884</v>
      </c>
      <c r="C1021" t="s">
        <v>1885</v>
      </c>
      <c r="D1021">
        <v>58.69</v>
      </c>
      <c r="E1021"/>
      <c r="F1021">
        <v>58.69</v>
      </c>
      <c r="G1021"/>
      <c r="K1021"/>
      <c r="L1021"/>
      <c r="M1021"/>
      <c r="N1021">
        <v>58.69</v>
      </c>
      <c r="O1021"/>
    </row>
    <row r="1022" spans="1:15" x14ac:dyDescent="0.35">
      <c r="A1022" t="s">
        <v>41</v>
      </c>
      <c r="B1022" t="s">
        <v>1886</v>
      </c>
      <c r="C1022" t="s">
        <v>1887</v>
      </c>
      <c r="D1022">
        <v>328.94</v>
      </c>
      <c r="E1022"/>
      <c r="F1022">
        <v>328.94</v>
      </c>
      <c r="G1022"/>
      <c r="K1022"/>
      <c r="L1022"/>
      <c r="M1022"/>
      <c r="N1022">
        <v>328.94</v>
      </c>
      <c r="O1022"/>
    </row>
    <row r="1023" spans="1:15" x14ac:dyDescent="0.35">
      <c r="A1023" t="s">
        <v>36</v>
      </c>
      <c r="B1023" t="s">
        <v>1888</v>
      </c>
      <c r="C1023" t="s">
        <v>1889</v>
      </c>
      <c r="D1023">
        <v>28119.81</v>
      </c>
      <c r="E1023"/>
      <c r="F1023">
        <v>28119.81</v>
      </c>
      <c r="G1023"/>
      <c r="K1023"/>
      <c r="L1023"/>
      <c r="M1023"/>
      <c r="N1023">
        <v>28119.81</v>
      </c>
      <c r="O1023"/>
    </row>
    <row r="1024" spans="1:15" x14ac:dyDescent="0.35">
      <c r="A1024" t="s">
        <v>93</v>
      </c>
      <c r="B1024" t="s">
        <v>1890</v>
      </c>
      <c r="C1024" t="s">
        <v>1891</v>
      </c>
      <c r="D1024">
        <v>1931.09</v>
      </c>
      <c r="E1024"/>
      <c r="F1024">
        <v>1931.09</v>
      </c>
      <c r="G1024"/>
      <c r="K1024"/>
      <c r="L1024"/>
      <c r="M1024"/>
      <c r="N1024">
        <v>1931.09</v>
      </c>
      <c r="O1024"/>
    </row>
    <row r="1025" spans="1:15" x14ac:dyDescent="0.35">
      <c r="A1025" t="s">
        <v>24</v>
      </c>
      <c r="B1025" t="s">
        <v>1892</v>
      </c>
      <c r="C1025" t="s">
        <v>1893</v>
      </c>
      <c r="D1025">
        <v>196208.98</v>
      </c>
      <c r="E1025"/>
      <c r="F1025">
        <v>196208.98</v>
      </c>
      <c r="G1025"/>
      <c r="K1025"/>
      <c r="L1025"/>
      <c r="M1025"/>
      <c r="N1025">
        <v>196208.98</v>
      </c>
      <c r="O1025"/>
    </row>
    <row r="1026" spans="1:15" x14ac:dyDescent="0.35">
      <c r="A1026" t="s">
        <v>93</v>
      </c>
      <c r="B1026" t="s">
        <v>1894</v>
      </c>
      <c r="C1026" t="s">
        <v>1895</v>
      </c>
      <c r="D1026">
        <v>0.16</v>
      </c>
      <c r="E1026"/>
      <c r="F1026">
        <v>0.16</v>
      </c>
      <c r="G1026"/>
      <c r="K1026"/>
      <c r="L1026"/>
      <c r="M1026"/>
      <c r="N1026">
        <v>0.16</v>
      </c>
      <c r="O1026"/>
    </row>
    <row r="1027" spans="1:15" x14ac:dyDescent="0.35">
      <c r="A1027" t="s">
        <v>24</v>
      </c>
      <c r="B1027" t="s">
        <v>1896</v>
      </c>
      <c r="C1027" t="s">
        <v>1897</v>
      </c>
      <c r="D1027">
        <v>15488.5</v>
      </c>
      <c r="E1027"/>
      <c r="F1027">
        <v>15488.5</v>
      </c>
      <c r="G1027"/>
      <c r="K1027"/>
      <c r="L1027"/>
      <c r="M1027"/>
      <c r="N1027">
        <v>15488.5</v>
      </c>
      <c r="O1027"/>
    </row>
    <row r="1028" spans="1:15" x14ac:dyDescent="0.35">
      <c r="A1028" t="s">
        <v>19</v>
      </c>
      <c r="B1028" t="s">
        <v>1898</v>
      </c>
      <c r="C1028" t="s">
        <v>1899</v>
      </c>
      <c r="D1028">
        <v>788357.3</v>
      </c>
      <c r="E1028"/>
      <c r="F1028">
        <v>788357.3</v>
      </c>
      <c r="G1028"/>
      <c r="K1028"/>
      <c r="L1028"/>
      <c r="M1028"/>
      <c r="N1028">
        <v>788357.3</v>
      </c>
      <c r="O1028"/>
    </row>
    <row r="1029" spans="1:15" x14ac:dyDescent="0.35">
      <c r="A1029" t="s">
        <v>93</v>
      </c>
      <c r="B1029" t="s">
        <v>1900</v>
      </c>
      <c r="C1029" t="s">
        <v>1901</v>
      </c>
      <c r="D1029">
        <v>0.37</v>
      </c>
      <c r="E1029"/>
      <c r="F1029">
        <v>0.37</v>
      </c>
      <c r="G1029"/>
      <c r="K1029"/>
      <c r="L1029"/>
      <c r="M1029"/>
      <c r="N1029">
        <v>0.37</v>
      </c>
      <c r="O1029"/>
    </row>
    <row r="1030" spans="1:15" x14ac:dyDescent="0.35">
      <c r="A1030" t="s">
        <v>46</v>
      </c>
      <c r="B1030" t="s">
        <v>1902</v>
      </c>
      <c r="C1030" t="s">
        <v>1903</v>
      </c>
      <c r="D1030">
        <v>324.35000000000002</v>
      </c>
      <c r="E1030"/>
      <c r="F1030">
        <v>324.35000000000002</v>
      </c>
      <c r="G1030"/>
      <c r="K1030"/>
      <c r="L1030"/>
      <c r="M1030"/>
      <c r="N1030">
        <v>324.35000000000002</v>
      </c>
      <c r="O1030"/>
    </row>
    <row r="1031" spans="1:15" x14ac:dyDescent="0.35">
      <c r="A1031" t="s">
        <v>41</v>
      </c>
      <c r="B1031" t="s">
        <v>1904</v>
      </c>
      <c r="C1031" t="s">
        <v>1905</v>
      </c>
      <c r="D1031">
        <v>0.32</v>
      </c>
      <c r="E1031"/>
      <c r="F1031">
        <v>0.32</v>
      </c>
      <c r="G1031"/>
      <c r="K1031"/>
      <c r="L1031"/>
      <c r="M1031"/>
      <c r="N1031">
        <v>0.32</v>
      </c>
      <c r="O1031"/>
    </row>
    <row r="1032" spans="1:15" x14ac:dyDescent="0.35">
      <c r="A1032" t="s">
        <v>93</v>
      </c>
      <c r="B1032" t="s">
        <v>1906</v>
      </c>
      <c r="C1032" t="s">
        <v>1907</v>
      </c>
      <c r="D1032">
        <v>381.01</v>
      </c>
      <c r="E1032"/>
      <c r="F1032">
        <v>381.01</v>
      </c>
      <c r="G1032"/>
      <c r="K1032"/>
      <c r="L1032"/>
      <c r="M1032"/>
      <c r="N1032">
        <v>381.01</v>
      </c>
      <c r="O1032"/>
    </row>
    <row r="1033" spans="1:15" x14ac:dyDescent="0.35">
      <c r="A1033" t="s">
        <v>111</v>
      </c>
      <c r="B1033" t="s">
        <v>1908</v>
      </c>
      <c r="C1033" t="s">
        <v>1909</v>
      </c>
      <c r="D1033">
        <v>601761.75</v>
      </c>
      <c r="E1033"/>
      <c r="F1033">
        <v>601761.75</v>
      </c>
      <c r="G1033"/>
      <c r="K1033"/>
      <c r="L1033"/>
      <c r="M1033"/>
      <c r="N1033">
        <v>601761.75</v>
      </c>
      <c r="O1033"/>
    </row>
    <row r="1034" spans="1:15" x14ac:dyDescent="0.35">
      <c r="A1034" t="s">
        <v>41</v>
      </c>
      <c r="B1034" t="s">
        <v>1910</v>
      </c>
      <c r="C1034" t="s">
        <v>1911</v>
      </c>
      <c r="D1034">
        <v>31.66</v>
      </c>
      <c r="E1034"/>
      <c r="F1034">
        <v>31.66</v>
      </c>
      <c r="G1034"/>
      <c r="K1034"/>
      <c r="L1034"/>
      <c r="M1034"/>
      <c r="N1034">
        <v>31.66</v>
      </c>
      <c r="O1034"/>
    </row>
    <row r="1035" spans="1:15" x14ac:dyDescent="0.35">
      <c r="A1035" t="s">
        <v>93</v>
      </c>
      <c r="B1035" t="s">
        <v>1912</v>
      </c>
      <c r="C1035" t="s">
        <v>1913</v>
      </c>
      <c r="D1035">
        <v>1.41</v>
      </c>
      <c r="E1035"/>
      <c r="F1035">
        <v>1.41</v>
      </c>
      <c r="G1035"/>
      <c r="K1035"/>
      <c r="L1035"/>
      <c r="M1035"/>
      <c r="N1035">
        <v>1.41</v>
      </c>
      <c r="O1035"/>
    </row>
    <row r="1036" spans="1:15" x14ac:dyDescent="0.35">
      <c r="A1036" t="s">
        <v>93</v>
      </c>
      <c r="B1036" t="s">
        <v>1914</v>
      </c>
      <c r="C1036" t="s">
        <v>1915</v>
      </c>
      <c r="D1036">
        <v>0.08</v>
      </c>
      <c r="E1036"/>
      <c r="F1036">
        <v>0.08</v>
      </c>
      <c r="G1036"/>
      <c r="K1036"/>
      <c r="L1036"/>
      <c r="M1036"/>
      <c r="N1036">
        <v>0.08</v>
      </c>
      <c r="O1036"/>
    </row>
    <row r="1037" spans="1:15" x14ac:dyDescent="0.35">
      <c r="A1037" t="s">
        <v>46</v>
      </c>
      <c r="B1037" t="s">
        <v>1916</v>
      </c>
      <c r="C1037" t="s">
        <v>1917</v>
      </c>
      <c r="D1037">
        <v>79</v>
      </c>
      <c r="E1037"/>
      <c r="F1037">
        <v>79</v>
      </c>
      <c r="G1037"/>
      <c r="K1037"/>
      <c r="L1037"/>
      <c r="M1037"/>
      <c r="N1037">
        <v>79</v>
      </c>
      <c r="O1037"/>
    </row>
    <row r="1038" spans="1:15" x14ac:dyDescent="0.35">
      <c r="A1038" t="s">
        <v>41</v>
      </c>
      <c r="B1038" t="s">
        <v>1918</v>
      </c>
      <c r="C1038" t="s">
        <v>1919</v>
      </c>
      <c r="D1038">
        <v>793.05</v>
      </c>
      <c r="E1038"/>
      <c r="F1038">
        <v>793.05</v>
      </c>
      <c r="G1038"/>
      <c r="K1038"/>
      <c r="L1038"/>
      <c r="M1038"/>
      <c r="N1038">
        <v>793.05</v>
      </c>
      <c r="O1038"/>
    </row>
    <row r="1039" spans="1:15" x14ac:dyDescent="0.35">
      <c r="A1039" t="s">
        <v>36</v>
      </c>
      <c r="B1039" t="s">
        <v>1920</v>
      </c>
      <c r="C1039" t="s">
        <v>1921</v>
      </c>
      <c r="D1039">
        <v>145197.53</v>
      </c>
      <c r="E1039"/>
      <c r="F1039">
        <v>145197.53</v>
      </c>
      <c r="G1039"/>
      <c r="K1039"/>
      <c r="L1039"/>
      <c r="M1039"/>
      <c r="N1039">
        <v>145197.53</v>
      </c>
      <c r="O1039"/>
    </row>
    <row r="1040" spans="1:15" x14ac:dyDescent="0.35">
      <c r="A1040" t="s">
        <v>24</v>
      </c>
      <c r="B1040" t="s">
        <v>1922</v>
      </c>
      <c r="C1040" t="s">
        <v>1923</v>
      </c>
      <c r="D1040">
        <v>59</v>
      </c>
      <c r="E1040"/>
      <c r="F1040">
        <v>59</v>
      </c>
      <c r="G1040"/>
      <c r="K1040"/>
      <c r="L1040"/>
      <c r="M1040"/>
      <c r="N1040">
        <v>59</v>
      </c>
      <c r="O1040"/>
    </row>
    <row r="1041" spans="1:15" x14ac:dyDescent="0.35">
      <c r="A1041" t="s">
        <v>19</v>
      </c>
      <c r="B1041" t="s">
        <v>1924</v>
      </c>
      <c r="C1041" t="s">
        <v>1925</v>
      </c>
      <c r="D1041">
        <v>43.32</v>
      </c>
      <c r="E1041"/>
      <c r="F1041">
        <v>43.32</v>
      </c>
      <c r="G1041"/>
      <c r="K1041"/>
      <c r="L1041"/>
      <c r="M1041"/>
      <c r="N1041">
        <v>43.32</v>
      </c>
      <c r="O1041"/>
    </row>
    <row r="1042" spans="1:15" x14ac:dyDescent="0.35">
      <c r="A1042" t="s">
        <v>30</v>
      </c>
      <c r="B1042" t="s">
        <v>1926</v>
      </c>
      <c r="C1042" t="s">
        <v>1927</v>
      </c>
      <c r="D1042">
        <v>0.36</v>
      </c>
      <c r="E1042"/>
      <c r="F1042">
        <v>0.36</v>
      </c>
      <c r="G1042"/>
      <c r="K1042"/>
      <c r="L1042"/>
      <c r="M1042"/>
      <c r="N1042">
        <v>0.36</v>
      </c>
      <c r="O1042"/>
    </row>
    <row r="1043" spans="1:15" x14ac:dyDescent="0.35">
      <c r="A1043" t="s">
        <v>33</v>
      </c>
      <c r="B1043" t="s">
        <v>1928</v>
      </c>
      <c r="C1043" t="s">
        <v>1929</v>
      </c>
      <c r="D1043">
        <v>0.32</v>
      </c>
      <c r="E1043"/>
      <c r="F1043">
        <v>0.32</v>
      </c>
      <c r="G1043"/>
      <c r="K1043"/>
      <c r="L1043"/>
      <c r="M1043"/>
      <c r="N1043">
        <v>0.32</v>
      </c>
      <c r="O1043"/>
    </row>
    <row r="1044" spans="1:15" x14ac:dyDescent="0.35">
      <c r="A1044" t="s">
        <v>33</v>
      </c>
      <c r="B1044" t="s">
        <v>1930</v>
      </c>
      <c r="C1044" t="s">
        <v>1931</v>
      </c>
      <c r="D1044">
        <v>502267.01</v>
      </c>
      <c r="E1044"/>
      <c r="F1044">
        <v>502267.01</v>
      </c>
      <c r="G1044"/>
      <c r="K1044"/>
      <c r="L1044"/>
      <c r="M1044"/>
      <c r="N1044">
        <v>502267.01</v>
      </c>
      <c r="O1044"/>
    </row>
    <row r="1045" spans="1:15" x14ac:dyDescent="0.35">
      <c r="A1045" t="s">
        <v>24</v>
      </c>
      <c r="B1045" t="s">
        <v>1932</v>
      </c>
      <c r="C1045" t="s">
        <v>1933</v>
      </c>
      <c r="D1045">
        <v>0.23</v>
      </c>
      <c r="E1045"/>
      <c r="F1045">
        <v>0.23</v>
      </c>
      <c r="G1045"/>
      <c r="K1045"/>
      <c r="L1045"/>
      <c r="M1045"/>
      <c r="N1045">
        <v>0.23</v>
      </c>
      <c r="O1045"/>
    </row>
    <row r="1046" spans="1:15" x14ac:dyDescent="0.35">
      <c r="A1046" t="s">
        <v>16</v>
      </c>
      <c r="B1046" t="s">
        <v>1934</v>
      </c>
      <c r="C1046" t="s">
        <v>1935</v>
      </c>
      <c r="D1046">
        <v>222.04000000000002</v>
      </c>
      <c r="E1046"/>
      <c r="F1046">
        <v>222.04000000000002</v>
      </c>
      <c r="G1046"/>
      <c r="K1046"/>
      <c r="L1046"/>
      <c r="M1046"/>
      <c r="N1046">
        <v>222.04000000000002</v>
      </c>
      <c r="O1046"/>
    </row>
    <row r="1047" spans="1:15" x14ac:dyDescent="0.35">
      <c r="A1047" t="s">
        <v>36</v>
      </c>
      <c r="B1047" t="s">
        <v>1936</v>
      </c>
      <c r="C1047" t="s">
        <v>1937</v>
      </c>
      <c r="D1047">
        <v>0.08</v>
      </c>
      <c r="E1047"/>
      <c r="F1047">
        <v>0.08</v>
      </c>
      <c r="G1047"/>
      <c r="K1047"/>
      <c r="L1047"/>
      <c r="M1047"/>
      <c r="N1047">
        <v>0.08</v>
      </c>
      <c r="O1047"/>
    </row>
    <row r="1048" spans="1:15" x14ac:dyDescent="0.35">
      <c r="A1048" t="s">
        <v>100</v>
      </c>
      <c r="B1048" t="s">
        <v>1938</v>
      </c>
      <c r="C1048" t="s">
        <v>1939</v>
      </c>
      <c r="D1048">
        <v>0.48</v>
      </c>
      <c r="E1048"/>
      <c r="F1048">
        <v>0.48</v>
      </c>
      <c r="G1048"/>
      <c r="K1048"/>
      <c r="L1048"/>
      <c r="M1048"/>
      <c r="N1048">
        <v>0.48</v>
      </c>
      <c r="O1048"/>
    </row>
    <row r="1049" spans="1:15" x14ac:dyDescent="0.35">
      <c r="A1049" t="s">
        <v>30</v>
      </c>
      <c r="B1049" t="s">
        <v>1940</v>
      </c>
      <c r="C1049" t="s">
        <v>1941</v>
      </c>
      <c r="D1049">
        <v>665.53</v>
      </c>
      <c r="E1049"/>
      <c r="F1049">
        <v>665.53</v>
      </c>
      <c r="G1049"/>
      <c r="K1049"/>
      <c r="L1049"/>
      <c r="M1049"/>
      <c r="N1049">
        <v>665.53</v>
      </c>
      <c r="O1049"/>
    </row>
    <row r="1050" spans="1:15" x14ac:dyDescent="0.35">
      <c r="A1050" t="s">
        <v>33</v>
      </c>
      <c r="B1050" t="s">
        <v>1942</v>
      </c>
      <c r="C1050" t="s">
        <v>1943</v>
      </c>
      <c r="D1050">
        <v>0.01</v>
      </c>
      <c r="E1050"/>
      <c r="F1050">
        <v>0.01</v>
      </c>
      <c r="G1050"/>
      <c r="K1050"/>
      <c r="L1050"/>
      <c r="M1050"/>
      <c r="N1050">
        <v>0.01</v>
      </c>
      <c r="O1050"/>
    </row>
    <row r="1051" spans="1:15" x14ac:dyDescent="0.35">
      <c r="A1051" t="s">
        <v>36</v>
      </c>
      <c r="B1051" t="s">
        <v>1944</v>
      </c>
      <c r="C1051" t="s">
        <v>1945</v>
      </c>
      <c r="D1051">
        <v>0.15</v>
      </c>
      <c r="E1051"/>
      <c r="F1051">
        <v>0.15</v>
      </c>
      <c r="G1051"/>
      <c r="K1051"/>
      <c r="L1051"/>
      <c r="M1051"/>
      <c r="N1051">
        <v>0.15</v>
      </c>
      <c r="O1051"/>
    </row>
    <row r="1052" spans="1:15" x14ac:dyDescent="0.35">
      <c r="A1052" t="s">
        <v>19</v>
      </c>
      <c r="B1052" t="s">
        <v>1946</v>
      </c>
      <c r="C1052" t="s">
        <v>1947</v>
      </c>
      <c r="D1052">
        <v>415.5</v>
      </c>
      <c r="E1052"/>
      <c r="F1052">
        <v>415.5</v>
      </c>
      <c r="G1052"/>
      <c r="K1052"/>
      <c r="L1052"/>
      <c r="M1052"/>
      <c r="N1052">
        <v>415.5</v>
      </c>
      <c r="O1052"/>
    </row>
    <row r="1053" spans="1:15" x14ac:dyDescent="0.35">
      <c r="A1053" t="s">
        <v>100</v>
      </c>
      <c r="B1053" t="s">
        <v>1948</v>
      </c>
      <c r="C1053" t="s">
        <v>1949</v>
      </c>
      <c r="D1053">
        <v>346.61</v>
      </c>
      <c r="E1053"/>
      <c r="F1053">
        <v>346.61</v>
      </c>
      <c r="G1053"/>
      <c r="K1053"/>
      <c r="L1053"/>
      <c r="M1053"/>
      <c r="N1053">
        <v>346.61</v>
      </c>
      <c r="O1053"/>
    </row>
    <row r="1054" spans="1:15" x14ac:dyDescent="0.35">
      <c r="A1054" t="s">
        <v>24</v>
      </c>
      <c r="B1054" t="s">
        <v>1950</v>
      </c>
      <c r="C1054" t="s">
        <v>1951</v>
      </c>
      <c r="D1054">
        <v>0.19</v>
      </c>
      <c r="E1054"/>
      <c r="F1054">
        <v>0.19</v>
      </c>
      <c r="G1054"/>
      <c r="K1054"/>
      <c r="L1054"/>
      <c r="M1054"/>
      <c r="N1054">
        <v>0.19</v>
      </c>
      <c r="O1054"/>
    </row>
    <row r="1055" spans="1:15" x14ac:dyDescent="0.35">
      <c r="A1055" t="s">
        <v>36</v>
      </c>
      <c r="B1055" t="s">
        <v>1952</v>
      </c>
      <c r="C1055" t="s">
        <v>1953</v>
      </c>
      <c r="D1055">
        <v>59</v>
      </c>
      <c r="E1055"/>
      <c r="F1055">
        <v>59</v>
      </c>
      <c r="G1055"/>
      <c r="K1055"/>
      <c r="L1055"/>
      <c r="M1055"/>
      <c r="N1055">
        <v>59</v>
      </c>
      <c r="O1055"/>
    </row>
    <row r="1056" spans="1:15" x14ac:dyDescent="0.35">
      <c r="A1056" t="s">
        <v>275</v>
      </c>
      <c r="B1056" t="s">
        <v>1954</v>
      </c>
      <c r="C1056" t="s">
        <v>1955</v>
      </c>
      <c r="D1056">
        <v>118.44</v>
      </c>
      <c r="E1056"/>
      <c r="F1056">
        <v>118.44</v>
      </c>
      <c r="G1056"/>
      <c r="K1056"/>
      <c r="L1056"/>
      <c r="M1056"/>
      <c r="N1056">
        <v>118.44</v>
      </c>
      <c r="O1056"/>
    </row>
    <row r="1057" spans="1:15" x14ac:dyDescent="0.35">
      <c r="A1057" t="s">
        <v>30</v>
      </c>
      <c r="B1057" t="s">
        <v>1956</v>
      </c>
      <c r="C1057" t="s">
        <v>1957</v>
      </c>
      <c r="D1057">
        <v>251.14</v>
      </c>
      <c r="E1057"/>
      <c r="F1057">
        <v>251.14</v>
      </c>
      <c r="G1057"/>
      <c r="K1057"/>
      <c r="L1057"/>
      <c r="M1057"/>
      <c r="N1057">
        <v>251.14</v>
      </c>
      <c r="O1057"/>
    </row>
    <row r="1058" spans="1:15" x14ac:dyDescent="0.35">
      <c r="A1058" t="s">
        <v>27</v>
      </c>
      <c r="B1058" t="s">
        <v>1958</v>
      </c>
      <c r="C1058" t="s">
        <v>1959</v>
      </c>
      <c r="D1058">
        <v>0.14000000000000001</v>
      </c>
      <c r="E1058"/>
      <c r="F1058">
        <v>0.14000000000000001</v>
      </c>
      <c r="G1058"/>
      <c r="K1058"/>
      <c r="L1058"/>
      <c r="M1058"/>
      <c r="N1058">
        <v>0.14000000000000001</v>
      </c>
      <c r="O1058"/>
    </row>
    <row r="1059" spans="1:15" x14ac:dyDescent="0.35">
      <c r="A1059" t="s">
        <v>41</v>
      </c>
      <c r="B1059" t="s">
        <v>1960</v>
      </c>
      <c r="C1059" t="s">
        <v>1961</v>
      </c>
      <c r="D1059">
        <v>0.1</v>
      </c>
      <c r="E1059"/>
      <c r="F1059">
        <v>0.1</v>
      </c>
      <c r="G1059"/>
      <c r="K1059"/>
      <c r="L1059"/>
      <c r="M1059"/>
      <c r="N1059">
        <v>0.1</v>
      </c>
      <c r="O1059"/>
    </row>
    <row r="1060" spans="1:15" x14ac:dyDescent="0.35">
      <c r="A1060" t="s">
        <v>27</v>
      </c>
      <c r="B1060" t="s">
        <v>1962</v>
      </c>
      <c r="C1060" t="s">
        <v>1963</v>
      </c>
      <c r="D1060">
        <v>0.39</v>
      </c>
      <c r="E1060"/>
      <c r="F1060">
        <v>0.39</v>
      </c>
      <c r="G1060"/>
      <c r="K1060"/>
      <c r="L1060"/>
      <c r="M1060"/>
      <c r="N1060">
        <v>0.39</v>
      </c>
      <c r="O1060"/>
    </row>
    <row r="1061" spans="1:15" x14ac:dyDescent="0.35">
      <c r="A1061" t="s">
        <v>16</v>
      </c>
      <c r="B1061" t="s">
        <v>1964</v>
      </c>
      <c r="C1061" t="s">
        <v>1965</v>
      </c>
      <c r="D1061">
        <v>0.49</v>
      </c>
      <c r="E1061"/>
      <c r="F1061">
        <v>0.49</v>
      </c>
      <c r="G1061"/>
      <c r="K1061"/>
      <c r="L1061"/>
      <c r="M1061"/>
      <c r="N1061">
        <v>0.49</v>
      </c>
      <c r="O1061"/>
    </row>
    <row r="1062" spans="1:15" x14ac:dyDescent="0.35">
      <c r="A1062" t="s">
        <v>30</v>
      </c>
      <c r="B1062" t="s">
        <v>1966</v>
      </c>
      <c r="C1062" t="s">
        <v>1967</v>
      </c>
      <c r="D1062">
        <v>604.72</v>
      </c>
      <c r="E1062"/>
      <c r="F1062">
        <v>604.72</v>
      </c>
      <c r="G1062"/>
      <c r="K1062"/>
      <c r="L1062"/>
      <c r="M1062"/>
      <c r="N1062">
        <v>604.72</v>
      </c>
      <c r="O1062"/>
    </row>
    <row r="1063" spans="1:15" x14ac:dyDescent="0.35">
      <c r="A1063" t="s">
        <v>36</v>
      </c>
      <c r="B1063" t="s">
        <v>1968</v>
      </c>
      <c r="C1063" t="s">
        <v>1969</v>
      </c>
      <c r="D1063">
        <v>341.23</v>
      </c>
      <c r="E1063"/>
      <c r="F1063">
        <v>341.23</v>
      </c>
      <c r="G1063"/>
      <c r="K1063"/>
      <c r="L1063"/>
      <c r="M1063"/>
      <c r="N1063">
        <v>341.23</v>
      </c>
      <c r="O1063"/>
    </row>
    <row r="1064" spans="1:15" x14ac:dyDescent="0.35">
      <c r="A1064" t="s">
        <v>27</v>
      </c>
      <c r="B1064" t="s">
        <v>1970</v>
      </c>
      <c r="C1064" t="s">
        <v>1971</v>
      </c>
      <c r="D1064">
        <v>0.43</v>
      </c>
      <c r="E1064"/>
      <c r="F1064">
        <v>0.43</v>
      </c>
      <c r="G1064"/>
      <c r="K1064"/>
      <c r="L1064"/>
      <c r="M1064"/>
      <c r="N1064">
        <v>0.43</v>
      </c>
      <c r="O1064"/>
    </row>
    <row r="1065" spans="1:15" x14ac:dyDescent="0.35">
      <c r="A1065" t="s">
        <v>19</v>
      </c>
      <c r="B1065" t="s">
        <v>1972</v>
      </c>
      <c r="C1065" t="s">
        <v>1973</v>
      </c>
      <c r="D1065">
        <v>0.33</v>
      </c>
      <c r="E1065"/>
      <c r="F1065">
        <v>0.33</v>
      </c>
      <c r="G1065"/>
      <c r="K1065"/>
      <c r="L1065"/>
      <c r="M1065"/>
      <c r="N1065">
        <v>0.33</v>
      </c>
      <c r="O1065"/>
    </row>
    <row r="1066" spans="1:15" x14ac:dyDescent="0.35">
      <c r="A1066" t="s">
        <v>24</v>
      </c>
      <c r="B1066" t="s">
        <v>1974</v>
      </c>
      <c r="C1066" t="s">
        <v>1975</v>
      </c>
      <c r="D1066">
        <v>0.48</v>
      </c>
      <c r="E1066"/>
      <c r="F1066">
        <v>0.48</v>
      </c>
      <c r="G1066"/>
      <c r="K1066"/>
      <c r="L1066"/>
      <c r="M1066"/>
      <c r="N1066">
        <v>0.48</v>
      </c>
      <c r="O1066"/>
    </row>
    <row r="1067" spans="1:15" x14ac:dyDescent="0.35">
      <c r="A1067" t="s">
        <v>19</v>
      </c>
      <c r="B1067" t="s">
        <v>1976</v>
      </c>
      <c r="C1067" t="s">
        <v>1977</v>
      </c>
      <c r="D1067">
        <v>227.79</v>
      </c>
      <c r="E1067"/>
      <c r="F1067">
        <v>227.79</v>
      </c>
      <c r="G1067"/>
      <c r="K1067"/>
      <c r="L1067"/>
      <c r="M1067"/>
      <c r="N1067">
        <v>227.79</v>
      </c>
      <c r="O1067"/>
    </row>
    <row r="1068" spans="1:15" x14ac:dyDescent="0.35">
      <c r="A1068" t="s">
        <v>33</v>
      </c>
      <c r="B1068" t="s">
        <v>1978</v>
      </c>
      <c r="C1068" t="s">
        <v>1979</v>
      </c>
      <c r="D1068">
        <v>0.37</v>
      </c>
      <c r="E1068"/>
      <c r="F1068">
        <v>0.37</v>
      </c>
      <c r="G1068"/>
      <c r="K1068"/>
      <c r="L1068"/>
      <c r="M1068"/>
      <c r="N1068">
        <v>0.37</v>
      </c>
      <c r="O1068"/>
    </row>
    <row r="1069" spans="1:15" x14ac:dyDescent="0.35">
      <c r="A1069" t="s">
        <v>36</v>
      </c>
      <c r="B1069" t="s">
        <v>1980</v>
      </c>
      <c r="C1069" t="s">
        <v>1981</v>
      </c>
      <c r="D1069">
        <v>0.34</v>
      </c>
      <c r="E1069"/>
      <c r="F1069">
        <v>0.34</v>
      </c>
      <c r="G1069"/>
      <c r="K1069"/>
      <c r="L1069"/>
      <c r="M1069"/>
      <c r="N1069">
        <v>0.34</v>
      </c>
      <c r="O1069"/>
    </row>
    <row r="1070" spans="1:15" x14ac:dyDescent="0.35">
      <c r="A1070" t="s">
        <v>30</v>
      </c>
      <c r="B1070" t="s">
        <v>1982</v>
      </c>
      <c r="C1070" t="s">
        <v>1983</v>
      </c>
      <c r="D1070">
        <v>0.17</v>
      </c>
      <c r="E1070"/>
      <c r="F1070">
        <v>0.17</v>
      </c>
      <c r="G1070"/>
      <c r="K1070"/>
      <c r="L1070"/>
      <c r="M1070"/>
      <c r="N1070">
        <v>0.17</v>
      </c>
      <c r="O1070"/>
    </row>
    <row r="1071" spans="1:15" x14ac:dyDescent="0.35">
      <c r="A1071" t="s">
        <v>111</v>
      </c>
      <c r="B1071" t="s">
        <v>1984</v>
      </c>
      <c r="C1071" t="s">
        <v>1985</v>
      </c>
      <c r="D1071">
        <v>220.87</v>
      </c>
      <c r="E1071"/>
      <c r="F1071">
        <v>220.87</v>
      </c>
      <c r="G1071"/>
      <c r="K1071"/>
      <c r="L1071"/>
      <c r="M1071"/>
      <c r="N1071">
        <v>220.87</v>
      </c>
      <c r="O1071"/>
    </row>
    <row r="1072" spans="1:15" x14ac:dyDescent="0.35">
      <c r="A1072" t="s">
        <v>19</v>
      </c>
      <c r="B1072" t="s">
        <v>1986</v>
      </c>
      <c r="C1072" t="s">
        <v>1987</v>
      </c>
      <c r="D1072">
        <v>191.73</v>
      </c>
      <c r="E1072"/>
      <c r="F1072">
        <v>191.73</v>
      </c>
      <c r="G1072"/>
      <c r="K1072"/>
      <c r="L1072"/>
      <c r="M1072"/>
      <c r="N1072">
        <v>191.73</v>
      </c>
      <c r="O1072"/>
    </row>
    <row r="1073" spans="1:15" x14ac:dyDescent="0.35">
      <c r="A1073" t="s">
        <v>16</v>
      </c>
      <c r="B1073" t="s">
        <v>1988</v>
      </c>
      <c r="C1073" t="s">
        <v>1989</v>
      </c>
      <c r="D1073">
        <v>179.07</v>
      </c>
      <c r="E1073"/>
      <c r="F1073">
        <v>179.07</v>
      </c>
      <c r="G1073"/>
      <c r="K1073"/>
      <c r="L1073"/>
      <c r="M1073"/>
      <c r="N1073">
        <v>179.07</v>
      </c>
      <c r="O1073"/>
    </row>
    <row r="1074" spans="1:15" x14ac:dyDescent="0.35">
      <c r="A1074" t="s">
        <v>27</v>
      </c>
      <c r="B1074" t="s">
        <v>1990</v>
      </c>
      <c r="C1074" t="s">
        <v>1991</v>
      </c>
      <c r="D1074">
        <v>0.63</v>
      </c>
      <c r="E1074"/>
      <c r="F1074">
        <v>0.63</v>
      </c>
      <c r="G1074"/>
      <c r="K1074"/>
      <c r="L1074"/>
      <c r="M1074"/>
      <c r="N1074">
        <v>0.63</v>
      </c>
      <c r="O1074"/>
    </row>
    <row r="1075" spans="1:15" x14ac:dyDescent="0.35">
      <c r="A1075" t="s">
        <v>164</v>
      </c>
      <c r="B1075" t="s">
        <v>1992</v>
      </c>
      <c r="C1075" t="s">
        <v>1993</v>
      </c>
      <c r="D1075">
        <v>277.02999999999997</v>
      </c>
      <c r="E1075"/>
      <c r="F1075">
        <v>277.02999999999997</v>
      </c>
      <c r="G1075"/>
      <c r="K1075"/>
      <c r="L1075"/>
      <c r="M1075"/>
      <c r="N1075">
        <v>277.02999999999997</v>
      </c>
      <c r="O1075"/>
    </row>
    <row r="1076" spans="1:15" x14ac:dyDescent="0.35">
      <c r="A1076" t="s">
        <v>19</v>
      </c>
      <c r="B1076" t="s">
        <v>1994</v>
      </c>
      <c r="C1076" t="s">
        <v>1995</v>
      </c>
      <c r="D1076">
        <v>566.92999999999995</v>
      </c>
      <c r="E1076"/>
      <c r="F1076">
        <v>566.92999999999995</v>
      </c>
      <c r="G1076"/>
      <c r="K1076"/>
      <c r="L1076"/>
      <c r="M1076"/>
      <c r="N1076">
        <v>566.92999999999995</v>
      </c>
      <c r="O1076"/>
    </row>
    <row r="1077" spans="1:15" x14ac:dyDescent="0.35">
      <c r="A1077" t="s">
        <v>27</v>
      </c>
      <c r="B1077" t="s">
        <v>1996</v>
      </c>
      <c r="C1077" t="s">
        <v>1997</v>
      </c>
      <c r="D1077">
        <v>0.72</v>
      </c>
      <c r="E1077"/>
      <c r="F1077">
        <v>0.72</v>
      </c>
      <c r="G1077"/>
      <c r="K1077"/>
      <c r="L1077"/>
      <c r="M1077"/>
      <c r="N1077">
        <v>0.72</v>
      </c>
      <c r="O1077"/>
    </row>
    <row r="1078" spans="1:15" x14ac:dyDescent="0.35">
      <c r="A1078" t="s">
        <v>30</v>
      </c>
      <c r="B1078" t="s">
        <v>1998</v>
      </c>
      <c r="C1078" t="s">
        <v>1999</v>
      </c>
      <c r="D1078">
        <v>645.84</v>
      </c>
      <c r="E1078"/>
      <c r="F1078">
        <v>645.84</v>
      </c>
      <c r="G1078"/>
      <c r="K1078"/>
      <c r="L1078"/>
      <c r="M1078"/>
      <c r="N1078">
        <v>645.84</v>
      </c>
      <c r="O1078"/>
    </row>
    <row r="1079" spans="1:15" x14ac:dyDescent="0.35">
      <c r="A1079" t="s">
        <v>93</v>
      </c>
      <c r="B1079" t="s">
        <v>2000</v>
      </c>
      <c r="C1079" t="s">
        <v>2001</v>
      </c>
      <c r="D1079">
        <v>1.00000000002183E-2</v>
      </c>
      <c r="E1079"/>
      <c r="F1079">
        <v>1.00000000002183E-2</v>
      </c>
      <c r="G1079"/>
      <c r="K1079"/>
      <c r="L1079"/>
      <c r="M1079"/>
      <c r="N1079">
        <v>1.00000000002183E-2</v>
      </c>
      <c r="O1079"/>
    </row>
    <row r="1080" spans="1:15" x14ac:dyDescent="0.35">
      <c r="A1080" t="s">
        <v>36</v>
      </c>
      <c r="B1080" t="s">
        <v>2002</v>
      </c>
      <c r="C1080" t="s">
        <v>2003</v>
      </c>
      <c r="D1080">
        <v>9.9999999999909103E-3</v>
      </c>
      <c r="E1080"/>
      <c r="F1080">
        <v>9.9999999999909103E-3</v>
      </c>
      <c r="G1080"/>
      <c r="K1080"/>
      <c r="L1080"/>
      <c r="M1080"/>
      <c r="N1080">
        <v>9.9999999999909103E-3</v>
      </c>
      <c r="O1080"/>
    </row>
    <row r="1081" spans="1:15" x14ac:dyDescent="0.35">
      <c r="A1081" t="s">
        <v>36</v>
      </c>
      <c r="B1081" t="s">
        <v>2004</v>
      </c>
      <c r="C1081" t="s">
        <v>2005</v>
      </c>
      <c r="D1081">
        <v>9.9999999947613105E-3</v>
      </c>
      <c r="E1081"/>
      <c r="F1081">
        <v>9.9999999947613105E-3</v>
      </c>
      <c r="G1081"/>
      <c r="K1081"/>
      <c r="L1081"/>
      <c r="M1081"/>
      <c r="N1081">
        <v>9.9999999947613105E-3</v>
      </c>
      <c r="O1081"/>
    </row>
    <row r="1082" spans="1:15" x14ac:dyDescent="0.35">
      <c r="A1082" s="25" t="s">
        <v>3214</v>
      </c>
      <c r="B1082" s="26" t="s">
        <v>3215</v>
      </c>
      <c r="C1082" s="25" t="s">
        <v>3216</v>
      </c>
      <c r="F1082" s="27">
        <v>50591.42</v>
      </c>
      <c r="G1082" s="27"/>
      <c r="H1082" s="27"/>
      <c r="I1082" s="27">
        <v>50591.42</v>
      </c>
      <c r="J1082" s="27"/>
      <c r="K1082" s="27"/>
      <c r="L1082" s="27"/>
      <c r="M1082" s="27"/>
      <c r="N1082" s="27"/>
    </row>
    <row r="1083" spans="1:15" x14ac:dyDescent="0.35">
      <c r="A1083" s="25" t="s">
        <v>3214</v>
      </c>
      <c r="B1083" s="26" t="s">
        <v>3217</v>
      </c>
      <c r="C1083" s="25" t="s">
        <v>3218</v>
      </c>
      <c r="F1083" s="27">
        <v>181230.5</v>
      </c>
      <c r="G1083" s="27"/>
      <c r="H1083" s="27">
        <v>181230.5</v>
      </c>
      <c r="I1083" s="27"/>
      <c r="J1083" s="27"/>
      <c r="K1083" s="27"/>
      <c r="L1083" s="27"/>
      <c r="M1083" s="27"/>
      <c r="N1083" s="27"/>
    </row>
    <row r="1084" spans="1:15" x14ac:dyDescent="0.35">
      <c r="A1084" s="25" t="s">
        <v>3214</v>
      </c>
      <c r="B1084" s="26" t="s">
        <v>3219</v>
      </c>
      <c r="C1084" s="25" t="s">
        <v>3220</v>
      </c>
      <c r="F1084" s="27">
        <v>315645.55</v>
      </c>
      <c r="G1084" s="27"/>
      <c r="H1084" s="27"/>
      <c r="I1084" s="27">
        <v>148080.06</v>
      </c>
      <c r="J1084" s="27">
        <v>167565.49</v>
      </c>
      <c r="K1084" s="27"/>
      <c r="L1084" s="27"/>
      <c r="M1084" s="27"/>
      <c r="N1084" s="27"/>
    </row>
    <row r="1085" spans="1:15" x14ac:dyDescent="0.35">
      <c r="A1085" s="25" t="s">
        <v>3214</v>
      </c>
      <c r="B1085" s="26" t="s">
        <v>3221</v>
      </c>
      <c r="C1085" s="25" t="s">
        <v>3222</v>
      </c>
      <c r="F1085" s="27">
        <v>354696.64</v>
      </c>
      <c r="G1085" s="27"/>
      <c r="H1085" s="27">
        <v>354696.64</v>
      </c>
      <c r="I1085" s="27"/>
      <c r="J1085" s="27"/>
      <c r="K1085" s="27"/>
      <c r="L1085" s="27"/>
      <c r="M1085" s="27"/>
      <c r="N1085" s="27"/>
    </row>
    <row r="1086" spans="1:15" x14ac:dyDescent="0.35">
      <c r="A1086" s="25" t="s">
        <v>3214</v>
      </c>
      <c r="B1086" s="26" t="s">
        <v>3223</v>
      </c>
      <c r="C1086" s="25" t="s">
        <v>3224</v>
      </c>
      <c r="F1086" s="27">
        <v>369843.12</v>
      </c>
      <c r="G1086" s="27"/>
      <c r="H1086" s="27"/>
      <c r="I1086" s="27"/>
      <c r="J1086" s="27"/>
      <c r="K1086" s="27"/>
      <c r="L1086" s="27"/>
      <c r="M1086" s="27">
        <v>369843.12</v>
      </c>
      <c r="N1086" s="27"/>
    </row>
    <row r="1087" spans="1:15" x14ac:dyDescent="0.35">
      <c r="A1087" s="25" t="s">
        <v>3214</v>
      </c>
      <c r="B1087" s="26" t="s">
        <v>3225</v>
      </c>
      <c r="C1087" s="25" t="s">
        <v>3226</v>
      </c>
      <c r="F1087" s="27">
        <v>39999.03</v>
      </c>
      <c r="G1087" s="27"/>
      <c r="H1087" s="27"/>
      <c r="I1087" s="27"/>
      <c r="J1087" s="27"/>
      <c r="K1087" s="27"/>
      <c r="L1087" s="27"/>
      <c r="M1087" s="27">
        <v>39999.03</v>
      </c>
      <c r="N1087" s="27"/>
    </row>
    <row r="1088" spans="1:15" x14ac:dyDescent="0.35">
      <c r="A1088" s="25" t="s">
        <v>3214</v>
      </c>
      <c r="B1088" s="26" t="s">
        <v>3227</v>
      </c>
      <c r="C1088" s="25" t="s">
        <v>3228</v>
      </c>
      <c r="F1088" s="27">
        <v>72895.679999999993</v>
      </c>
      <c r="G1088" s="27"/>
      <c r="H1088" s="27">
        <v>72895.679999999993</v>
      </c>
      <c r="I1088" s="27"/>
      <c r="J1088" s="27"/>
      <c r="K1088" s="27"/>
      <c r="L1088" s="27"/>
      <c r="M1088" s="27"/>
      <c r="N1088" s="27"/>
    </row>
    <row r="1089" spans="1:14" x14ac:dyDescent="0.35">
      <c r="A1089" s="25" t="s">
        <v>3229</v>
      </c>
      <c r="B1089" s="26" t="s">
        <v>3230</v>
      </c>
      <c r="C1089" s="25" t="s">
        <v>3231</v>
      </c>
      <c r="F1089" s="27">
        <v>199148</v>
      </c>
      <c r="G1089" s="27"/>
      <c r="H1089" s="27">
        <v>199148</v>
      </c>
      <c r="I1089" s="27"/>
      <c r="J1089" s="27"/>
      <c r="K1089" s="27"/>
      <c r="L1089" s="27"/>
      <c r="M1089" s="27"/>
      <c r="N1089" s="27"/>
    </row>
    <row r="1090" spans="1:14" x14ac:dyDescent="0.35">
      <c r="A1090" s="25" t="s">
        <v>3229</v>
      </c>
      <c r="B1090" s="26" t="s">
        <v>3232</v>
      </c>
      <c r="C1090" s="25" t="s">
        <v>3233</v>
      </c>
      <c r="F1090" s="27">
        <v>30488</v>
      </c>
      <c r="G1090" s="27"/>
      <c r="H1090" s="27"/>
      <c r="I1090" s="27">
        <v>30488</v>
      </c>
      <c r="J1090" s="27"/>
      <c r="K1090" s="27"/>
      <c r="L1090" s="27"/>
      <c r="M1090" s="27"/>
      <c r="N1090" s="27"/>
    </row>
    <row r="1091" spans="1:14" x14ac:dyDescent="0.35">
      <c r="A1091" s="25" t="s">
        <v>3229</v>
      </c>
      <c r="B1091" s="26" t="s">
        <v>3234</v>
      </c>
      <c r="C1091" s="25" t="s">
        <v>3235</v>
      </c>
      <c r="F1091" s="27">
        <v>32367.239999999998</v>
      </c>
      <c r="G1091" s="27"/>
      <c r="H1091" s="27"/>
      <c r="I1091" s="27"/>
      <c r="J1091" s="27"/>
      <c r="K1091" s="27"/>
      <c r="L1091" s="27"/>
      <c r="M1091" s="27">
        <v>32367.239999999998</v>
      </c>
      <c r="N1091" s="27"/>
    </row>
    <row r="1092" spans="1:14" x14ac:dyDescent="0.35">
      <c r="A1092" s="25" t="s">
        <v>3229</v>
      </c>
      <c r="B1092" s="26" t="s">
        <v>3236</v>
      </c>
      <c r="C1092" s="25" t="s">
        <v>3237</v>
      </c>
      <c r="F1092" s="27">
        <v>277850</v>
      </c>
      <c r="G1092" s="27"/>
      <c r="H1092" s="27">
        <v>277850</v>
      </c>
      <c r="I1092" s="27"/>
      <c r="J1092" s="27"/>
      <c r="K1092" s="27"/>
      <c r="L1092" s="27"/>
      <c r="M1092" s="27"/>
      <c r="N1092" s="27"/>
    </row>
    <row r="1093" spans="1:14" x14ac:dyDescent="0.35">
      <c r="A1093" s="25" t="s">
        <v>3229</v>
      </c>
      <c r="B1093" s="26" t="s">
        <v>3238</v>
      </c>
      <c r="C1093" s="25" t="s">
        <v>3239</v>
      </c>
      <c r="F1093" s="27">
        <v>85832.68</v>
      </c>
      <c r="G1093" s="27"/>
      <c r="H1093" s="27"/>
      <c r="I1093" s="27"/>
      <c r="J1093" s="27"/>
      <c r="K1093" s="27"/>
      <c r="L1093" s="27"/>
      <c r="M1093" s="27"/>
      <c r="N1093" s="27">
        <v>85832.68</v>
      </c>
    </row>
    <row r="1094" spans="1:14" x14ac:dyDescent="0.35">
      <c r="A1094" s="25" t="s">
        <v>3229</v>
      </c>
      <c r="B1094" s="26" t="s">
        <v>3240</v>
      </c>
      <c r="C1094" s="25" t="s">
        <v>3241</v>
      </c>
      <c r="F1094" s="27">
        <v>23832</v>
      </c>
      <c r="G1094" s="27"/>
      <c r="H1094" s="27"/>
      <c r="I1094" s="27"/>
      <c r="J1094" s="27"/>
      <c r="K1094" s="27"/>
      <c r="L1094" s="27"/>
      <c r="M1094" s="27">
        <v>23832</v>
      </c>
      <c r="N1094" s="27"/>
    </row>
    <row r="1095" spans="1:14" x14ac:dyDescent="0.35">
      <c r="A1095" s="25" t="s">
        <v>3229</v>
      </c>
      <c r="B1095" s="26" t="s">
        <v>3242</v>
      </c>
      <c r="C1095" s="25" t="s">
        <v>3243</v>
      </c>
      <c r="F1095" s="27">
        <v>24374.639999999999</v>
      </c>
      <c r="G1095" s="27"/>
      <c r="H1095" s="27"/>
      <c r="I1095" s="27"/>
      <c r="J1095" s="27">
        <v>24374.639999999999</v>
      </c>
      <c r="K1095" s="27"/>
      <c r="L1095" s="27"/>
      <c r="M1095" s="27"/>
      <c r="N1095" s="27"/>
    </row>
    <row r="1096" spans="1:14" x14ac:dyDescent="0.35">
      <c r="A1096" s="25" t="s">
        <v>3229</v>
      </c>
      <c r="B1096" s="26" t="s">
        <v>3244</v>
      </c>
      <c r="C1096" s="25" t="s">
        <v>3245</v>
      </c>
      <c r="F1096" s="27">
        <v>39841</v>
      </c>
      <c r="G1096" s="27"/>
      <c r="H1096" s="27"/>
      <c r="I1096" s="27"/>
      <c r="J1096" s="27"/>
      <c r="K1096" s="27"/>
      <c r="L1096" s="27"/>
      <c r="M1096" s="27">
        <v>39841</v>
      </c>
      <c r="N1096" s="27"/>
    </row>
    <row r="1097" spans="1:14" x14ac:dyDescent="0.35">
      <c r="A1097" s="25" t="s">
        <v>3229</v>
      </c>
      <c r="B1097" s="26" t="s">
        <v>3671</v>
      </c>
      <c r="C1097" s="25" t="s">
        <v>3672</v>
      </c>
      <c r="F1097" s="27">
        <v>501975.26</v>
      </c>
      <c r="G1097" s="27">
        <v>501975.26</v>
      </c>
      <c r="H1097" s="27"/>
      <c r="I1097" s="27"/>
      <c r="J1097" s="27"/>
      <c r="K1097" s="27"/>
      <c r="L1097" s="27"/>
      <c r="M1097" s="27"/>
      <c r="N1097" s="27"/>
    </row>
    <row r="1098" spans="1:14" x14ac:dyDescent="0.35">
      <c r="A1098" s="25" t="s">
        <v>3229</v>
      </c>
      <c r="B1098" s="26" t="s">
        <v>3246</v>
      </c>
      <c r="C1098" s="25" t="s">
        <v>3247</v>
      </c>
      <c r="F1098" s="27">
        <v>104875</v>
      </c>
      <c r="G1098" s="27"/>
      <c r="H1098" s="27">
        <v>104875</v>
      </c>
      <c r="I1098" s="27"/>
      <c r="J1098" s="27"/>
      <c r="K1098" s="27"/>
      <c r="L1098" s="27"/>
      <c r="M1098" s="27"/>
      <c r="N1098" s="27"/>
    </row>
    <row r="1099" spans="1:14" x14ac:dyDescent="0.35">
      <c r="A1099" s="25" t="s">
        <v>3248</v>
      </c>
      <c r="B1099" s="26" t="s">
        <v>3249</v>
      </c>
      <c r="C1099" s="25" t="s">
        <v>3250</v>
      </c>
      <c r="F1099" s="27">
        <v>599658</v>
      </c>
      <c r="G1099" s="27"/>
      <c r="H1099" s="27">
        <v>599658</v>
      </c>
      <c r="I1099" s="27"/>
      <c r="J1099" s="27"/>
      <c r="K1099" s="27"/>
      <c r="L1099" s="27"/>
      <c r="M1099" s="27"/>
      <c r="N1099" s="27"/>
    </row>
    <row r="1100" spans="1:14" x14ac:dyDescent="0.35">
      <c r="A1100" s="25" t="s">
        <v>3251</v>
      </c>
      <c r="B1100" s="26" t="s">
        <v>3252</v>
      </c>
      <c r="C1100" s="25" t="s">
        <v>3253</v>
      </c>
      <c r="F1100" s="27">
        <v>202682</v>
      </c>
      <c r="G1100" s="27">
        <v>78258</v>
      </c>
      <c r="H1100" s="27">
        <v>124424</v>
      </c>
      <c r="I1100" s="27"/>
      <c r="J1100" s="27"/>
      <c r="K1100" s="27"/>
      <c r="L1100" s="27"/>
      <c r="M1100" s="27"/>
      <c r="N1100" s="27"/>
    </row>
    <row r="1101" spans="1:14" x14ac:dyDescent="0.35">
      <c r="A1101" s="25" t="s">
        <v>3251</v>
      </c>
      <c r="B1101" s="26" t="s">
        <v>3254</v>
      </c>
      <c r="C1101" s="25" t="s">
        <v>3255</v>
      </c>
      <c r="F1101" s="27">
        <v>111400.99</v>
      </c>
      <c r="G1101" s="27"/>
      <c r="H1101" s="27"/>
      <c r="I1101" s="27"/>
      <c r="J1101" s="27"/>
      <c r="K1101" s="27"/>
      <c r="L1101" s="27">
        <v>111400.99</v>
      </c>
      <c r="M1101" s="27"/>
      <c r="N1101" s="27"/>
    </row>
    <row r="1102" spans="1:14" x14ac:dyDescent="0.35">
      <c r="A1102" s="25" t="s">
        <v>3251</v>
      </c>
      <c r="B1102" s="26" t="s">
        <v>3256</v>
      </c>
      <c r="C1102" s="25" t="s">
        <v>3257</v>
      </c>
      <c r="F1102" s="27">
        <v>251567</v>
      </c>
      <c r="G1102" s="27"/>
      <c r="H1102" s="27"/>
      <c r="I1102" s="27"/>
      <c r="J1102" s="27"/>
      <c r="K1102" s="27"/>
      <c r="L1102" s="27"/>
      <c r="M1102" s="27"/>
      <c r="N1102" s="27">
        <v>251567</v>
      </c>
    </row>
    <row r="1103" spans="1:14" x14ac:dyDescent="0.35">
      <c r="A1103" s="25" t="s">
        <v>3251</v>
      </c>
      <c r="B1103" s="26" t="s">
        <v>3258</v>
      </c>
      <c r="C1103" s="25" t="s">
        <v>3259</v>
      </c>
      <c r="F1103" s="27">
        <v>8945</v>
      </c>
      <c r="G1103" s="27"/>
      <c r="H1103" s="27"/>
      <c r="I1103" s="27"/>
      <c r="J1103" s="27"/>
      <c r="K1103" s="27"/>
      <c r="L1103" s="27"/>
      <c r="M1103" s="27">
        <v>8945</v>
      </c>
      <c r="N1103" s="27"/>
    </row>
    <row r="1104" spans="1:14" x14ac:dyDescent="0.35">
      <c r="A1104" s="25" t="s">
        <v>3251</v>
      </c>
      <c r="B1104" s="26" t="s">
        <v>3260</v>
      </c>
      <c r="C1104" s="25" t="s">
        <v>3261</v>
      </c>
      <c r="F1104" s="27">
        <v>178416</v>
      </c>
      <c r="G1104" s="27"/>
      <c r="H1104" s="27"/>
      <c r="I1104" s="27"/>
      <c r="J1104" s="27"/>
      <c r="K1104" s="27">
        <v>178416</v>
      </c>
      <c r="L1104" s="27"/>
      <c r="M1104" s="27"/>
      <c r="N1104" s="27"/>
    </row>
    <row r="1105" spans="1:14" x14ac:dyDescent="0.35">
      <c r="A1105" s="25" t="s">
        <v>3251</v>
      </c>
      <c r="B1105" s="26" t="s">
        <v>3262</v>
      </c>
      <c r="C1105" s="25" t="s">
        <v>3263</v>
      </c>
      <c r="F1105" s="27">
        <v>38902</v>
      </c>
      <c r="G1105" s="27"/>
      <c r="H1105" s="27"/>
      <c r="I1105" s="27"/>
      <c r="J1105" s="27">
        <v>38902</v>
      </c>
      <c r="K1105" s="27"/>
      <c r="L1105" s="27"/>
      <c r="M1105" s="27"/>
      <c r="N1105" s="27"/>
    </row>
    <row r="1106" spans="1:14" x14ac:dyDescent="0.35">
      <c r="A1106" s="25" t="s">
        <v>3251</v>
      </c>
      <c r="B1106" s="26" t="s">
        <v>3264</v>
      </c>
      <c r="C1106" s="25" t="s">
        <v>3265</v>
      </c>
      <c r="F1106" s="27">
        <v>6108.6899999999987</v>
      </c>
      <c r="G1106" s="27"/>
      <c r="H1106" s="27"/>
      <c r="I1106" s="27"/>
      <c r="J1106" s="27"/>
      <c r="K1106" s="27"/>
      <c r="L1106" s="27"/>
      <c r="M1106" s="27">
        <v>6108.6899999999987</v>
      </c>
      <c r="N1106" s="27"/>
    </row>
    <row r="1107" spans="1:14" x14ac:dyDescent="0.35">
      <c r="A1107" s="25" t="s">
        <v>3251</v>
      </c>
      <c r="B1107" s="26" t="s">
        <v>3266</v>
      </c>
      <c r="C1107" s="25" t="s">
        <v>3267</v>
      </c>
      <c r="F1107" s="27">
        <v>27910.959999999992</v>
      </c>
      <c r="G1107" s="27"/>
      <c r="H1107" s="27"/>
      <c r="I1107" s="27"/>
      <c r="J1107" s="27"/>
      <c r="K1107" s="27"/>
      <c r="L1107" s="27"/>
      <c r="M1107" s="27"/>
      <c r="N1107" s="27">
        <v>27910.959999999992</v>
      </c>
    </row>
    <row r="1108" spans="1:14" x14ac:dyDescent="0.35">
      <c r="A1108" s="25" t="s">
        <v>3251</v>
      </c>
      <c r="B1108" s="26" t="s">
        <v>3268</v>
      </c>
      <c r="C1108" s="25" t="s">
        <v>3269</v>
      </c>
      <c r="F1108" s="27">
        <v>27210.54</v>
      </c>
      <c r="G1108" s="27"/>
      <c r="H1108" s="27"/>
      <c r="I1108" s="27"/>
      <c r="J1108" s="27"/>
      <c r="K1108" s="27"/>
      <c r="L1108" s="27"/>
      <c r="M1108" s="27">
        <v>27210.54</v>
      </c>
      <c r="N1108" s="27"/>
    </row>
    <row r="1109" spans="1:14" x14ac:dyDescent="0.35">
      <c r="A1109" s="25" t="s">
        <v>3251</v>
      </c>
      <c r="B1109" s="26" t="s">
        <v>3270</v>
      </c>
      <c r="C1109" s="25" t="s">
        <v>3271</v>
      </c>
      <c r="F1109" s="27">
        <v>154527</v>
      </c>
      <c r="G1109" s="27"/>
      <c r="H1109" s="27">
        <v>61733</v>
      </c>
      <c r="I1109" s="27">
        <v>92794</v>
      </c>
      <c r="J1109" s="27"/>
      <c r="K1109" s="27"/>
      <c r="L1109" s="27"/>
      <c r="M1109" s="27"/>
      <c r="N1109" s="27"/>
    </row>
    <row r="1110" spans="1:14" x14ac:dyDescent="0.35">
      <c r="A1110" s="25" t="s">
        <v>3272</v>
      </c>
      <c r="B1110" s="26" t="s">
        <v>3273</v>
      </c>
      <c r="C1110" s="25" t="s">
        <v>3274</v>
      </c>
      <c r="F1110" s="27">
        <v>131271</v>
      </c>
      <c r="G1110" s="27"/>
      <c r="H1110" s="27"/>
      <c r="I1110" s="27"/>
      <c r="J1110" s="27"/>
      <c r="K1110" s="27"/>
      <c r="L1110" s="27">
        <v>131271</v>
      </c>
      <c r="M1110" s="27"/>
      <c r="N1110" s="27"/>
    </row>
    <row r="1111" spans="1:14" x14ac:dyDescent="0.35">
      <c r="A1111" s="25" t="s">
        <v>3272</v>
      </c>
      <c r="B1111" s="26" t="s">
        <v>3275</v>
      </c>
      <c r="C1111" s="25" t="s">
        <v>3276</v>
      </c>
      <c r="F1111" s="27">
        <v>737904</v>
      </c>
      <c r="G1111" s="27"/>
      <c r="H1111" s="27"/>
      <c r="I1111" s="27"/>
      <c r="J1111" s="27"/>
      <c r="K1111" s="27"/>
      <c r="L1111" s="27">
        <v>737904</v>
      </c>
      <c r="M1111" s="27"/>
      <c r="N1111" s="27"/>
    </row>
    <row r="1112" spans="1:14" x14ac:dyDescent="0.35">
      <c r="A1112" s="25" t="s">
        <v>3272</v>
      </c>
      <c r="B1112" s="26" t="s">
        <v>3277</v>
      </c>
      <c r="C1112" s="25" t="s">
        <v>3278</v>
      </c>
      <c r="F1112" s="27">
        <v>32496.92</v>
      </c>
      <c r="G1112" s="27"/>
      <c r="H1112" s="27"/>
      <c r="I1112" s="27"/>
      <c r="J1112" s="27"/>
      <c r="K1112" s="27"/>
      <c r="L1112" s="27"/>
      <c r="M1112" s="27">
        <v>32496.92</v>
      </c>
      <c r="N1112" s="27"/>
    </row>
    <row r="1113" spans="1:14" x14ac:dyDescent="0.35">
      <c r="A1113" s="25" t="s">
        <v>3272</v>
      </c>
      <c r="B1113" s="26" t="s">
        <v>3279</v>
      </c>
      <c r="C1113" s="25" t="s">
        <v>3280</v>
      </c>
      <c r="F1113" s="27">
        <v>41973.1</v>
      </c>
      <c r="G1113" s="27"/>
      <c r="H1113" s="27"/>
      <c r="I1113" s="27"/>
      <c r="J1113" s="27"/>
      <c r="K1113" s="27"/>
      <c r="L1113" s="27">
        <v>41973.1</v>
      </c>
      <c r="M1113" s="27"/>
      <c r="N1113" s="27"/>
    </row>
    <row r="1114" spans="1:14" x14ac:dyDescent="0.35">
      <c r="A1114" s="25" t="s">
        <v>3272</v>
      </c>
      <c r="B1114" s="26" t="s">
        <v>3281</v>
      </c>
      <c r="C1114" s="25" t="s">
        <v>3282</v>
      </c>
      <c r="F1114" s="27">
        <v>630925</v>
      </c>
      <c r="G1114" s="27"/>
      <c r="H1114" s="27">
        <v>630925</v>
      </c>
      <c r="I1114" s="27"/>
      <c r="J1114" s="27"/>
      <c r="K1114" s="27"/>
      <c r="L1114" s="27"/>
      <c r="M1114" s="27"/>
      <c r="N1114" s="27"/>
    </row>
    <row r="1115" spans="1:14" x14ac:dyDescent="0.35">
      <c r="A1115" s="25" t="s">
        <v>3272</v>
      </c>
      <c r="B1115" s="26" t="s">
        <v>3283</v>
      </c>
      <c r="C1115" s="25" t="s">
        <v>3284</v>
      </c>
      <c r="F1115" s="27">
        <v>68400.160000000018</v>
      </c>
      <c r="G1115" s="27"/>
      <c r="H1115" s="27"/>
      <c r="I1115" s="27"/>
      <c r="J1115" s="27"/>
      <c r="K1115" s="27"/>
      <c r="L1115" s="27"/>
      <c r="M1115" s="27">
        <v>68400.160000000018</v>
      </c>
      <c r="N1115" s="27"/>
    </row>
    <row r="1116" spans="1:14" x14ac:dyDescent="0.35">
      <c r="A1116" s="25" t="s">
        <v>3272</v>
      </c>
      <c r="B1116" s="26" t="s">
        <v>3285</v>
      </c>
      <c r="C1116" s="25" t="s">
        <v>3286</v>
      </c>
      <c r="F1116" s="27">
        <v>67704</v>
      </c>
      <c r="G1116" s="27"/>
      <c r="H1116" s="27"/>
      <c r="I1116" s="27">
        <v>67704</v>
      </c>
      <c r="J1116" s="27"/>
      <c r="K1116" s="27"/>
      <c r="L1116" s="27"/>
      <c r="M1116" s="27"/>
      <c r="N1116" s="27"/>
    </row>
    <row r="1117" spans="1:14" x14ac:dyDescent="0.35">
      <c r="A1117" s="25" t="s">
        <v>3272</v>
      </c>
      <c r="B1117" s="26" t="s">
        <v>3765</v>
      </c>
      <c r="C1117" s="25" t="s">
        <v>3766</v>
      </c>
      <c r="F1117" s="27">
        <v>50976</v>
      </c>
      <c r="G1117" s="27">
        <v>50976</v>
      </c>
      <c r="H1117" s="27"/>
      <c r="I1117" s="27"/>
      <c r="J1117" s="27"/>
      <c r="K1117" s="27"/>
      <c r="L1117" s="27"/>
      <c r="M1117" s="27"/>
      <c r="N1117" s="27"/>
    </row>
    <row r="1118" spans="1:14" x14ac:dyDescent="0.35">
      <c r="A1118" s="25" t="s">
        <v>3287</v>
      </c>
      <c r="B1118" s="26" t="s">
        <v>3288</v>
      </c>
      <c r="C1118" s="25" t="s">
        <v>3289</v>
      </c>
      <c r="F1118" s="27">
        <v>718928</v>
      </c>
      <c r="G1118" s="27"/>
      <c r="H1118" s="27">
        <v>718928</v>
      </c>
      <c r="I1118" s="27"/>
      <c r="J1118" s="27"/>
      <c r="K1118" s="27"/>
      <c r="L1118" s="27"/>
      <c r="M1118" s="27"/>
      <c r="N1118" s="27"/>
    </row>
    <row r="1119" spans="1:14" x14ac:dyDescent="0.35">
      <c r="A1119" s="25" t="s">
        <v>3287</v>
      </c>
      <c r="B1119" s="26" t="s">
        <v>3290</v>
      </c>
      <c r="C1119" s="25" t="s">
        <v>3291</v>
      </c>
      <c r="F1119" s="27">
        <v>321914</v>
      </c>
      <c r="G1119" s="27"/>
      <c r="H1119" s="27">
        <v>321914</v>
      </c>
      <c r="I1119" s="27"/>
      <c r="J1119" s="27"/>
      <c r="K1119" s="27"/>
      <c r="L1119" s="27"/>
      <c r="M1119" s="27"/>
      <c r="N1119" s="27"/>
    </row>
    <row r="1120" spans="1:14" x14ac:dyDescent="0.35">
      <c r="A1120" s="25" t="s">
        <v>3287</v>
      </c>
      <c r="B1120" s="26" t="s">
        <v>3292</v>
      </c>
      <c r="C1120" s="25" t="s">
        <v>3293</v>
      </c>
      <c r="F1120" s="27">
        <v>223141</v>
      </c>
      <c r="G1120" s="27"/>
      <c r="H1120" s="27"/>
      <c r="I1120" s="27"/>
      <c r="J1120" s="27"/>
      <c r="K1120" s="27">
        <v>223141</v>
      </c>
      <c r="L1120" s="27"/>
      <c r="M1120" s="27"/>
      <c r="N1120" s="27"/>
    </row>
    <row r="1121" spans="1:14" x14ac:dyDescent="0.35">
      <c r="A1121" s="25" t="s">
        <v>3287</v>
      </c>
      <c r="B1121" s="26" t="s">
        <v>3294</v>
      </c>
      <c r="C1121" s="25" t="s">
        <v>3295</v>
      </c>
      <c r="F1121" s="27">
        <v>57803</v>
      </c>
      <c r="G1121" s="27"/>
      <c r="H1121" s="27"/>
      <c r="I1121" s="27"/>
      <c r="J1121" s="27"/>
      <c r="K1121" s="27"/>
      <c r="L1121" s="27"/>
      <c r="M1121" s="27">
        <v>57803</v>
      </c>
      <c r="N1121" s="27"/>
    </row>
    <row r="1122" spans="1:14" x14ac:dyDescent="0.35">
      <c r="A1122" s="25" t="s">
        <v>3287</v>
      </c>
      <c r="B1122" s="26" t="s">
        <v>3296</v>
      </c>
      <c r="C1122" s="25" t="s">
        <v>3297</v>
      </c>
      <c r="F1122" s="27">
        <v>237375</v>
      </c>
      <c r="G1122" s="27"/>
      <c r="H1122" s="27">
        <v>237375</v>
      </c>
      <c r="I1122" s="27"/>
      <c r="J1122" s="27"/>
      <c r="K1122" s="27"/>
      <c r="L1122" s="27"/>
      <c r="M1122" s="27"/>
      <c r="N1122" s="27"/>
    </row>
    <row r="1123" spans="1:14" x14ac:dyDescent="0.35">
      <c r="A1123" s="25" t="s">
        <v>3287</v>
      </c>
      <c r="B1123" s="26" t="s">
        <v>3298</v>
      </c>
      <c r="C1123" s="25" t="s">
        <v>3299</v>
      </c>
      <c r="F1123" s="27">
        <v>100776.68</v>
      </c>
      <c r="G1123" s="27"/>
      <c r="H1123" s="27"/>
      <c r="I1123" s="27"/>
      <c r="J1123" s="27"/>
      <c r="K1123" s="27"/>
      <c r="L1123" s="27"/>
      <c r="M1123" s="27">
        <v>100776.68</v>
      </c>
      <c r="N1123" s="27"/>
    </row>
    <row r="1124" spans="1:14" x14ac:dyDescent="0.35">
      <c r="A1124" s="25" t="s">
        <v>3287</v>
      </c>
      <c r="B1124" s="26" t="s">
        <v>3300</v>
      </c>
      <c r="C1124" s="25" t="s">
        <v>3301</v>
      </c>
      <c r="F1124" s="27">
        <v>186153</v>
      </c>
      <c r="G1124" s="27"/>
      <c r="H1124" s="27"/>
      <c r="I1124" s="27"/>
      <c r="J1124" s="27"/>
      <c r="K1124" s="27"/>
      <c r="L1124" s="27"/>
      <c r="M1124" s="27">
        <v>186153</v>
      </c>
      <c r="N1124" s="27"/>
    </row>
    <row r="1125" spans="1:14" x14ac:dyDescent="0.35">
      <c r="A1125" s="25" t="s">
        <v>3287</v>
      </c>
      <c r="B1125" s="26" t="s">
        <v>3302</v>
      </c>
      <c r="C1125" s="25" t="s">
        <v>3303</v>
      </c>
      <c r="F1125" s="27">
        <v>31876</v>
      </c>
      <c r="G1125" s="27"/>
      <c r="H1125" s="27"/>
      <c r="I1125" s="27">
        <v>31876</v>
      </c>
      <c r="J1125" s="27"/>
      <c r="K1125" s="27"/>
      <c r="L1125" s="27"/>
      <c r="M1125" s="27"/>
      <c r="N1125" s="27"/>
    </row>
    <row r="1126" spans="1:14" x14ac:dyDescent="0.35">
      <c r="A1126" s="25" t="s">
        <v>3287</v>
      </c>
      <c r="B1126" s="26" t="s">
        <v>3304</v>
      </c>
      <c r="C1126" s="25" t="s">
        <v>3305</v>
      </c>
      <c r="F1126" s="27">
        <v>36671.210000000006</v>
      </c>
      <c r="G1126" s="27"/>
      <c r="H1126" s="27"/>
      <c r="I1126" s="27"/>
      <c r="J1126" s="27"/>
      <c r="K1126" s="27"/>
      <c r="L1126" s="27"/>
      <c r="M1126" s="27">
        <v>36671.210000000006</v>
      </c>
      <c r="N1126" s="27"/>
    </row>
    <row r="1127" spans="1:14" x14ac:dyDescent="0.35">
      <c r="A1127" s="25" t="s">
        <v>3287</v>
      </c>
      <c r="B1127" s="26" t="s">
        <v>3306</v>
      </c>
      <c r="C1127" s="25" t="s">
        <v>3307</v>
      </c>
      <c r="F1127" s="27">
        <v>251281</v>
      </c>
      <c r="G1127" s="27"/>
      <c r="H1127" s="27">
        <v>251281</v>
      </c>
      <c r="I1127" s="27"/>
      <c r="J1127" s="27"/>
      <c r="K1127" s="27"/>
      <c r="L1127" s="27"/>
      <c r="M1127" s="27"/>
      <c r="N1127" s="27"/>
    </row>
    <row r="1128" spans="1:14" x14ac:dyDescent="0.35">
      <c r="A1128" s="25" t="s">
        <v>3287</v>
      </c>
      <c r="B1128" s="26" t="s">
        <v>3308</v>
      </c>
      <c r="C1128" s="25" t="s">
        <v>3309</v>
      </c>
      <c r="F1128" s="27">
        <v>11271.779999999999</v>
      </c>
      <c r="G1128" s="27"/>
      <c r="H1128" s="27"/>
      <c r="I1128" s="27"/>
      <c r="J1128" s="27"/>
      <c r="K1128" s="27"/>
      <c r="L1128" s="27">
        <v>11271.779999999999</v>
      </c>
      <c r="M1128" s="27"/>
      <c r="N1128" s="27"/>
    </row>
    <row r="1129" spans="1:14" x14ac:dyDescent="0.35">
      <c r="A1129" s="25" t="s">
        <v>3287</v>
      </c>
      <c r="B1129" s="26" t="s">
        <v>3310</v>
      </c>
      <c r="C1129" s="25" t="s">
        <v>3311</v>
      </c>
      <c r="F1129" s="27">
        <v>194690</v>
      </c>
      <c r="G1129" s="27"/>
      <c r="H1129" s="27">
        <v>76694</v>
      </c>
      <c r="I1129" s="27">
        <v>117996</v>
      </c>
      <c r="J1129" s="27"/>
      <c r="K1129" s="27"/>
      <c r="L1129" s="27"/>
      <c r="M1129" s="27"/>
      <c r="N1129" s="27"/>
    </row>
    <row r="1130" spans="1:14" x14ac:dyDescent="0.35">
      <c r="A1130" s="25" t="s">
        <v>3312</v>
      </c>
      <c r="B1130" s="26" t="s">
        <v>3313</v>
      </c>
      <c r="C1130" s="25" t="s">
        <v>3314</v>
      </c>
      <c r="F1130" s="27">
        <v>266271</v>
      </c>
      <c r="G1130" s="27"/>
      <c r="H1130" s="27">
        <v>266271</v>
      </c>
      <c r="I1130" s="27"/>
      <c r="J1130" s="27"/>
      <c r="K1130" s="27"/>
      <c r="L1130" s="27"/>
      <c r="M1130" s="27"/>
      <c r="N1130" s="27"/>
    </row>
    <row r="1131" spans="1:14" x14ac:dyDescent="0.35">
      <c r="A1131" s="25" t="s">
        <v>3312</v>
      </c>
      <c r="B1131" s="26" t="s">
        <v>3315</v>
      </c>
      <c r="C1131" s="25" t="s">
        <v>3316</v>
      </c>
      <c r="F1131" s="27">
        <v>40421.949999999997</v>
      </c>
      <c r="G1131" s="27"/>
      <c r="H1131" s="27"/>
      <c r="I1131" s="27"/>
      <c r="J1131" s="27"/>
      <c r="K1131" s="27"/>
      <c r="L1131" s="27"/>
      <c r="M1131" s="27">
        <v>40421.949999999997</v>
      </c>
      <c r="N1131" s="27"/>
    </row>
    <row r="1132" spans="1:14" x14ac:dyDescent="0.35">
      <c r="A1132" s="25" t="s">
        <v>3312</v>
      </c>
      <c r="B1132" s="26" t="s">
        <v>3317</v>
      </c>
      <c r="C1132" s="25" t="s">
        <v>3318</v>
      </c>
      <c r="F1132" s="27">
        <v>90000</v>
      </c>
      <c r="G1132" s="27"/>
      <c r="H1132" s="27">
        <v>90000</v>
      </c>
      <c r="I1132" s="27"/>
      <c r="J1132" s="27"/>
      <c r="K1132" s="27"/>
      <c r="L1132" s="27"/>
      <c r="M1132" s="27"/>
      <c r="N1132" s="27"/>
    </row>
    <row r="1133" spans="1:14" x14ac:dyDescent="0.35">
      <c r="A1133" s="25" t="s">
        <v>3312</v>
      </c>
      <c r="B1133" s="26" t="s">
        <v>3319</v>
      </c>
      <c r="C1133" s="25" t="s">
        <v>3320</v>
      </c>
      <c r="F1133" s="27">
        <v>53985.89</v>
      </c>
      <c r="G1133" s="27"/>
      <c r="H1133" s="27"/>
      <c r="I1133" s="27"/>
      <c r="J1133" s="27">
        <v>53985.89</v>
      </c>
      <c r="K1133" s="27"/>
      <c r="L1133" s="27"/>
      <c r="M1133" s="27"/>
      <c r="N1133" s="27"/>
    </row>
    <row r="1134" spans="1:14" x14ac:dyDescent="0.35">
      <c r="A1134" s="25" t="s">
        <v>3312</v>
      </c>
      <c r="B1134" s="26" t="s">
        <v>3321</v>
      </c>
      <c r="C1134" s="25" t="s">
        <v>3322</v>
      </c>
      <c r="F1134" s="27">
        <v>389756.68</v>
      </c>
      <c r="G1134" s="27"/>
      <c r="H1134" s="27"/>
      <c r="I1134" s="27"/>
      <c r="J1134" s="27"/>
      <c r="K1134" s="27"/>
      <c r="L1134" s="27"/>
      <c r="M1134" s="27">
        <v>389756.68</v>
      </c>
      <c r="N1134" s="27"/>
    </row>
    <row r="1135" spans="1:14" x14ac:dyDescent="0.35">
      <c r="A1135" s="25" t="s">
        <v>3312</v>
      </c>
      <c r="B1135" s="26" t="s">
        <v>3323</v>
      </c>
      <c r="C1135" s="25" t="s">
        <v>3324</v>
      </c>
      <c r="F1135" s="27">
        <v>1266181</v>
      </c>
      <c r="G1135" s="27"/>
      <c r="H1135" s="27"/>
      <c r="I1135" s="27">
        <v>683416</v>
      </c>
      <c r="J1135" s="27"/>
      <c r="K1135" s="27">
        <v>582765</v>
      </c>
      <c r="L1135" s="27"/>
      <c r="M1135" s="27"/>
      <c r="N1135" s="27"/>
    </row>
    <row r="1136" spans="1:14" x14ac:dyDescent="0.35">
      <c r="A1136" s="25" t="s">
        <v>3325</v>
      </c>
      <c r="B1136" s="26" t="s">
        <v>3326</v>
      </c>
      <c r="C1136" s="25" t="s">
        <v>3327</v>
      </c>
      <c r="F1136" s="27">
        <v>289089</v>
      </c>
      <c r="G1136" s="27"/>
      <c r="H1136" s="27"/>
      <c r="I1136" s="27"/>
      <c r="J1136" s="27">
        <v>64803</v>
      </c>
      <c r="K1136" s="27">
        <v>224286</v>
      </c>
      <c r="L1136" s="27"/>
      <c r="M1136" s="27"/>
      <c r="N1136" s="27"/>
    </row>
    <row r="1137" spans="1:14" x14ac:dyDescent="0.35">
      <c r="A1137" s="25" t="s">
        <v>3325</v>
      </c>
      <c r="B1137" s="26" t="s">
        <v>3328</v>
      </c>
      <c r="C1137" s="25" t="s">
        <v>3329</v>
      </c>
      <c r="F1137" s="27">
        <v>382551.02</v>
      </c>
      <c r="G1137" s="27"/>
      <c r="H1137" s="27"/>
      <c r="I1137" s="27"/>
      <c r="J1137" s="27"/>
      <c r="K1137" s="27"/>
      <c r="L1137" s="27"/>
      <c r="M1137" s="27">
        <v>382551.02</v>
      </c>
      <c r="N1137" s="27"/>
    </row>
    <row r="1138" spans="1:14" x14ac:dyDescent="0.35">
      <c r="A1138" s="25" t="s">
        <v>3325</v>
      </c>
      <c r="B1138" s="26" t="s">
        <v>3673</v>
      </c>
      <c r="C1138" s="25" t="s">
        <v>3674</v>
      </c>
      <c r="F1138" s="27">
        <v>122596</v>
      </c>
      <c r="G1138" s="27">
        <v>122596</v>
      </c>
      <c r="H1138" s="27"/>
      <c r="I1138" s="27"/>
      <c r="J1138" s="27"/>
      <c r="K1138" s="27"/>
      <c r="L1138" s="27"/>
      <c r="M1138" s="27"/>
      <c r="N1138" s="27"/>
    </row>
    <row r="1139" spans="1:14" x14ac:dyDescent="0.35">
      <c r="A1139" s="25" t="s">
        <v>3325</v>
      </c>
      <c r="B1139" s="26" t="s">
        <v>3330</v>
      </c>
      <c r="C1139" s="25" t="s">
        <v>3331</v>
      </c>
      <c r="F1139" s="27">
        <v>202369</v>
      </c>
      <c r="G1139" s="27"/>
      <c r="H1139" s="27"/>
      <c r="I1139" s="27"/>
      <c r="J1139" s="27"/>
      <c r="K1139" s="27">
        <v>202369</v>
      </c>
      <c r="L1139" s="27"/>
      <c r="M1139" s="27"/>
      <c r="N1139" s="27"/>
    </row>
    <row r="1140" spans="1:14" x14ac:dyDescent="0.35">
      <c r="A1140" s="25" t="s">
        <v>3325</v>
      </c>
      <c r="B1140" s="26" t="s">
        <v>3332</v>
      </c>
      <c r="C1140" s="25" t="s">
        <v>3333</v>
      </c>
      <c r="F1140" s="27">
        <v>795215.64</v>
      </c>
      <c r="G1140" s="27"/>
      <c r="H1140" s="27">
        <v>302721</v>
      </c>
      <c r="I1140" s="27">
        <v>492494.64</v>
      </c>
      <c r="J1140" s="27"/>
      <c r="K1140" s="27"/>
      <c r="L1140" s="27"/>
      <c r="M1140" s="27"/>
      <c r="N1140" s="27"/>
    </row>
    <row r="1141" spans="1:14" x14ac:dyDescent="0.35">
      <c r="A1141" s="25" t="s">
        <v>3325</v>
      </c>
      <c r="B1141" s="26" t="s">
        <v>3334</v>
      </c>
      <c r="C1141" s="25" t="s">
        <v>3335</v>
      </c>
      <c r="F1141" s="27">
        <v>487672.69</v>
      </c>
      <c r="G1141" s="27"/>
      <c r="H1141" s="27">
        <v>135432</v>
      </c>
      <c r="I1141" s="27"/>
      <c r="J1141" s="27">
        <v>352240.69</v>
      </c>
      <c r="K1141" s="27"/>
      <c r="L1141" s="27"/>
      <c r="M1141" s="27"/>
      <c r="N1141" s="27"/>
    </row>
    <row r="1142" spans="1:14" x14ac:dyDescent="0.35">
      <c r="A1142" s="25" t="s">
        <v>3325</v>
      </c>
      <c r="B1142" s="26" t="s">
        <v>3336</v>
      </c>
      <c r="C1142" s="25" t="s">
        <v>3337</v>
      </c>
      <c r="F1142" s="27">
        <v>1298673</v>
      </c>
      <c r="G1142" s="27"/>
      <c r="H1142" s="27"/>
      <c r="I1142" s="27">
        <v>1253498</v>
      </c>
      <c r="J1142" s="27">
        <v>45175</v>
      </c>
      <c r="K1142" s="27"/>
      <c r="L1142" s="27"/>
      <c r="M1142" s="27"/>
      <c r="N1142" s="27"/>
    </row>
    <row r="1143" spans="1:14" x14ac:dyDescent="0.35">
      <c r="A1143" s="25" t="s">
        <v>3325</v>
      </c>
      <c r="B1143" s="26" t="s">
        <v>3338</v>
      </c>
      <c r="C1143" s="25" t="s">
        <v>3339</v>
      </c>
      <c r="F1143" s="27">
        <v>2274.4000000000015</v>
      </c>
      <c r="G1143" s="27"/>
      <c r="H1143" s="27"/>
      <c r="I1143" s="27"/>
      <c r="J1143" s="27"/>
      <c r="K1143" s="27"/>
      <c r="L1143" s="27"/>
      <c r="M1143" s="27">
        <v>2274.4000000000015</v>
      </c>
      <c r="N1143" s="27"/>
    </row>
    <row r="1144" spans="1:14" x14ac:dyDescent="0.35">
      <c r="A1144" s="25" t="s">
        <v>3325</v>
      </c>
      <c r="B1144" s="26" t="s">
        <v>3340</v>
      </c>
      <c r="C1144" s="25" t="s">
        <v>3341</v>
      </c>
      <c r="F1144" s="27">
        <v>292330</v>
      </c>
      <c r="G1144" s="27">
        <v>149897</v>
      </c>
      <c r="H1144" s="27">
        <v>142433</v>
      </c>
      <c r="I1144" s="27"/>
      <c r="J1144" s="27"/>
      <c r="K1144" s="27"/>
      <c r="L1144" s="27"/>
      <c r="M1144" s="27"/>
      <c r="N1144" s="27"/>
    </row>
    <row r="1145" spans="1:14" x14ac:dyDescent="0.35">
      <c r="A1145" s="25" t="s">
        <v>3325</v>
      </c>
      <c r="B1145" s="26" t="s">
        <v>3342</v>
      </c>
      <c r="C1145" s="25" t="s">
        <v>3343</v>
      </c>
      <c r="F1145" s="27">
        <v>293070.2</v>
      </c>
      <c r="G1145" s="27"/>
      <c r="H1145" s="27"/>
      <c r="I1145" s="27"/>
      <c r="J1145" s="27"/>
      <c r="K1145" s="27"/>
      <c r="L1145" s="27">
        <v>18467</v>
      </c>
      <c r="M1145" s="27">
        <v>274603.2</v>
      </c>
      <c r="N1145" s="27"/>
    </row>
    <row r="1146" spans="1:14" x14ac:dyDescent="0.35">
      <c r="A1146" s="25" t="s">
        <v>3325</v>
      </c>
      <c r="B1146" s="26" t="s">
        <v>3344</v>
      </c>
      <c r="C1146" s="25" t="s">
        <v>3345</v>
      </c>
      <c r="F1146" s="27">
        <v>126770</v>
      </c>
      <c r="G1146" s="27"/>
      <c r="H1146" s="27">
        <v>126770</v>
      </c>
      <c r="I1146" s="27"/>
      <c r="J1146" s="27"/>
      <c r="K1146" s="27"/>
      <c r="L1146" s="27"/>
      <c r="M1146" s="27"/>
      <c r="N1146" s="27"/>
    </row>
    <row r="1147" spans="1:14" x14ac:dyDescent="0.35">
      <c r="A1147" s="25" t="s">
        <v>3325</v>
      </c>
      <c r="B1147" s="26" t="s">
        <v>3346</v>
      </c>
      <c r="C1147" s="25" t="s">
        <v>3347</v>
      </c>
      <c r="F1147" s="27">
        <v>109937</v>
      </c>
      <c r="G1147" s="27"/>
      <c r="H1147" s="27"/>
      <c r="I1147" s="27"/>
      <c r="J1147" s="27"/>
      <c r="K1147" s="27">
        <v>33007</v>
      </c>
      <c r="L1147" s="27">
        <v>76930</v>
      </c>
      <c r="M1147" s="27"/>
      <c r="N1147" s="27"/>
    </row>
    <row r="1148" spans="1:14" x14ac:dyDescent="0.35">
      <c r="A1148" s="25" t="s">
        <v>3325</v>
      </c>
      <c r="B1148" s="26" t="s">
        <v>3348</v>
      </c>
      <c r="C1148" s="25" t="s">
        <v>3349</v>
      </c>
      <c r="F1148" s="27">
        <v>87167</v>
      </c>
      <c r="G1148" s="27"/>
      <c r="H1148" s="27"/>
      <c r="I1148" s="27"/>
      <c r="J1148" s="27"/>
      <c r="K1148" s="27">
        <v>87167</v>
      </c>
      <c r="L1148" s="27"/>
      <c r="M1148" s="27"/>
      <c r="N1148" s="27"/>
    </row>
    <row r="1149" spans="1:14" x14ac:dyDescent="0.35">
      <c r="A1149" s="25" t="s">
        <v>3325</v>
      </c>
      <c r="B1149" s="26" t="s">
        <v>3350</v>
      </c>
      <c r="C1149" s="25" t="s">
        <v>3351</v>
      </c>
      <c r="F1149" s="27">
        <v>550492</v>
      </c>
      <c r="G1149" s="27"/>
      <c r="H1149" s="27"/>
      <c r="I1149" s="27">
        <v>550492</v>
      </c>
      <c r="J1149" s="27"/>
      <c r="K1149" s="27"/>
      <c r="L1149" s="27"/>
      <c r="M1149" s="27"/>
      <c r="N1149" s="27"/>
    </row>
    <row r="1150" spans="1:14" x14ac:dyDescent="0.35">
      <c r="A1150" s="25" t="s">
        <v>3325</v>
      </c>
      <c r="B1150" s="26" t="s">
        <v>3352</v>
      </c>
      <c r="C1150" s="25" t="s">
        <v>3353</v>
      </c>
      <c r="F1150" s="27">
        <v>309185</v>
      </c>
      <c r="G1150" s="27"/>
      <c r="H1150" s="27"/>
      <c r="I1150" s="27">
        <v>177153</v>
      </c>
      <c r="J1150" s="27">
        <v>132032</v>
      </c>
      <c r="K1150" s="27"/>
      <c r="L1150" s="27"/>
      <c r="M1150" s="27"/>
      <c r="N1150" s="27"/>
    </row>
    <row r="1151" spans="1:14" x14ac:dyDescent="0.35">
      <c r="A1151" s="25" t="s">
        <v>3325</v>
      </c>
      <c r="B1151" s="26" t="s">
        <v>3354</v>
      </c>
      <c r="C1151" s="25" t="s">
        <v>3355</v>
      </c>
      <c r="F1151" s="27">
        <v>179112</v>
      </c>
      <c r="G1151" s="27"/>
      <c r="H1151" s="27">
        <v>179112</v>
      </c>
      <c r="I1151" s="27"/>
      <c r="J1151" s="27"/>
      <c r="K1151" s="27"/>
      <c r="L1151" s="27"/>
      <c r="M1151" s="27"/>
      <c r="N1151" s="27"/>
    </row>
    <row r="1152" spans="1:14" x14ac:dyDescent="0.35">
      <c r="A1152" s="25" t="s">
        <v>3356</v>
      </c>
      <c r="B1152" s="26" t="s">
        <v>3357</v>
      </c>
      <c r="C1152" s="25" t="s">
        <v>3358</v>
      </c>
      <c r="F1152" s="27">
        <v>43341</v>
      </c>
      <c r="G1152" s="27"/>
      <c r="H1152" s="27">
        <v>43341</v>
      </c>
      <c r="I1152" s="27"/>
      <c r="J1152" s="27"/>
      <c r="K1152" s="27"/>
      <c r="L1152" s="27"/>
      <c r="M1152" s="27"/>
      <c r="N1152" s="27"/>
    </row>
    <row r="1153" spans="1:14" x14ac:dyDescent="0.35">
      <c r="A1153" s="25" t="s">
        <v>3356</v>
      </c>
      <c r="B1153" s="26" t="s">
        <v>3359</v>
      </c>
      <c r="C1153" s="25" t="s">
        <v>3360</v>
      </c>
      <c r="F1153" s="27">
        <v>61563</v>
      </c>
      <c r="G1153" s="27"/>
      <c r="H1153" s="27"/>
      <c r="I1153" s="27"/>
      <c r="J1153" s="27"/>
      <c r="K1153" s="27"/>
      <c r="L1153" s="27"/>
      <c r="M1153" s="27">
        <v>61563</v>
      </c>
      <c r="N1153" s="27"/>
    </row>
    <row r="1154" spans="1:14" x14ac:dyDescent="0.35">
      <c r="A1154" s="25" t="s">
        <v>3361</v>
      </c>
      <c r="B1154" s="26" t="s">
        <v>3362</v>
      </c>
      <c r="C1154" s="25" t="s">
        <v>3363</v>
      </c>
      <c r="F1154" s="27">
        <v>427572</v>
      </c>
      <c r="G1154" s="27"/>
      <c r="H1154" s="27">
        <v>427572</v>
      </c>
      <c r="I1154" s="27"/>
      <c r="J1154" s="27"/>
      <c r="K1154" s="27"/>
      <c r="L1154" s="27"/>
      <c r="M1154" s="27"/>
      <c r="N1154" s="27"/>
    </row>
    <row r="1155" spans="1:14" x14ac:dyDescent="0.35">
      <c r="A1155" s="25" t="s">
        <v>3361</v>
      </c>
      <c r="B1155" s="26" t="s">
        <v>3364</v>
      </c>
      <c r="C1155" s="25" t="s">
        <v>3365</v>
      </c>
      <c r="F1155" s="27">
        <v>107534</v>
      </c>
      <c r="G1155" s="27"/>
      <c r="H1155" s="27"/>
      <c r="I1155" s="27"/>
      <c r="J1155" s="27">
        <v>107534</v>
      </c>
      <c r="K1155" s="27"/>
      <c r="L1155" s="27"/>
      <c r="M1155" s="27"/>
      <c r="N1155" s="27"/>
    </row>
  </sheetData>
  <autoFilter ref="A4:O4" xr:uid="{6F5D8BC1-AF0A-4BCD-B5A6-AEF94DB7B01F}"/>
  <mergeCells count="1">
    <mergeCell ref="A3:B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5092F-B8C5-4AE3-A6A4-28690D81A86D}">
  <sheetPr codeName="Sheet3">
    <tabColor rgb="FF00B0F0"/>
  </sheetPr>
  <dimension ref="A2:K3705"/>
  <sheetViews>
    <sheetView zoomScaleNormal="100" workbookViewId="0">
      <pane xSplit="5" ySplit="2" topLeftCell="F3694" activePane="bottomRight" state="frozen"/>
      <selection pane="topRight" activeCell="F1" sqref="F1"/>
      <selection pane="bottomLeft" activeCell="A3" sqref="A3"/>
      <selection pane="bottomRight" activeCell="G3708" sqref="G3708"/>
    </sheetView>
  </sheetViews>
  <sheetFormatPr defaultRowHeight="14.5" x14ac:dyDescent="0.35"/>
  <cols>
    <col min="1" max="2" width="10.81640625" bestFit="1" customWidth="1"/>
    <col min="3" max="3" width="10.08984375" bestFit="1" customWidth="1"/>
    <col min="4" max="4" width="7.7265625" bestFit="1" customWidth="1"/>
    <col min="5" max="5" width="13.7265625" customWidth="1"/>
    <col min="6" max="6" width="11.453125" bestFit="1" customWidth="1"/>
    <col min="7" max="7" width="44.1796875" bestFit="1" customWidth="1"/>
    <col min="8" max="8" width="10.08984375" bestFit="1" customWidth="1"/>
    <col min="9" max="11" width="12.1796875" style="5" bestFit="1" customWidth="1"/>
  </cols>
  <sheetData>
    <row r="2" spans="1:11" s="11" customFormat="1" ht="42" x14ac:dyDescent="0.35">
      <c r="A2" s="9" t="s">
        <v>2023</v>
      </c>
      <c r="B2" s="9" t="s">
        <v>2024</v>
      </c>
      <c r="C2" s="9" t="s">
        <v>2025</v>
      </c>
      <c r="D2" s="9" t="s">
        <v>2026</v>
      </c>
      <c r="E2" s="9" t="s">
        <v>2027</v>
      </c>
      <c r="F2" s="9" t="s">
        <v>2</v>
      </c>
      <c r="G2" s="9" t="s">
        <v>3</v>
      </c>
      <c r="H2" s="9" t="s">
        <v>2028</v>
      </c>
      <c r="I2" s="13" t="s">
        <v>2029</v>
      </c>
      <c r="J2" s="13" t="s">
        <v>2030</v>
      </c>
      <c r="K2" s="13" t="s">
        <v>2031</v>
      </c>
    </row>
    <row r="3" spans="1:11" x14ac:dyDescent="0.35">
      <c r="A3">
        <v>9300000606</v>
      </c>
      <c r="B3">
        <v>9400011825</v>
      </c>
      <c r="C3" s="10">
        <v>46178</v>
      </c>
      <c r="D3" t="s">
        <v>2032</v>
      </c>
      <c r="E3" s="11">
        <v>18920981</v>
      </c>
      <c r="F3" t="s">
        <v>651</v>
      </c>
      <c r="G3" t="s">
        <v>652</v>
      </c>
      <c r="H3" s="10">
        <v>46223</v>
      </c>
      <c r="I3">
        <v>94868.46</v>
      </c>
      <c r="J3">
        <v>0</v>
      </c>
      <c r="K3">
        <v>94868.46</v>
      </c>
    </row>
    <row r="4" spans="1:11" x14ac:dyDescent="0.35">
      <c r="A4">
        <v>2720000390</v>
      </c>
      <c r="B4">
        <v>9400011815</v>
      </c>
      <c r="C4" s="10">
        <v>46178</v>
      </c>
      <c r="D4" t="s">
        <v>2032</v>
      </c>
      <c r="E4" s="11">
        <v>18919973</v>
      </c>
      <c r="F4" t="s">
        <v>771</v>
      </c>
      <c r="G4" t="s">
        <v>772</v>
      </c>
      <c r="H4" s="10">
        <v>46223</v>
      </c>
      <c r="I4">
        <v>111702.1</v>
      </c>
      <c r="J4">
        <v>0</v>
      </c>
      <c r="K4">
        <v>111702.1</v>
      </c>
    </row>
    <row r="5" spans="1:11" x14ac:dyDescent="0.35">
      <c r="A5">
        <v>2720000389</v>
      </c>
      <c r="B5">
        <v>9400011809</v>
      </c>
      <c r="C5" s="10">
        <v>46178</v>
      </c>
      <c r="D5" t="s">
        <v>2032</v>
      </c>
      <c r="E5" s="11">
        <v>18941606</v>
      </c>
      <c r="F5" t="s">
        <v>261</v>
      </c>
      <c r="G5" t="s">
        <v>262</v>
      </c>
      <c r="H5" s="10">
        <v>46192</v>
      </c>
      <c r="I5">
        <v>15292.8</v>
      </c>
      <c r="J5">
        <v>0</v>
      </c>
      <c r="K5">
        <v>15292.8</v>
      </c>
    </row>
    <row r="6" spans="1:11" x14ac:dyDescent="0.35">
      <c r="A6">
        <v>2720000388</v>
      </c>
      <c r="B6">
        <v>9400011807</v>
      </c>
      <c r="C6" s="10">
        <v>46178</v>
      </c>
      <c r="D6" t="s">
        <v>2032</v>
      </c>
      <c r="E6" s="11">
        <v>18941497</v>
      </c>
      <c r="F6" t="s">
        <v>261</v>
      </c>
      <c r="G6" t="s">
        <v>262</v>
      </c>
      <c r="H6" s="10">
        <v>46223</v>
      </c>
      <c r="I6">
        <v>82923.48</v>
      </c>
      <c r="J6">
        <v>0</v>
      </c>
      <c r="K6">
        <v>82923.48</v>
      </c>
    </row>
    <row r="7" spans="1:11" x14ac:dyDescent="0.35">
      <c r="A7">
        <v>2730000545</v>
      </c>
      <c r="B7">
        <v>9400011803</v>
      </c>
      <c r="C7" s="10">
        <v>46178</v>
      </c>
      <c r="D7" t="s">
        <v>2032</v>
      </c>
      <c r="E7" s="11">
        <v>18920388</v>
      </c>
      <c r="F7" t="s">
        <v>1061</v>
      </c>
      <c r="G7" t="s">
        <v>1062</v>
      </c>
      <c r="H7" s="10">
        <v>46223</v>
      </c>
      <c r="I7">
        <v>35112.22</v>
      </c>
      <c r="J7">
        <v>0</v>
      </c>
      <c r="K7">
        <v>35112.22</v>
      </c>
    </row>
    <row r="8" spans="1:11" x14ac:dyDescent="0.35">
      <c r="A8">
        <v>9300000605</v>
      </c>
      <c r="B8">
        <v>9400011801</v>
      </c>
      <c r="C8" s="10">
        <v>46178</v>
      </c>
      <c r="D8" t="s">
        <v>2032</v>
      </c>
      <c r="E8" s="11">
        <v>18931326</v>
      </c>
      <c r="F8" t="s">
        <v>421</v>
      </c>
      <c r="G8" t="s">
        <v>422</v>
      </c>
      <c r="H8" s="10">
        <v>46223</v>
      </c>
      <c r="I8">
        <v>13504.4</v>
      </c>
      <c r="J8">
        <v>0</v>
      </c>
      <c r="K8">
        <v>13504.4</v>
      </c>
    </row>
    <row r="9" spans="1:11" x14ac:dyDescent="0.35">
      <c r="A9">
        <v>5100000748</v>
      </c>
      <c r="B9">
        <v>9400011800</v>
      </c>
      <c r="C9" s="10">
        <v>46178</v>
      </c>
      <c r="D9" t="s">
        <v>2032</v>
      </c>
      <c r="E9" s="11" t="s">
        <v>3767</v>
      </c>
      <c r="F9" t="s">
        <v>1389</v>
      </c>
      <c r="G9" t="s">
        <v>1390</v>
      </c>
      <c r="H9" s="10">
        <v>46178</v>
      </c>
      <c r="I9">
        <v>5316.95</v>
      </c>
      <c r="J9">
        <v>0</v>
      </c>
      <c r="K9">
        <v>5316.95</v>
      </c>
    </row>
    <row r="10" spans="1:11" x14ac:dyDescent="0.35">
      <c r="A10">
        <v>9300000604</v>
      </c>
      <c r="B10">
        <v>9400011799</v>
      </c>
      <c r="C10" s="10">
        <v>46178</v>
      </c>
      <c r="D10" t="s">
        <v>2032</v>
      </c>
      <c r="E10" s="11">
        <v>18920981</v>
      </c>
      <c r="F10" t="s">
        <v>421</v>
      </c>
      <c r="G10" t="s">
        <v>422</v>
      </c>
      <c r="H10" s="10">
        <v>46192</v>
      </c>
      <c r="I10">
        <v>24893.279999999999</v>
      </c>
      <c r="J10">
        <v>0</v>
      </c>
      <c r="K10">
        <v>24893.279999999999</v>
      </c>
    </row>
    <row r="11" spans="1:11" x14ac:dyDescent="0.35">
      <c r="A11">
        <v>2720000386</v>
      </c>
      <c r="B11">
        <v>9400011797</v>
      </c>
      <c r="C11" s="10">
        <v>46178</v>
      </c>
      <c r="D11" t="s">
        <v>2032</v>
      </c>
      <c r="E11" s="11">
        <v>18941492</v>
      </c>
      <c r="F11" t="s">
        <v>575</v>
      </c>
      <c r="G11" t="s">
        <v>576</v>
      </c>
      <c r="H11" s="10">
        <v>46192</v>
      </c>
      <c r="I11">
        <v>6513.6</v>
      </c>
      <c r="J11">
        <v>0</v>
      </c>
      <c r="K11">
        <v>6513.6</v>
      </c>
    </row>
    <row r="12" spans="1:11" x14ac:dyDescent="0.35">
      <c r="A12">
        <v>3000000939</v>
      </c>
      <c r="B12">
        <v>9400011793</v>
      </c>
      <c r="C12" s="10">
        <v>46178</v>
      </c>
      <c r="D12" t="s">
        <v>2032</v>
      </c>
      <c r="E12" s="11">
        <v>18921108</v>
      </c>
      <c r="F12" t="s">
        <v>487</v>
      </c>
      <c r="G12" t="s">
        <v>488</v>
      </c>
      <c r="H12" s="10">
        <v>46223</v>
      </c>
      <c r="I12">
        <v>28207.9</v>
      </c>
      <c r="J12">
        <v>0</v>
      </c>
      <c r="K12">
        <v>28207.9</v>
      </c>
    </row>
    <row r="13" spans="1:11" x14ac:dyDescent="0.35">
      <c r="A13">
        <v>9300000603</v>
      </c>
      <c r="B13">
        <v>9400011789</v>
      </c>
      <c r="C13" s="10">
        <v>46178</v>
      </c>
      <c r="D13" t="s">
        <v>2032</v>
      </c>
      <c r="E13" s="11">
        <v>18920981</v>
      </c>
      <c r="F13" t="s">
        <v>3761</v>
      </c>
      <c r="G13" t="s">
        <v>3762</v>
      </c>
      <c r="H13" s="10">
        <v>46223</v>
      </c>
      <c r="I13">
        <v>105408.28</v>
      </c>
      <c r="J13">
        <v>0</v>
      </c>
      <c r="K13">
        <v>105408.28</v>
      </c>
    </row>
    <row r="14" spans="1:11" x14ac:dyDescent="0.35">
      <c r="A14">
        <v>9300000602</v>
      </c>
      <c r="B14">
        <v>9400011784</v>
      </c>
      <c r="C14" s="10">
        <v>46178</v>
      </c>
      <c r="D14" t="s">
        <v>2032</v>
      </c>
      <c r="E14" s="11">
        <v>18921193</v>
      </c>
      <c r="F14" t="s">
        <v>607</v>
      </c>
      <c r="G14" t="s">
        <v>608</v>
      </c>
      <c r="H14" s="10">
        <v>46223</v>
      </c>
      <c r="I14">
        <v>64192</v>
      </c>
      <c r="J14">
        <v>0</v>
      </c>
      <c r="K14">
        <v>64192</v>
      </c>
    </row>
    <row r="15" spans="1:11" x14ac:dyDescent="0.35">
      <c r="A15">
        <v>5100000746</v>
      </c>
      <c r="B15">
        <v>9400011783</v>
      </c>
      <c r="C15" s="10">
        <v>46178</v>
      </c>
      <c r="D15" t="s">
        <v>2032</v>
      </c>
      <c r="E15" s="11">
        <v>18919622</v>
      </c>
      <c r="F15" t="s">
        <v>298</v>
      </c>
      <c r="G15" t="s">
        <v>299</v>
      </c>
      <c r="H15" s="10">
        <v>46223</v>
      </c>
      <c r="I15">
        <v>246723.84</v>
      </c>
      <c r="J15">
        <v>0</v>
      </c>
      <c r="K15">
        <v>246723.84</v>
      </c>
    </row>
    <row r="16" spans="1:11" x14ac:dyDescent="0.35">
      <c r="A16">
        <v>2300000507</v>
      </c>
      <c r="B16">
        <v>9400011776</v>
      </c>
      <c r="C16" s="10">
        <v>46178</v>
      </c>
      <c r="D16" t="s">
        <v>2032</v>
      </c>
      <c r="E16" s="11">
        <v>18931437</v>
      </c>
      <c r="F16" t="s">
        <v>461</v>
      </c>
      <c r="G16" t="s">
        <v>462</v>
      </c>
      <c r="H16" s="10">
        <v>46223</v>
      </c>
      <c r="I16">
        <v>28223.24</v>
      </c>
      <c r="J16">
        <v>0</v>
      </c>
      <c r="K16">
        <v>28223.24</v>
      </c>
    </row>
    <row r="17" spans="1:11" x14ac:dyDescent="0.35">
      <c r="A17">
        <v>2300000506</v>
      </c>
      <c r="B17">
        <v>9400011775</v>
      </c>
      <c r="C17" s="10">
        <v>46178</v>
      </c>
      <c r="D17" t="s">
        <v>2032</v>
      </c>
      <c r="E17" s="11">
        <v>18931371</v>
      </c>
      <c r="F17" t="s">
        <v>37</v>
      </c>
      <c r="G17" t="s">
        <v>38</v>
      </c>
      <c r="H17" s="10">
        <v>46192</v>
      </c>
      <c r="I17">
        <v>101952</v>
      </c>
      <c r="J17">
        <v>0</v>
      </c>
      <c r="K17">
        <v>101952</v>
      </c>
    </row>
    <row r="18" spans="1:11" x14ac:dyDescent="0.35">
      <c r="A18">
        <v>8000000637</v>
      </c>
      <c r="B18">
        <v>9400011772</v>
      </c>
      <c r="C18" s="10">
        <v>46178</v>
      </c>
      <c r="D18" t="s">
        <v>2032</v>
      </c>
      <c r="E18" s="11" t="s">
        <v>2033</v>
      </c>
      <c r="F18" t="s">
        <v>403</v>
      </c>
      <c r="G18" t="s">
        <v>404</v>
      </c>
      <c r="H18" s="10">
        <v>46178</v>
      </c>
      <c r="I18">
        <v>261.07</v>
      </c>
      <c r="J18">
        <v>0</v>
      </c>
      <c r="K18">
        <v>261.07</v>
      </c>
    </row>
    <row r="19" spans="1:11" x14ac:dyDescent="0.35">
      <c r="A19">
        <v>2720000385</v>
      </c>
      <c r="B19">
        <v>9400011768</v>
      </c>
      <c r="C19" s="10">
        <v>46178</v>
      </c>
      <c r="D19" t="s">
        <v>2032</v>
      </c>
      <c r="E19" s="11">
        <v>18921001</v>
      </c>
      <c r="F19" t="s">
        <v>575</v>
      </c>
      <c r="G19" t="s">
        <v>576</v>
      </c>
      <c r="H19" s="10">
        <v>46223</v>
      </c>
      <c r="I19">
        <v>90298.16</v>
      </c>
      <c r="J19">
        <v>0</v>
      </c>
      <c r="K19">
        <v>90298.16</v>
      </c>
    </row>
    <row r="20" spans="1:11" x14ac:dyDescent="0.35">
      <c r="A20">
        <v>2720000384</v>
      </c>
      <c r="B20">
        <v>9400011765</v>
      </c>
      <c r="C20" s="10">
        <v>46178</v>
      </c>
      <c r="D20" t="s">
        <v>2032</v>
      </c>
      <c r="E20" s="11">
        <v>18921237</v>
      </c>
      <c r="F20" t="s">
        <v>497</v>
      </c>
      <c r="G20" t="s">
        <v>498</v>
      </c>
      <c r="H20" s="10">
        <v>46223</v>
      </c>
      <c r="I20">
        <v>14046.72</v>
      </c>
      <c r="J20">
        <v>0</v>
      </c>
      <c r="K20">
        <v>14046.72</v>
      </c>
    </row>
    <row r="21" spans="1:11" x14ac:dyDescent="0.35">
      <c r="A21">
        <v>2720000383</v>
      </c>
      <c r="B21">
        <v>9400011758</v>
      </c>
      <c r="C21" s="10">
        <v>46178</v>
      </c>
      <c r="D21" t="s">
        <v>2032</v>
      </c>
      <c r="E21" s="11">
        <v>18921237</v>
      </c>
      <c r="F21" t="s">
        <v>497</v>
      </c>
      <c r="G21" t="s">
        <v>498</v>
      </c>
      <c r="H21" s="10">
        <v>46192</v>
      </c>
      <c r="I21">
        <v>13990.08</v>
      </c>
      <c r="J21">
        <v>0</v>
      </c>
      <c r="K21">
        <v>13990.08</v>
      </c>
    </row>
    <row r="22" spans="1:11" x14ac:dyDescent="0.35">
      <c r="A22">
        <v>2720000382</v>
      </c>
      <c r="B22">
        <v>9400011754</v>
      </c>
      <c r="C22" s="10">
        <v>46178</v>
      </c>
      <c r="D22" t="s">
        <v>2032</v>
      </c>
      <c r="E22" s="11">
        <v>18921092</v>
      </c>
      <c r="F22" t="s">
        <v>957</v>
      </c>
      <c r="G22" t="s">
        <v>958</v>
      </c>
      <c r="H22" s="10">
        <v>46223</v>
      </c>
      <c r="I22">
        <v>36281.46</v>
      </c>
      <c r="J22">
        <v>0</v>
      </c>
      <c r="K22">
        <v>36281.46</v>
      </c>
    </row>
    <row r="23" spans="1:11" x14ac:dyDescent="0.35">
      <c r="A23">
        <v>2730000543</v>
      </c>
      <c r="B23">
        <v>9400011743</v>
      </c>
      <c r="C23" s="10">
        <v>46178</v>
      </c>
      <c r="D23" t="s">
        <v>2032</v>
      </c>
      <c r="E23" s="11">
        <v>18921097</v>
      </c>
      <c r="F23" t="s">
        <v>3551</v>
      </c>
      <c r="G23" t="s">
        <v>3552</v>
      </c>
      <c r="H23" s="10">
        <v>46223</v>
      </c>
      <c r="I23">
        <v>69527.62</v>
      </c>
      <c r="J23">
        <v>0</v>
      </c>
      <c r="K23">
        <v>69527.62</v>
      </c>
    </row>
    <row r="24" spans="1:11" x14ac:dyDescent="0.35">
      <c r="A24">
        <v>3000000937</v>
      </c>
      <c r="B24">
        <v>9400011741</v>
      </c>
      <c r="C24" s="10">
        <v>46178</v>
      </c>
      <c r="D24" t="s">
        <v>2032</v>
      </c>
      <c r="E24" s="11" t="s">
        <v>2033</v>
      </c>
      <c r="F24" t="s">
        <v>1025</v>
      </c>
      <c r="G24" t="s">
        <v>1026</v>
      </c>
      <c r="H24" s="10">
        <v>46178</v>
      </c>
      <c r="I24">
        <v>4.8899999999999997</v>
      </c>
      <c r="J24">
        <v>0</v>
      </c>
      <c r="K24">
        <v>4.8899999999999997</v>
      </c>
    </row>
    <row r="25" spans="1:11" x14ac:dyDescent="0.35">
      <c r="A25">
        <v>5200000369</v>
      </c>
      <c r="B25">
        <v>9400011734</v>
      </c>
      <c r="C25" s="10">
        <v>46178</v>
      </c>
      <c r="D25" t="s">
        <v>2032</v>
      </c>
      <c r="E25" s="11" t="s">
        <v>2036</v>
      </c>
      <c r="F25" t="s">
        <v>276</v>
      </c>
      <c r="G25" t="s">
        <v>277</v>
      </c>
      <c r="H25" s="10">
        <v>46178</v>
      </c>
      <c r="I25">
        <v>34.590000000000003</v>
      </c>
      <c r="J25">
        <v>0</v>
      </c>
      <c r="K25">
        <v>34.590000000000003</v>
      </c>
    </row>
    <row r="26" spans="1:11" x14ac:dyDescent="0.35">
      <c r="A26">
        <v>2730000542</v>
      </c>
      <c r="B26">
        <v>9400011733</v>
      </c>
      <c r="C26" s="10">
        <v>46178</v>
      </c>
      <c r="D26" t="s">
        <v>2032</v>
      </c>
      <c r="E26" s="11">
        <v>18921097</v>
      </c>
      <c r="F26" t="s">
        <v>3551</v>
      </c>
      <c r="G26" t="s">
        <v>3552</v>
      </c>
      <c r="H26" s="10">
        <v>46192</v>
      </c>
      <c r="I26">
        <v>87466.32</v>
      </c>
      <c r="J26">
        <v>0</v>
      </c>
      <c r="K26">
        <v>87466.32</v>
      </c>
    </row>
    <row r="27" spans="1:11" x14ac:dyDescent="0.35">
      <c r="A27">
        <v>3000000935</v>
      </c>
      <c r="B27">
        <v>9400011728</v>
      </c>
      <c r="C27" s="10">
        <v>46178</v>
      </c>
      <c r="D27" t="s">
        <v>2032</v>
      </c>
      <c r="E27" s="11">
        <v>18920986</v>
      </c>
      <c r="F27" t="s">
        <v>785</v>
      </c>
      <c r="G27" t="s">
        <v>786</v>
      </c>
      <c r="H27" s="10">
        <v>46223</v>
      </c>
      <c r="I27">
        <v>14404.97</v>
      </c>
      <c r="J27">
        <v>0</v>
      </c>
      <c r="K27">
        <v>14404.97</v>
      </c>
    </row>
    <row r="28" spans="1:11" x14ac:dyDescent="0.35">
      <c r="A28">
        <v>3000000934</v>
      </c>
      <c r="B28">
        <v>9400011725</v>
      </c>
      <c r="C28" s="10">
        <v>46178</v>
      </c>
      <c r="D28" t="s">
        <v>2032</v>
      </c>
      <c r="E28" s="11">
        <v>18920986</v>
      </c>
      <c r="F28" t="s">
        <v>785</v>
      </c>
      <c r="G28" t="s">
        <v>786</v>
      </c>
      <c r="H28" s="10">
        <v>46223</v>
      </c>
      <c r="I28">
        <v>112668.29</v>
      </c>
      <c r="J28">
        <v>0</v>
      </c>
      <c r="K28">
        <v>112668.29</v>
      </c>
    </row>
    <row r="29" spans="1:11" x14ac:dyDescent="0.35">
      <c r="A29">
        <v>3000000933</v>
      </c>
      <c r="B29">
        <v>9400011722</v>
      </c>
      <c r="C29" s="10">
        <v>46178</v>
      </c>
      <c r="D29" t="s">
        <v>2032</v>
      </c>
      <c r="E29" s="11">
        <v>18920984</v>
      </c>
      <c r="F29" t="s">
        <v>1025</v>
      </c>
      <c r="G29" t="s">
        <v>1026</v>
      </c>
      <c r="H29" s="10">
        <v>46223</v>
      </c>
      <c r="I29">
        <v>58791.85</v>
      </c>
      <c r="J29">
        <v>0</v>
      </c>
      <c r="K29">
        <v>58791.85</v>
      </c>
    </row>
    <row r="30" spans="1:11" x14ac:dyDescent="0.35">
      <c r="A30">
        <v>5200000366</v>
      </c>
      <c r="B30">
        <v>9400011720</v>
      </c>
      <c r="C30" s="10">
        <v>46178</v>
      </c>
      <c r="D30" t="s">
        <v>2032</v>
      </c>
      <c r="E30" s="11" t="s">
        <v>2033</v>
      </c>
      <c r="F30" t="s">
        <v>821</v>
      </c>
      <c r="G30" t="s">
        <v>822</v>
      </c>
      <c r="H30" s="10">
        <v>46178</v>
      </c>
      <c r="I30">
        <v>34.590000000000003</v>
      </c>
      <c r="J30">
        <v>0</v>
      </c>
      <c r="K30">
        <v>34.590000000000003</v>
      </c>
    </row>
    <row r="31" spans="1:11" x14ac:dyDescent="0.35">
      <c r="A31">
        <v>5200000365</v>
      </c>
      <c r="B31">
        <v>9400011718</v>
      </c>
      <c r="C31" s="10">
        <v>46178</v>
      </c>
      <c r="D31" t="s">
        <v>2032</v>
      </c>
      <c r="E31" s="11" t="s">
        <v>2036</v>
      </c>
      <c r="F31" t="s">
        <v>1251</v>
      </c>
      <c r="G31" t="s">
        <v>1252</v>
      </c>
      <c r="H31" s="10">
        <v>46223</v>
      </c>
      <c r="I31">
        <v>32.1</v>
      </c>
      <c r="J31">
        <v>0</v>
      </c>
      <c r="K31">
        <v>32.1</v>
      </c>
    </row>
    <row r="32" spans="1:11" x14ac:dyDescent="0.35">
      <c r="A32">
        <v>9200000718</v>
      </c>
      <c r="B32">
        <v>9400011713</v>
      </c>
      <c r="C32" s="10">
        <v>46177</v>
      </c>
      <c r="D32" t="s">
        <v>2032</v>
      </c>
      <c r="E32" s="11">
        <v>18920384</v>
      </c>
      <c r="F32" t="s">
        <v>3763</v>
      </c>
      <c r="G32" t="s">
        <v>3764</v>
      </c>
      <c r="H32" s="10">
        <v>46222</v>
      </c>
      <c r="I32">
        <v>304404.59999999998</v>
      </c>
      <c r="J32">
        <v>0</v>
      </c>
      <c r="K32">
        <v>304404.59999999998</v>
      </c>
    </row>
    <row r="33" spans="1:11" x14ac:dyDescent="0.35">
      <c r="A33">
        <v>9200000717</v>
      </c>
      <c r="B33">
        <v>9400011712</v>
      </c>
      <c r="C33" s="10">
        <v>46177</v>
      </c>
      <c r="D33" t="s">
        <v>2032</v>
      </c>
      <c r="E33" s="11">
        <v>18920384</v>
      </c>
      <c r="F33" t="s">
        <v>3763</v>
      </c>
      <c r="G33" t="s">
        <v>3764</v>
      </c>
      <c r="H33" s="10">
        <v>46222</v>
      </c>
      <c r="I33">
        <v>442471.46</v>
      </c>
      <c r="J33">
        <v>0</v>
      </c>
      <c r="K33">
        <v>442471.46</v>
      </c>
    </row>
    <row r="34" spans="1:11" x14ac:dyDescent="0.35">
      <c r="A34">
        <v>9300000598</v>
      </c>
      <c r="B34">
        <v>9400011707</v>
      </c>
      <c r="C34" s="10">
        <v>46177</v>
      </c>
      <c r="D34" t="s">
        <v>2032</v>
      </c>
      <c r="E34" s="11">
        <v>18920679</v>
      </c>
      <c r="F34" t="s">
        <v>417</v>
      </c>
      <c r="G34" t="s">
        <v>418</v>
      </c>
      <c r="H34" s="10">
        <v>46222</v>
      </c>
      <c r="I34">
        <v>16140.98</v>
      </c>
      <c r="J34">
        <v>0</v>
      </c>
      <c r="K34">
        <v>16140.98</v>
      </c>
    </row>
    <row r="35" spans="1:11" x14ac:dyDescent="0.35">
      <c r="A35">
        <v>9300000597</v>
      </c>
      <c r="B35">
        <v>9400011705</v>
      </c>
      <c r="C35" s="10">
        <v>46177</v>
      </c>
      <c r="D35" t="s">
        <v>2032</v>
      </c>
      <c r="E35" s="11">
        <v>18920680</v>
      </c>
      <c r="F35" t="s">
        <v>939</v>
      </c>
      <c r="G35" t="s">
        <v>940</v>
      </c>
      <c r="H35" s="10">
        <v>46222</v>
      </c>
      <c r="I35">
        <v>40587.279999999999</v>
      </c>
      <c r="J35">
        <v>0</v>
      </c>
      <c r="K35">
        <v>40587.279999999999</v>
      </c>
    </row>
    <row r="36" spans="1:11" x14ac:dyDescent="0.35">
      <c r="A36">
        <v>2720000378</v>
      </c>
      <c r="B36">
        <v>9400011699</v>
      </c>
      <c r="C36" s="10">
        <v>46177</v>
      </c>
      <c r="D36" t="s">
        <v>2032</v>
      </c>
      <c r="E36" s="11">
        <v>13</v>
      </c>
      <c r="F36" t="s">
        <v>146</v>
      </c>
      <c r="G36" t="s">
        <v>147</v>
      </c>
      <c r="H36" s="10">
        <v>46177</v>
      </c>
      <c r="I36">
        <v>33.82</v>
      </c>
      <c r="J36">
        <v>0</v>
      </c>
      <c r="K36">
        <v>33.82</v>
      </c>
    </row>
    <row r="37" spans="1:11" x14ac:dyDescent="0.35">
      <c r="A37">
        <v>9200000716</v>
      </c>
      <c r="B37">
        <v>9400011696</v>
      </c>
      <c r="C37" s="10">
        <v>46177</v>
      </c>
      <c r="D37" t="s">
        <v>2032</v>
      </c>
      <c r="E37" s="11">
        <v>18920554</v>
      </c>
      <c r="F37" t="s">
        <v>439</v>
      </c>
      <c r="G37" t="s">
        <v>440</v>
      </c>
      <c r="H37" s="10">
        <v>46222</v>
      </c>
      <c r="I37">
        <v>416854.16</v>
      </c>
      <c r="J37">
        <v>0</v>
      </c>
      <c r="K37">
        <v>416854.16</v>
      </c>
    </row>
    <row r="38" spans="1:11" x14ac:dyDescent="0.35">
      <c r="A38">
        <v>9200000715</v>
      </c>
      <c r="B38">
        <v>9400011692</v>
      </c>
      <c r="C38" s="10">
        <v>46177</v>
      </c>
      <c r="D38" t="s">
        <v>2032</v>
      </c>
      <c r="E38" s="11">
        <v>18920223</v>
      </c>
      <c r="F38" t="s">
        <v>44</v>
      </c>
      <c r="G38" t="s">
        <v>45</v>
      </c>
      <c r="H38" s="10">
        <v>46222</v>
      </c>
      <c r="I38">
        <v>9511.56</v>
      </c>
      <c r="J38">
        <v>0</v>
      </c>
      <c r="K38">
        <v>9511.56</v>
      </c>
    </row>
    <row r="39" spans="1:11" x14ac:dyDescent="0.35">
      <c r="A39">
        <v>2300000505</v>
      </c>
      <c r="B39">
        <v>9400011691</v>
      </c>
      <c r="C39" s="10">
        <v>46177</v>
      </c>
      <c r="D39" t="s">
        <v>2032</v>
      </c>
      <c r="E39" s="11">
        <v>18920433</v>
      </c>
      <c r="F39" t="s">
        <v>601</v>
      </c>
      <c r="G39" t="s">
        <v>602</v>
      </c>
      <c r="H39" s="10">
        <v>46222</v>
      </c>
      <c r="I39">
        <v>22833</v>
      </c>
      <c r="J39">
        <v>0</v>
      </c>
      <c r="K39">
        <v>22833</v>
      </c>
    </row>
    <row r="40" spans="1:11" x14ac:dyDescent="0.35">
      <c r="A40">
        <v>9200000714</v>
      </c>
      <c r="B40">
        <v>9400011690</v>
      </c>
      <c r="C40" s="10">
        <v>46177</v>
      </c>
      <c r="D40" t="s">
        <v>2032</v>
      </c>
      <c r="E40" s="11">
        <v>18920223</v>
      </c>
      <c r="F40" t="s">
        <v>44</v>
      </c>
      <c r="G40" t="s">
        <v>45</v>
      </c>
      <c r="H40" s="10">
        <v>46191</v>
      </c>
      <c r="I40">
        <v>68074.2</v>
      </c>
      <c r="J40">
        <v>0</v>
      </c>
      <c r="K40">
        <v>68074.2</v>
      </c>
    </row>
    <row r="41" spans="1:11" x14ac:dyDescent="0.35">
      <c r="A41">
        <v>2720000375</v>
      </c>
      <c r="B41">
        <v>9400011670</v>
      </c>
      <c r="C41" s="10">
        <v>46177</v>
      </c>
      <c r="D41" t="s">
        <v>2032</v>
      </c>
      <c r="E41" s="11">
        <v>18920312</v>
      </c>
      <c r="F41" t="s">
        <v>58</v>
      </c>
      <c r="G41" t="s">
        <v>59</v>
      </c>
      <c r="H41" s="10">
        <v>46222</v>
      </c>
      <c r="I41">
        <v>41120.639999999999</v>
      </c>
      <c r="J41">
        <v>0</v>
      </c>
      <c r="K41">
        <v>41120.639999999999</v>
      </c>
    </row>
    <row r="42" spans="1:11" x14ac:dyDescent="0.35">
      <c r="B42">
        <v>1600000335</v>
      </c>
      <c r="C42" s="10">
        <v>46177</v>
      </c>
      <c r="D42" t="s">
        <v>3685</v>
      </c>
      <c r="E42" s="11"/>
      <c r="F42" t="s">
        <v>25</v>
      </c>
      <c r="G42" t="s">
        <v>26</v>
      </c>
      <c r="H42" s="10">
        <v>46217</v>
      </c>
      <c r="I42">
        <v>10371.02</v>
      </c>
      <c r="J42">
        <v>0</v>
      </c>
      <c r="K42">
        <v>10371.02</v>
      </c>
    </row>
    <row r="43" spans="1:11" x14ac:dyDescent="0.35">
      <c r="B43">
        <v>1400007549</v>
      </c>
      <c r="C43" s="10">
        <v>46177</v>
      </c>
      <c r="D43" t="s">
        <v>2037</v>
      </c>
      <c r="E43" s="11">
        <v>9100000125</v>
      </c>
      <c r="F43" t="s">
        <v>733</v>
      </c>
      <c r="G43" t="s">
        <v>734</v>
      </c>
      <c r="H43" s="10">
        <v>46175</v>
      </c>
      <c r="I43">
        <v>241400</v>
      </c>
      <c r="J43">
        <v>21447.45</v>
      </c>
      <c r="K43">
        <v>219952.55</v>
      </c>
    </row>
    <row r="44" spans="1:11" x14ac:dyDescent="0.35">
      <c r="A44">
        <v>2720000374</v>
      </c>
      <c r="B44">
        <v>9400011635</v>
      </c>
      <c r="C44" s="10">
        <v>46176</v>
      </c>
      <c r="D44" t="s">
        <v>2032</v>
      </c>
      <c r="E44" s="11">
        <v>18919849</v>
      </c>
      <c r="F44" t="s">
        <v>775</v>
      </c>
      <c r="G44" t="s">
        <v>776</v>
      </c>
      <c r="H44" s="10">
        <v>46221</v>
      </c>
      <c r="I44">
        <v>56719.12</v>
      </c>
      <c r="J44">
        <v>0</v>
      </c>
      <c r="K44">
        <v>56719.12</v>
      </c>
    </row>
    <row r="45" spans="1:11" x14ac:dyDescent="0.35">
      <c r="A45">
        <v>2720000373</v>
      </c>
      <c r="B45">
        <v>9400011633</v>
      </c>
      <c r="C45" s="10">
        <v>46176</v>
      </c>
      <c r="D45" t="s">
        <v>2032</v>
      </c>
      <c r="E45" s="11">
        <v>18919849</v>
      </c>
      <c r="F45" t="s">
        <v>775</v>
      </c>
      <c r="G45" t="s">
        <v>776</v>
      </c>
      <c r="H45" s="10">
        <v>46190</v>
      </c>
      <c r="I45">
        <v>20390.400000000001</v>
      </c>
      <c r="J45">
        <v>0</v>
      </c>
      <c r="K45">
        <v>20390.400000000001</v>
      </c>
    </row>
    <row r="46" spans="1:11" x14ac:dyDescent="0.35">
      <c r="A46">
        <v>2720000370</v>
      </c>
      <c r="B46">
        <v>9400011628</v>
      </c>
      <c r="C46" s="10">
        <v>46176</v>
      </c>
      <c r="D46" t="s">
        <v>2032</v>
      </c>
      <c r="E46" s="11">
        <v>18919634</v>
      </c>
      <c r="F46" t="s">
        <v>314</v>
      </c>
      <c r="G46" t="s">
        <v>315</v>
      </c>
      <c r="H46" s="10">
        <v>46221</v>
      </c>
      <c r="I46">
        <v>55092.43</v>
      </c>
      <c r="J46">
        <v>0</v>
      </c>
      <c r="K46">
        <v>55092.43</v>
      </c>
    </row>
    <row r="47" spans="1:11" x14ac:dyDescent="0.35">
      <c r="A47">
        <v>2720000372</v>
      </c>
      <c r="B47">
        <v>9400011626</v>
      </c>
      <c r="C47" s="10">
        <v>46176</v>
      </c>
      <c r="D47" t="s">
        <v>2032</v>
      </c>
      <c r="E47" s="11">
        <v>18919684</v>
      </c>
      <c r="F47" t="s">
        <v>122</v>
      </c>
      <c r="G47" t="s">
        <v>123</v>
      </c>
      <c r="H47" s="10">
        <v>46221</v>
      </c>
      <c r="I47">
        <v>55887.16</v>
      </c>
      <c r="J47">
        <v>0</v>
      </c>
      <c r="K47">
        <v>55887.16</v>
      </c>
    </row>
    <row r="48" spans="1:11" x14ac:dyDescent="0.35">
      <c r="A48">
        <v>8000000629</v>
      </c>
      <c r="B48">
        <v>9400011610</v>
      </c>
      <c r="C48" s="10">
        <v>46176</v>
      </c>
      <c r="D48" t="s">
        <v>2032</v>
      </c>
      <c r="E48" s="11" t="s">
        <v>2033</v>
      </c>
      <c r="F48" t="s">
        <v>1231</v>
      </c>
      <c r="G48" t="s">
        <v>1232</v>
      </c>
      <c r="H48" s="10">
        <v>46176</v>
      </c>
      <c r="I48">
        <v>288.86</v>
      </c>
      <c r="J48">
        <v>0</v>
      </c>
      <c r="K48">
        <v>288.86</v>
      </c>
    </row>
    <row r="49" spans="1:11" x14ac:dyDescent="0.35">
      <c r="A49">
        <v>8000000627</v>
      </c>
      <c r="B49">
        <v>9400011603</v>
      </c>
      <c r="C49" s="10">
        <v>46176</v>
      </c>
      <c r="D49" t="s">
        <v>2032</v>
      </c>
      <c r="E49" s="11">
        <v>18918977</v>
      </c>
      <c r="F49" t="s">
        <v>991</v>
      </c>
      <c r="G49" t="s">
        <v>992</v>
      </c>
      <c r="H49" s="10">
        <v>46221</v>
      </c>
      <c r="I49">
        <v>7522.5</v>
      </c>
      <c r="J49">
        <v>0</v>
      </c>
      <c r="K49">
        <v>7522.5</v>
      </c>
    </row>
    <row r="50" spans="1:11" x14ac:dyDescent="0.35">
      <c r="A50">
        <v>2300000502</v>
      </c>
      <c r="B50">
        <v>9400011602</v>
      </c>
      <c r="C50" s="10">
        <v>46176</v>
      </c>
      <c r="D50" t="s">
        <v>2032</v>
      </c>
      <c r="E50" s="11">
        <v>18919528</v>
      </c>
      <c r="F50" t="s">
        <v>37</v>
      </c>
      <c r="G50" t="s">
        <v>38</v>
      </c>
      <c r="H50" s="10">
        <v>46221</v>
      </c>
      <c r="I50">
        <v>102801.60000000001</v>
      </c>
      <c r="J50">
        <v>0</v>
      </c>
      <c r="K50">
        <v>102801.60000000001</v>
      </c>
    </row>
    <row r="51" spans="1:11" x14ac:dyDescent="0.35">
      <c r="A51">
        <v>8000000626</v>
      </c>
      <c r="B51">
        <v>9400011600</v>
      </c>
      <c r="C51" s="10">
        <v>46176</v>
      </c>
      <c r="D51" t="s">
        <v>2032</v>
      </c>
      <c r="E51" s="11">
        <v>18918977</v>
      </c>
      <c r="F51" t="s">
        <v>991</v>
      </c>
      <c r="G51" t="s">
        <v>992</v>
      </c>
      <c r="H51" s="10">
        <v>46190</v>
      </c>
      <c r="I51">
        <v>24695.040000000001</v>
      </c>
      <c r="J51">
        <v>0</v>
      </c>
      <c r="K51">
        <v>24695.040000000001</v>
      </c>
    </row>
    <row r="52" spans="1:11" x14ac:dyDescent="0.35">
      <c r="A52">
        <v>2300000501</v>
      </c>
      <c r="B52">
        <v>9400011599</v>
      </c>
      <c r="C52" s="10">
        <v>46176</v>
      </c>
      <c r="D52" t="s">
        <v>2032</v>
      </c>
      <c r="E52" s="11">
        <v>18919508</v>
      </c>
      <c r="F52" t="s">
        <v>619</v>
      </c>
      <c r="G52" t="s">
        <v>620</v>
      </c>
      <c r="H52" s="10">
        <v>46221</v>
      </c>
      <c r="I52">
        <v>153119.4</v>
      </c>
      <c r="J52">
        <v>0</v>
      </c>
      <c r="K52">
        <v>153119.4</v>
      </c>
    </row>
    <row r="53" spans="1:11" x14ac:dyDescent="0.35">
      <c r="A53">
        <v>7000000540</v>
      </c>
      <c r="B53">
        <v>9400011573</v>
      </c>
      <c r="C53" s="10">
        <v>46176</v>
      </c>
      <c r="D53" t="s">
        <v>2032</v>
      </c>
      <c r="E53" s="11">
        <v>123654</v>
      </c>
      <c r="F53" t="s">
        <v>165</v>
      </c>
      <c r="G53" t="s">
        <v>166</v>
      </c>
      <c r="H53" s="10">
        <v>46176</v>
      </c>
      <c r="I53">
        <v>34.07</v>
      </c>
      <c r="J53">
        <v>0</v>
      </c>
      <c r="K53">
        <v>34.07</v>
      </c>
    </row>
    <row r="54" spans="1:11" x14ac:dyDescent="0.35">
      <c r="B54">
        <v>1400007400</v>
      </c>
      <c r="C54" s="10">
        <v>46176</v>
      </c>
      <c r="D54" t="s">
        <v>2037</v>
      </c>
      <c r="E54" s="11">
        <v>5100000075</v>
      </c>
      <c r="F54" t="s">
        <v>605</v>
      </c>
      <c r="G54" t="s">
        <v>606</v>
      </c>
      <c r="H54" s="10">
        <v>46174</v>
      </c>
      <c r="I54">
        <v>22941</v>
      </c>
      <c r="J54">
        <v>0</v>
      </c>
      <c r="K54">
        <v>22941</v>
      </c>
    </row>
    <row r="55" spans="1:11" x14ac:dyDescent="0.35">
      <c r="A55">
        <v>7000000536</v>
      </c>
      <c r="B55">
        <v>9400011530</v>
      </c>
      <c r="C55" s="10">
        <v>46175</v>
      </c>
      <c r="D55" t="s">
        <v>2032</v>
      </c>
      <c r="E55" s="11">
        <v>265984</v>
      </c>
      <c r="F55" t="s">
        <v>351</v>
      </c>
      <c r="G55" t="s">
        <v>352</v>
      </c>
      <c r="H55" s="10">
        <v>46175</v>
      </c>
      <c r="I55">
        <v>34.07</v>
      </c>
      <c r="J55">
        <v>0</v>
      </c>
      <c r="K55">
        <v>34.07</v>
      </c>
    </row>
    <row r="56" spans="1:11" x14ac:dyDescent="0.35">
      <c r="B56">
        <v>1400007340</v>
      </c>
      <c r="C56" s="10">
        <v>46175</v>
      </c>
      <c r="D56" t="s">
        <v>2037</v>
      </c>
      <c r="E56" s="11">
        <v>2720000043</v>
      </c>
      <c r="F56" t="s">
        <v>227</v>
      </c>
      <c r="G56" t="s">
        <v>228</v>
      </c>
      <c r="H56" s="10">
        <v>46174</v>
      </c>
      <c r="I56">
        <v>142106</v>
      </c>
      <c r="J56">
        <v>141935.04999999999</v>
      </c>
      <c r="K56">
        <v>170.95000000001164</v>
      </c>
    </row>
    <row r="57" spans="1:11" x14ac:dyDescent="0.35">
      <c r="B57">
        <v>1400007308</v>
      </c>
      <c r="C57" s="10">
        <v>46174</v>
      </c>
      <c r="D57" t="s">
        <v>2037</v>
      </c>
      <c r="E57" s="11"/>
      <c r="F57" t="s">
        <v>1215</v>
      </c>
      <c r="G57" t="s">
        <v>1216</v>
      </c>
      <c r="H57" s="10">
        <v>46172</v>
      </c>
      <c r="I57">
        <v>23052</v>
      </c>
      <c r="J57">
        <v>21831.46</v>
      </c>
      <c r="K57">
        <v>1220.5400000000009</v>
      </c>
    </row>
    <row r="58" spans="1:11" x14ac:dyDescent="0.35">
      <c r="B58">
        <v>1400007306</v>
      </c>
      <c r="C58" s="10">
        <v>46174</v>
      </c>
      <c r="D58" t="s">
        <v>2037</v>
      </c>
      <c r="E58" s="11">
        <v>2000000017</v>
      </c>
      <c r="F58" t="s">
        <v>683</v>
      </c>
      <c r="G58" t="s">
        <v>684</v>
      </c>
      <c r="H58" s="10">
        <v>46171</v>
      </c>
      <c r="I58">
        <v>149800</v>
      </c>
      <c r="J58">
        <v>0</v>
      </c>
      <c r="K58">
        <v>149800</v>
      </c>
    </row>
    <row r="59" spans="1:11" x14ac:dyDescent="0.35">
      <c r="A59">
        <v>5100000738</v>
      </c>
      <c r="B59">
        <v>9400011511</v>
      </c>
      <c r="C59" s="10">
        <v>46173</v>
      </c>
      <c r="D59" t="s">
        <v>2032</v>
      </c>
      <c r="E59" s="11">
        <v>18888374</v>
      </c>
      <c r="F59" t="s">
        <v>221</v>
      </c>
      <c r="G59" t="s">
        <v>222</v>
      </c>
      <c r="H59" s="10">
        <v>46187</v>
      </c>
      <c r="I59">
        <v>67968</v>
      </c>
      <c r="J59">
        <v>0</v>
      </c>
      <c r="K59">
        <v>67968</v>
      </c>
    </row>
    <row r="60" spans="1:11" x14ac:dyDescent="0.35">
      <c r="A60">
        <v>5100000737</v>
      </c>
      <c r="B60">
        <v>9400011510</v>
      </c>
      <c r="C60" s="10">
        <v>46173</v>
      </c>
      <c r="D60" t="s">
        <v>2032</v>
      </c>
      <c r="E60" s="11">
        <v>18888358</v>
      </c>
      <c r="F60" t="s">
        <v>923</v>
      </c>
      <c r="G60" t="s">
        <v>924</v>
      </c>
      <c r="H60" s="10">
        <v>46218</v>
      </c>
      <c r="I60">
        <v>20231.099999999999</v>
      </c>
      <c r="J60">
        <v>0</v>
      </c>
      <c r="K60">
        <v>20231.099999999999</v>
      </c>
    </row>
    <row r="61" spans="1:11" x14ac:dyDescent="0.35">
      <c r="A61">
        <v>5100000736</v>
      </c>
      <c r="B61">
        <v>9400011509</v>
      </c>
      <c r="C61" s="10">
        <v>46173</v>
      </c>
      <c r="D61" t="s">
        <v>2032</v>
      </c>
      <c r="E61" s="11">
        <v>18888356</v>
      </c>
      <c r="F61" t="s">
        <v>304</v>
      </c>
      <c r="G61" t="s">
        <v>305</v>
      </c>
      <c r="H61" s="10">
        <v>46218</v>
      </c>
      <c r="I61">
        <v>15217.76</v>
      </c>
      <c r="J61">
        <v>0</v>
      </c>
      <c r="K61">
        <v>15217.76</v>
      </c>
    </row>
    <row r="62" spans="1:11" x14ac:dyDescent="0.35">
      <c r="A62">
        <v>5100000735</v>
      </c>
      <c r="B62">
        <v>9400011508</v>
      </c>
      <c r="C62" s="10">
        <v>46173</v>
      </c>
      <c r="D62" t="s">
        <v>2032</v>
      </c>
      <c r="E62" s="11">
        <v>18888355</v>
      </c>
      <c r="F62" t="s">
        <v>715</v>
      </c>
      <c r="G62" t="s">
        <v>716</v>
      </c>
      <c r="H62" s="10">
        <v>46218</v>
      </c>
      <c r="I62">
        <v>121050.3</v>
      </c>
      <c r="J62">
        <v>0</v>
      </c>
      <c r="K62">
        <v>121050.3</v>
      </c>
    </row>
    <row r="63" spans="1:11" x14ac:dyDescent="0.35">
      <c r="A63">
        <v>2710000810</v>
      </c>
      <c r="B63">
        <v>9400011507</v>
      </c>
      <c r="C63" s="10">
        <v>46173</v>
      </c>
      <c r="D63" t="s">
        <v>2032</v>
      </c>
      <c r="E63" s="11">
        <v>18888366</v>
      </c>
      <c r="F63" t="s">
        <v>579</v>
      </c>
      <c r="G63" t="s">
        <v>580</v>
      </c>
      <c r="H63" s="10">
        <v>46187</v>
      </c>
      <c r="I63">
        <v>172638.72</v>
      </c>
      <c r="J63">
        <v>0</v>
      </c>
      <c r="K63">
        <v>172638.72</v>
      </c>
    </row>
    <row r="64" spans="1:11" x14ac:dyDescent="0.35">
      <c r="A64">
        <v>5100000734</v>
      </c>
      <c r="B64">
        <v>9400011506</v>
      </c>
      <c r="C64" s="10">
        <v>46173</v>
      </c>
      <c r="D64" t="s">
        <v>2032</v>
      </c>
      <c r="E64" s="11">
        <v>18888360</v>
      </c>
      <c r="F64" t="s">
        <v>379</v>
      </c>
      <c r="G64" t="s">
        <v>380</v>
      </c>
      <c r="H64" s="10">
        <v>46218</v>
      </c>
      <c r="I64">
        <v>20751.48</v>
      </c>
      <c r="J64">
        <v>0</v>
      </c>
      <c r="K64">
        <v>20751.48</v>
      </c>
    </row>
    <row r="65" spans="1:11" x14ac:dyDescent="0.35">
      <c r="A65">
        <v>2710000809</v>
      </c>
      <c r="B65">
        <v>9400011505</v>
      </c>
      <c r="C65" s="10">
        <v>46173</v>
      </c>
      <c r="D65" t="s">
        <v>2032</v>
      </c>
      <c r="E65" s="11">
        <v>18888371</v>
      </c>
      <c r="F65" t="s">
        <v>755</v>
      </c>
      <c r="G65" t="s">
        <v>756</v>
      </c>
      <c r="H65" s="10">
        <v>46218</v>
      </c>
      <c r="I65">
        <v>20560.32</v>
      </c>
      <c r="J65">
        <v>0</v>
      </c>
      <c r="K65">
        <v>20560.32</v>
      </c>
    </row>
    <row r="66" spans="1:11" x14ac:dyDescent="0.35">
      <c r="A66">
        <v>3000000925</v>
      </c>
      <c r="B66">
        <v>9400011501</v>
      </c>
      <c r="C66" s="10">
        <v>46173</v>
      </c>
      <c r="D66" t="s">
        <v>2032</v>
      </c>
      <c r="E66" s="11">
        <v>123456</v>
      </c>
      <c r="F66" t="s">
        <v>955</v>
      </c>
      <c r="G66" t="s">
        <v>956</v>
      </c>
      <c r="H66" s="10">
        <v>46187</v>
      </c>
      <c r="I66">
        <v>19668.240000000002</v>
      </c>
      <c r="J66">
        <v>0</v>
      </c>
      <c r="K66">
        <v>19668.240000000002</v>
      </c>
    </row>
    <row r="67" spans="1:11" x14ac:dyDescent="0.35">
      <c r="A67">
        <v>3000000924</v>
      </c>
      <c r="B67">
        <v>9400011500</v>
      </c>
      <c r="C67" s="10">
        <v>46173</v>
      </c>
      <c r="D67" t="s">
        <v>2032</v>
      </c>
      <c r="E67" s="11">
        <v>123456</v>
      </c>
      <c r="F67" t="s">
        <v>3516</v>
      </c>
      <c r="G67" t="s">
        <v>3517</v>
      </c>
      <c r="H67" s="10">
        <v>46187</v>
      </c>
      <c r="I67">
        <v>27187.200000000001</v>
      </c>
      <c r="J67">
        <v>0</v>
      </c>
      <c r="K67">
        <v>27187.200000000001</v>
      </c>
    </row>
    <row r="68" spans="1:11" x14ac:dyDescent="0.35">
      <c r="A68">
        <v>5100000732</v>
      </c>
      <c r="B68">
        <v>9400011499</v>
      </c>
      <c r="C68" s="10">
        <v>46173</v>
      </c>
      <c r="D68" t="s">
        <v>2032</v>
      </c>
      <c r="E68" s="11">
        <v>18888374</v>
      </c>
      <c r="F68" t="s">
        <v>221</v>
      </c>
      <c r="G68" t="s">
        <v>222</v>
      </c>
      <c r="H68" s="10">
        <v>46218</v>
      </c>
      <c r="I68">
        <v>212420.06</v>
      </c>
      <c r="J68">
        <v>0</v>
      </c>
      <c r="K68">
        <v>212420.06</v>
      </c>
    </row>
    <row r="69" spans="1:11" x14ac:dyDescent="0.35">
      <c r="A69">
        <v>5100000731</v>
      </c>
      <c r="B69">
        <v>9400011498</v>
      </c>
      <c r="C69" s="10">
        <v>46173</v>
      </c>
      <c r="D69" t="s">
        <v>2032</v>
      </c>
      <c r="E69" s="11">
        <v>18888374</v>
      </c>
      <c r="F69" t="s">
        <v>221</v>
      </c>
      <c r="G69" t="s">
        <v>222</v>
      </c>
      <c r="H69" s="10">
        <v>46187</v>
      </c>
      <c r="I69">
        <v>268756.8</v>
      </c>
      <c r="J69">
        <v>0</v>
      </c>
      <c r="K69">
        <v>268756.8</v>
      </c>
    </row>
    <row r="70" spans="1:11" x14ac:dyDescent="0.35">
      <c r="A70">
        <v>3000000923</v>
      </c>
      <c r="B70">
        <v>9400011497</v>
      </c>
      <c r="C70" s="10">
        <v>46173</v>
      </c>
      <c r="D70" t="s">
        <v>2032</v>
      </c>
      <c r="E70" s="11">
        <v>18888379</v>
      </c>
      <c r="F70" t="s">
        <v>535</v>
      </c>
      <c r="G70" t="s">
        <v>536</v>
      </c>
      <c r="H70" s="10">
        <v>46218</v>
      </c>
      <c r="I70">
        <v>113081.76</v>
      </c>
      <c r="J70">
        <v>0</v>
      </c>
      <c r="K70">
        <v>113081.76</v>
      </c>
    </row>
    <row r="71" spans="1:11" x14ac:dyDescent="0.35">
      <c r="A71">
        <v>3000000922</v>
      </c>
      <c r="B71">
        <v>9400011493</v>
      </c>
      <c r="C71" s="10">
        <v>46173</v>
      </c>
      <c r="D71" t="s">
        <v>2032</v>
      </c>
      <c r="E71" s="11">
        <v>18888363</v>
      </c>
      <c r="F71" t="s">
        <v>3518</v>
      </c>
      <c r="G71" t="s">
        <v>3519</v>
      </c>
      <c r="H71" s="10">
        <v>46188</v>
      </c>
      <c r="I71">
        <v>67968</v>
      </c>
      <c r="J71">
        <v>0</v>
      </c>
      <c r="K71">
        <v>67968</v>
      </c>
    </row>
    <row r="72" spans="1:11" x14ac:dyDescent="0.35">
      <c r="A72">
        <v>3000000920</v>
      </c>
      <c r="B72">
        <v>9400011486</v>
      </c>
      <c r="C72" s="10">
        <v>46173</v>
      </c>
      <c r="D72" t="s">
        <v>2032</v>
      </c>
      <c r="E72" s="11">
        <v>18888232</v>
      </c>
      <c r="F72" t="s">
        <v>3518</v>
      </c>
      <c r="G72" t="s">
        <v>3519</v>
      </c>
      <c r="H72" s="10">
        <v>46218</v>
      </c>
      <c r="I72">
        <v>95110.96</v>
      </c>
      <c r="J72">
        <v>0</v>
      </c>
      <c r="K72">
        <v>95110.96</v>
      </c>
    </row>
    <row r="73" spans="1:11" x14ac:dyDescent="0.35">
      <c r="A73">
        <v>3000000919</v>
      </c>
      <c r="B73">
        <v>9400011485</v>
      </c>
      <c r="C73" s="10">
        <v>46173</v>
      </c>
      <c r="D73" t="s">
        <v>2032</v>
      </c>
      <c r="E73" s="11">
        <v>18888347</v>
      </c>
      <c r="F73" t="s">
        <v>204</v>
      </c>
      <c r="G73" t="s">
        <v>205</v>
      </c>
      <c r="H73" s="10">
        <v>46218</v>
      </c>
      <c r="I73">
        <v>121050.3</v>
      </c>
      <c r="J73">
        <v>0</v>
      </c>
      <c r="K73">
        <v>121050.3</v>
      </c>
    </row>
    <row r="74" spans="1:11" x14ac:dyDescent="0.35">
      <c r="A74">
        <v>5200000357</v>
      </c>
      <c r="B74">
        <v>9400011484</v>
      </c>
      <c r="C74" s="10">
        <v>46173</v>
      </c>
      <c r="D74" t="s">
        <v>2032</v>
      </c>
      <c r="E74" s="11">
        <v>18888242</v>
      </c>
      <c r="F74" t="s">
        <v>407</v>
      </c>
      <c r="G74" t="s">
        <v>408</v>
      </c>
      <c r="H74" s="10">
        <v>46218</v>
      </c>
      <c r="I74">
        <v>5046.6400000000003</v>
      </c>
      <c r="J74">
        <v>0</v>
      </c>
      <c r="K74">
        <v>5046.6400000000003</v>
      </c>
    </row>
    <row r="75" spans="1:11" x14ac:dyDescent="0.35">
      <c r="A75">
        <v>5200000356</v>
      </c>
      <c r="B75">
        <v>9400011483</v>
      </c>
      <c r="C75" s="10">
        <v>46173</v>
      </c>
      <c r="D75" t="s">
        <v>2032</v>
      </c>
      <c r="E75" s="11">
        <v>18888242</v>
      </c>
      <c r="F75" t="s">
        <v>407</v>
      </c>
      <c r="G75" t="s">
        <v>408</v>
      </c>
      <c r="H75" s="10">
        <v>46187</v>
      </c>
      <c r="I75">
        <v>487993.72</v>
      </c>
      <c r="J75">
        <v>0</v>
      </c>
      <c r="K75">
        <v>487993.72</v>
      </c>
    </row>
    <row r="76" spans="1:11" x14ac:dyDescent="0.35">
      <c r="A76">
        <v>3000000918</v>
      </c>
      <c r="B76">
        <v>9400011481</v>
      </c>
      <c r="C76" s="10">
        <v>46173</v>
      </c>
      <c r="D76" t="s">
        <v>2032</v>
      </c>
      <c r="E76" s="11">
        <v>18888287</v>
      </c>
      <c r="F76" t="s">
        <v>3520</v>
      </c>
      <c r="G76" t="s">
        <v>3521</v>
      </c>
      <c r="H76" s="10">
        <v>46187</v>
      </c>
      <c r="I76">
        <v>33984</v>
      </c>
      <c r="J76">
        <v>0</v>
      </c>
      <c r="K76">
        <v>33984</v>
      </c>
    </row>
    <row r="77" spans="1:11" x14ac:dyDescent="0.35">
      <c r="A77">
        <v>3000000917</v>
      </c>
      <c r="B77">
        <v>9400011478</v>
      </c>
      <c r="C77" s="10">
        <v>46173</v>
      </c>
      <c r="D77" t="s">
        <v>2032</v>
      </c>
      <c r="E77" s="11">
        <v>18888283</v>
      </c>
      <c r="F77" t="s">
        <v>1155</v>
      </c>
      <c r="G77" t="s">
        <v>1156</v>
      </c>
      <c r="H77" s="10">
        <v>46187</v>
      </c>
      <c r="I77">
        <v>29509.439999999999</v>
      </c>
      <c r="J77">
        <v>0</v>
      </c>
      <c r="K77">
        <v>29509.439999999999</v>
      </c>
    </row>
    <row r="78" spans="1:11" x14ac:dyDescent="0.35">
      <c r="A78">
        <v>3000000916</v>
      </c>
      <c r="B78">
        <v>9400011476</v>
      </c>
      <c r="C78" s="10">
        <v>46173</v>
      </c>
      <c r="D78" t="s">
        <v>2032</v>
      </c>
      <c r="E78" s="11">
        <v>18888290</v>
      </c>
      <c r="F78" t="s">
        <v>3522</v>
      </c>
      <c r="G78" t="s">
        <v>3523</v>
      </c>
      <c r="H78" s="10">
        <v>46218</v>
      </c>
      <c r="I78">
        <v>42140.160000000003</v>
      </c>
      <c r="J78">
        <v>0</v>
      </c>
      <c r="K78">
        <v>42140.160000000003</v>
      </c>
    </row>
    <row r="79" spans="1:11" x14ac:dyDescent="0.35">
      <c r="A79">
        <v>2300000496</v>
      </c>
      <c r="B79">
        <v>9400011470</v>
      </c>
      <c r="C79" s="10">
        <v>46173</v>
      </c>
      <c r="D79" t="s">
        <v>2032</v>
      </c>
      <c r="E79" s="11">
        <v>18888279</v>
      </c>
      <c r="F79" t="s">
        <v>583</v>
      </c>
      <c r="G79" t="s">
        <v>584</v>
      </c>
      <c r="H79" s="10">
        <v>46218</v>
      </c>
      <c r="I79">
        <v>61272.2</v>
      </c>
      <c r="J79">
        <v>0</v>
      </c>
      <c r="K79">
        <v>61272.2</v>
      </c>
    </row>
    <row r="80" spans="1:11" x14ac:dyDescent="0.35">
      <c r="A80">
        <v>5100000730</v>
      </c>
      <c r="B80">
        <v>9400011469</v>
      </c>
      <c r="C80" s="10">
        <v>46173</v>
      </c>
      <c r="D80" t="s">
        <v>2032</v>
      </c>
      <c r="E80" s="11">
        <v>18888304</v>
      </c>
      <c r="F80" t="s">
        <v>387</v>
      </c>
      <c r="G80" t="s">
        <v>388</v>
      </c>
      <c r="H80" s="10">
        <v>46187</v>
      </c>
      <c r="I80">
        <v>123107.04</v>
      </c>
      <c r="J80">
        <v>0</v>
      </c>
      <c r="K80">
        <v>123107.04</v>
      </c>
    </row>
    <row r="81" spans="1:11" x14ac:dyDescent="0.35">
      <c r="A81">
        <v>2300000495</v>
      </c>
      <c r="B81">
        <v>9400011468</v>
      </c>
      <c r="C81" s="10">
        <v>46173</v>
      </c>
      <c r="D81" t="s">
        <v>2032</v>
      </c>
      <c r="E81" s="11">
        <v>18888279</v>
      </c>
      <c r="F81" t="s">
        <v>583</v>
      </c>
      <c r="G81" t="s">
        <v>584</v>
      </c>
      <c r="H81" s="10">
        <v>46187</v>
      </c>
      <c r="I81">
        <v>19668.240000000002</v>
      </c>
      <c r="J81">
        <v>0</v>
      </c>
      <c r="K81">
        <v>19668.240000000002</v>
      </c>
    </row>
    <row r="82" spans="1:11" x14ac:dyDescent="0.35">
      <c r="A82">
        <v>3000000914</v>
      </c>
      <c r="B82">
        <v>9400011466</v>
      </c>
      <c r="C82" s="10">
        <v>46173</v>
      </c>
      <c r="D82" t="s">
        <v>2032</v>
      </c>
      <c r="E82" s="11">
        <v>18888051</v>
      </c>
      <c r="F82" t="s">
        <v>447</v>
      </c>
      <c r="G82" t="s">
        <v>448</v>
      </c>
      <c r="H82" s="10">
        <v>46218</v>
      </c>
      <c r="I82">
        <v>333704</v>
      </c>
      <c r="J82">
        <v>0</v>
      </c>
      <c r="K82">
        <v>333704</v>
      </c>
    </row>
    <row r="83" spans="1:11" x14ac:dyDescent="0.35">
      <c r="A83">
        <v>5100000729</v>
      </c>
      <c r="B83">
        <v>9400011465</v>
      </c>
      <c r="C83" s="10">
        <v>46173</v>
      </c>
      <c r="D83" t="s">
        <v>2032</v>
      </c>
      <c r="E83" s="11">
        <v>18888144</v>
      </c>
      <c r="F83" t="s">
        <v>1245</v>
      </c>
      <c r="G83" t="s">
        <v>1246</v>
      </c>
      <c r="H83" s="10">
        <v>46187</v>
      </c>
      <c r="I83">
        <v>54374.400000000001</v>
      </c>
      <c r="J83">
        <v>0</v>
      </c>
      <c r="K83">
        <v>54374.400000000001</v>
      </c>
    </row>
    <row r="84" spans="1:11" x14ac:dyDescent="0.35">
      <c r="A84">
        <v>3000000913</v>
      </c>
      <c r="B84">
        <v>9400011464</v>
      </c>
      <c r="C84" s="10">
        <v>46173</v>
      </c>
      <c r="D84" t="s">
        <v>2032</v>
      </c>
      <c r="E84" s="11">
        <v>18888203</v>
      </c>
      <c r="F84" t="s">
        <v>3518</v>
      </c>
      <c r="G84" t="s">
        <v>3519</v>
      </c>
      <c r="H84" s="10">
        <v>46218</v>
      </c>
      <c r="I84">
        <v>74228.14</v>
      </c>
      <c r="J84">
        <v>0</v>
      </c>
      <c r="K84">
        <v>74228.14</v>
      </c>
    </row>
    <row r="85" spans="1:11" x14ac:dyDescent="0.35">
      <c r="A85">
        <v>5100000728</v>
      </c>
      <c r="B85">
        <v>9400011462</v>
      </c>
      <c r="C85" s="10">
        <v>46173</v>
      </c>
      <c r="D85" t="s">
        <v>2032</v>
      </c>
      <c r="E85" s="11">
        <v>18888131</v>
      </c>
      <c r="F85" t="s">
        <v>455</v>
      </c>
      <c r="G85" t="s">
        <v>456</v>
      </c>
      <c r="H85" s="10">
        <v>46187</v>
      </c>
      <c r="I85">
        <v>122342.39999999999</v>
      </c>
      <c r="J85">
        <v>0</v>
      </c>
      <c r="K85">
        <v>122342.39999999999</v>
      </c>
    </row>
    <row r="86" spans="1:11" x14ac:dyDescent="0.35">
      <c r="A86">
        <v>9200000711</v>
      </c>
      <c r="B86">
        <v>9400011461</v>
      </c>
      <c r="C86" s="10">
        <v>46173</v>
      </c>
      <c r="D86" t="s">
        <v>2032</v>
      </c>
      <c r="E86" s="11">
        <v>18888128</v>
      </c>
      <c r="F86" t="s">
        <v>44</v>
      </c>
      <c r="G86" t="s">
        <v>45</v>
      </c>
      <c r="H86" s="10">
        <v>46218</v>
      </c>
      <c r="I86">
        <v>9961.84</v>
      </c>
      <c r="J86">
        <v>0</v>
      </c>
      <c r="K86">
        <v>9961.84</v>
      </c>
    </row>
    <row r="87" spans="1:11" x14ac:dyDescent="0.35">
      <c r="A87">
        <v>9200000710</v>
      </c>
      <c r="B87">
        <v>9400011460</v>
      </c>
      <c r="C87" s="10">
        <v>46173</v>
      </c>
      <c r="D87" t="s">
        <v>2032</v>
      </c>
      <c r="E87" s="11">
        <v>18888128</v>
      </c>
      <c r="F87" t="s">
        <v>44</v>
      </c>
      <c r="G87" t="s">
        <v>45</v>
      </c>
      <c r="H87" s="10">
        <v>46187</v>
      </c>
      <c r="I87">
        <v>17065.64</v>
      </c>
      <c r="J87">
        <v>0</v>
      </c>
      <c r="K87">
        <v>17065.64</v>
      </c>
    </row>
    <row r="88" spans="1:11" x14ac:dyDescent="0.35">
      <c r="A88">
        <v>3000000912</v>
      </c>
      <c r="B88">
        <v>9400011459</v>
      </c>
      <c r="C88" s="10">
        <v>46173</v>
      </c>
      <c r="D88" t="s">
        <v>2032</v>
      </c>
      <c r="E88" s="11">
        <v>18888184</v>
      </c>
      <c r="F88" t="s">
        <v>343</v>
      </c>
      <c r="G88" t="s">
        <v>344</v>
      </c>
      <c r="H88" s="10">
        <v>46218</v>
      </c>
      <c r="I88">
        <v>121050.3</v>
      </c>
      <c r="J88">
        <v>0</v>
      </c>
      <c r="K88">
        <v>121050.3</v>
      </c>
    </row>
    <row r="89" spans="1:11" x14ac:dyDescent="0.35">
      <c r="A89">
        <v>3000000911</v>
      </c>
      <c r="B89">
        <v>9400011458</v>
      </c>
      <c r="C89" s="10">
        <v>46173</v>
      </c>
      <c r="D89" t="s">
        <v>2032</v>
      </c>
      <c r="E89" s="11">
        <v>18888072</v>
      </c>
      <c r="F89" t="s">
        <v>511</v>
      </c>
      <c r="G89" t="s">
        <v>512</v>
      </c>
      <c r="H89" s="10">
        <v>46218</v>
      </c>
      <c r="I89">
        <v>51878.7</v>
      </c>
      <c r="J89">
        <v>0</v>
      </c>
      <c r="K89">
        <v>51878.7</v>
      </c>
    </row>
    <row r="90" spans="1:11" x14ac:dyDescent="0.35">
      <c r="A90">
        <v>5200000354</v>
      </c>
      <c r="B90">
        <v>9400011457</v>
      </c>
      <c r="C90" s="10">
        <v>46173</v>
      </c>
      <c r="D90" t="s">
        <v>2032</v>
      </c>
      <c r="E90" s="11">
        <v>18852944</v>
      </c>
      <c r="F90" t="s">
        <v>639</v>
      </c>
      <c r="G90" t="s">
        <v>640</v>
      </c>
      <c r="H90" s="10">
        <v>46218</v>
      </c>
      <c r="I90">
        <v>143038.42000000001</v>
      </c>
      <c r="J90">
        <v>0</v>
      </c>
      <c r="K90">
        <v>143038.42000000001</v>
      </c>
    </row>
    <row r="91" spans="1:11" x14ac:dyDescent="0.35">
      <c r="A91">
        <v>5100000727</v>
      </c>
      <c r="B91">
        <v>9400011455</v>
      </c>
      <c r="C91" s="10">
        <v>46173</v>
      </c>
      <c r="D91" t="s">
        <v>2032</v>
      </c>
      <c r="E91" s="11">
        <v>18888120</v>
      </c>
      <c r="F91" t="s">
        <v>3524</v>
      </c>
      <c r="G91" t="s">
        <v>3525</v>
      </c>
      <c r="H91" s="10">
        <v>46187</v>
      </c>
      <c r="I91">
        <v>65560.800000000003</v>
      </c>
      <c r="J91">
        <v>0</v>
      </c>
      <c r="K91">
        <v>65560.800000000003</v>
      </c>
    </row>
    <row r="92" spans="1:11" x14ac:dyDescent="0.35">
      <c r="A92">
        <v>3000000909</v>
      </c>
      <c r="B92">
        <v>9400011453</v>
      </c>
      <c r="C92" s="10">
        <v>46173</v>
      </c>
      <c r="D92" t="s">
        <v>2032</v>
      </c>
      <c r="E92" s="11">
        <v>18888282</v>
      </c>
      <c r="F92" t="s">
        <v>1121</v>
      </c>
      <c r="G92" t="s">
        <v>1122</v>
      </c>
      <c r="H92" s="10">
        <v>46187</v>
      </c>
      <c r="I92">
        <v>36886.800000000003</v>
      </c>
      <c r="J92">
        <v>0</v>
      </c>
      <c r="K92">
        <v>36886.800000000003</v>
      </c>
    </row>
    <row r="93" spans="1:11" x14ac:dyDescent="0.35">
      <c r="A93">
        <v>5100000726</v>
      </c>
      <c r="B93">
        <v>9400011452</v>
      </c>
      <c r="C93" s="10">
        <v>46173</v>
      </c>
      <c r="D93" t="s">
        <v>2032</v>
      </c>
      <c r="E93" s="11">
        <v>18888121</v>
      </c>
      <c r="F93" t="s">
        <v>298</v>
      </c>
      <c r="G93" t="s">
        <v>299</v>
      </c>
      <c r="H93" s="10">
        <v>46187</v>
      </c>
      <c r="I93">
        <v>175980.48</v>
      </c>
      <c r="J93">
        <v>0</v>
      </c>
      <c r="K93">
        <v>175980.48</v>
      </c>
    </row>
    <row r="94" spans="1:11" x14ac:dyDescent="0.35">
      <c r="A94">
        <v>7000000530</v>
      </c>
      <c r="B94">
        <v>9400011448</v>
      </c>
      <c r="C94" s="10">
        <v>46173</v>
      </c>
      <c r="D94" t="s">
        <v>2032</v>
      </c>
      <c r="E94" s="11">
        <v>123456</v>
      </c>
      <c r="F94" t="s">
        <v>3526</v>
      </c>
      <c r="G94" t="s">
        <v>3527</v>
      </c>
      <c r="H94" s="10">
        <v>46187</v>
      </c>
      <c r="I94">
        <v>139674.23999999999</v>
      </c>
      <c r="J94">
        <v>0</v>
      </c>
      <c r="K94">
        <v>139674.23999999999</v>
      </c>
    </row>
    <row r="95" spans="1:11" x14ac:dyDescent="0.35">
      <c r="A95">
        <v>2730000538</v>
      </c>
      <c r="B95">
        <v>9400011446</v>
      </c>
      <c r="C95" s="10">
        <v>46173</v>
      </c>
      <c r="D95" t="s">
        <v>2032</v>
      </c>
      <c r="E95" s="11">
        <v>18888222</v>
      </c>
      <c r="F95" t="s">
        <v>47</v>
      </c>
      <c r="G95" t="s">
        <v>48</v>
      </c>
      <c r="H95" s="10">
        <v>46187</v>
      </c>
      <c r="I95">
        <v>61551.16</v>
      </c>
      <c r="J95">
        <v>0</v>
      </c>
      <c r="K95">
        <v>61551.16</v>
      </c>
    </row>
    <row r="96" spans="1:11" x14ac:dyDescent="0.35">
      <c r="A96">
        <v>3000000908</v>
      </c>
      <c r="B96">
        <v>9400011445</v>
      </c>
      <c r="C96" s="10">
        <v>46173</v>
      </c>
      <c r="D96" t="s">
        <v>2032</v>
      </c>
      <c r="E96" s="11">
        <v>18888203</v>
      </c>
      <c r="F96" t="s">
        <v>3518</v>
      </c>
      <c r="G96" t="s">
        <v>3519</v>
      </c>
      <c r="H96" s="10">
        <v>46188</v>
      </c>
      <c r="I96">
        <v>69718.64</v>
      </c>
      <c r="J96">
        <v>0</v>
      </c>
      <c r="K96">
        <v>69718.64</v>
      </c>
    </row>
    <row r="97" spans="1:11" x14ac:dyDescent="0.35">
      <c r="A97">
        <v>5200000353</v>
      </c>
      <c r="B97">
        <v>9400011443</v>
      </c>
      <c r="C97" s="10">
        <v>46173</v>
      </c>
      <c r="D97" t="s">
        <v>2032</v>
      </c>
      <c r="E97" s="11">
        <v>18877289</v>
      </c>
      <c r="F97" t="s">
        <v>779</v>
      </c>
      <c r="G97" t="s">
        <v>780</v>
      </c>
      <c r="H97" s="10">
        <v>46218</v>
      </c>
      <c r="I97">
        <v>8321.26</v>
      </c>
      <c r="J97">
        <v>0</v>
      </c>
      <c r="K97">
        <v>8321.26</v>
      </c>
    </row>
    <row r="98" spans="1:11" x14ac:dyDescent="0.35">
      <c r="A98">
        <v>2730000537</v>
      </c>
      <c r="B98">
        <v>9400011441</v>
      </c>
      <c r="C98" s="10">
        <v>46173</v>
      </c>
      <c r="D98" t="s">
        <v>2032</v>
      </c>
      <c r="E98" s="11">
        <v>18888182</v>
      </c>
      <c r="F98" t="s">
        <v>437</v>
      </c>
      <c r="G98" t="s">
        <v>438</v>
      </c>
      <c r="H98" s="10">
        <v>46187</v>
      </c>
      <c r="I98">
        <v>271872</v>
      </c>
      <c r="J98">
        <v>0</v>
      </c>
      <c r="K98">
        <v>271872</v>
      </c>
    </row>
    <row r="99" spans="1:11" x14ac:dyDescent="0.35">
      <c r="A99">
        <v>2300000493</v>
      </c>
      <c r="B99">
        <v>9400011438</v>
      </c>
      <c r="C99" s="10">
        <v>46173</v>
      </c>
      <c r="D99" t="s">
        <v>2032</v>
      </c>
      <c r="E99" s="11">
        <v>18888235</v>
      </c>
      <c r="F99" t="s">
        <v>629</v>
      </c>
      <c r="G99" t="s">
        <v>630</v>
      </c>
      <c r="H99" s="10">
        <v>46218</v>
      </c>
      <c r="I99">
        <v>121761.84</v>
      </c>
      <c r="J99">
        <v>0</v>
      </c>
      <c r="K99">
        <v>121761.84</v>
      </c>
    </row>
    <row r="100" spans="1:11" x14ac:dyDescent="0.35">
      <c r="A100">
        <v>3000000907</v>
      </c>
      <c r="B100">
        <v>9400011436</v>
      </c>
      <c r="C100" s="10">
        <v>46173</v>
      </c>
      <c r="D100" t="s">
        <v>2032</v>
      </c>
      <c r="E100" s="11">
        <v>18888173</v>
      </c>
      <c r="F100" t="s">
        <v>204</v>
      </c>
      <c r="G100" t="s">
        <v>205</v>
      </c>
      <c r="H100" s="10">
        <v>46218</v>
      </c>
      <c r="I100">
        <v>155755.89000000001</v>
      </c>
      <c r="J100">
        <v>0</v>
      </c>
      <c r="K100">
        <v>155755.89000000001</v>
      </c>
    </row>
    <row r="101" spans="1:11" x14ac:dyDescent="0.35">
      <c r="A101">
        <v>9300000596</v>
      </c>
      <c r="B101">
        <v>9400011435</v>
      </c>
      <c r="C101" s="10">
        <v>46173</v>
      </c>
      <c r="D101" t="s">
        <v>2032</v>
      </c>
      <c r="E101" s="11">
        <v>18865626</v>
      </c>
      <c r="F101" t="s">
        <v>823</v>
      </c>
      <c r="G101" t="s">
        <v>824</v>
      </c>
      <c r="H101" s="10">
        <v>46173</v>
      </c>
      <c r="I101">
        <v>18935.88</v>
      </c>
      <c r="J101">
        <v>18512.759999999998</v>
      </c>
      <c r="K101">
        <v>423.12000000000262</v>
      </c>
    </row>
    <row r="102" spans="1:11" x14ac:dyDescent="0.35">
      <c r="A102">
        <v>9300000595</v>
      </c>
      <c r="B102">
        <v>9400011433</v>
      </c>
      <c r="C102" s="10">
        <v>46173</v>
      </c>
      <c r="D102" t="s">
        <v>2032</v>
      </c>
      <c r="E102" s="11">
        <v>18877595</v>
      </c>
      <c r="F102" t="s">
        <v>20</v>
      </c>
      <c r="G102" t="s">
        <v>21</v>
      </c>
      <c r="H102" s="10">
        <v>46218</v>
      </c>
      <c r="I102">
        <v>6796.8</v>
      </c>
      <c r="J102">
        <v>0</v>
      </c>
      <c r="K102">
        <v>6796.8</v>
      </c>
    </row>
    <row r="103" spans="1:11" x14ac:dyDescent="0.35">
      <c r="A103">
        <v>2300000492</v>
      </c>
      <c r="B103">
        <v>9400011431</v>
      </c>
      <c r="C103" s="10">
        <v>46173</v>
      </c>
      <c r="D103" t="s">
        <v>2032</v>
      </c>
      <c r="E103" s="11">
        <v>18888229</v>
      </c>
      <c r="F103" t="s">
        <v>391</v>
      </c>
      <c r="G103" t="s">
        <v>392</v>
      </c>
      <c r="H103" s="10">
        <v>46218</v>
      </c>
      <c r="I103">
        <v>10678.04</v>
      </c>
      <c r="J103">
        <v>0</v>
      </c>
      <c r="K103">
        <v>10678.04</v>
      </c>
    </row>
    <row r="104" spans="1:11" x14ac:dyDescent="0.35">
      <c r="A104">
        <v>9300000594</v>
      </c>
      <c r="B104">
        <v>9400011430</v>
      </c>
      <c r="C104" s="10">
        <v>46173</v>
      </c>
      <c r="D104" t="s">
        <v>2032</v>
      </c>
      <c r="E104" s="11">
        <v>18888197</v>
      </c>
      <c r="F104" t="s">
        <v>156</v>
      </c>
      <c r="G104" t="s">
        <v>157</v>
      </c>
      <c r="H104" s="10">
        <v>46218</v>
      </c>
      <c r="I104">
        <v>24914.52</v>
      </c>
      <c r="J104">
        <v>0</v>
      </c>
      <c r="K104">
        <v>24914.52</v>
      </c>
    </row>
    <row r="105" spans="1:11" x14ac:dyDescent="0.35">
      <c r="A105">
        <v>9300000593</v>
      </c>
      <c r="B105">
        <v>9400011429</v>
      </c>
      <c r="C105" s="10">
        <v>46173</v>
      </c>
      <c r="D105" t="s">
        <v>2032</v>
      </c>
      <c r="E105" s="11">
        <v>18854505</v>
      </c>
      <c r="F105" t="s">
        <v>541</v>
      </c>
      <c r="G105" t="s">
        <v>542</v>
      </c>
      <c r="H105" s="10">
        <v>46187</v>
      </c>
      <c r="I105">
        <v>26224.32</v>
      </c>
      <c r="J105">
        <v>0</v>
      </c>
      <c r="K105">
        <v>26224.32</v>
      </c>
    </row>
    <row r="106" spans="1:11" x14ac:dyDescent="0.35">
      <c r="A106">
        <v>9300000592</v>
      </c>
      <c r="B106">
        <v>9400011427</v>
      </c>
      <c r="C106" s="10">
        <v>46173</v>
      </c>
      <c r="D106" t="s">
        <v>2032</v>
      </c>
      <c r="E106" s="11">
        <v>18876115</v>
      </c>
      <c r="F106" t="s">
        <v>541</v>
      </c>
      <c r="G106" t="s">
        <v>542</v>
      </c>
      <c r="H106" s="10">
        <v>46218</v>
      </c>
      <c r="I106">
        <v>26874.86</v>
      </c>
      <c r="J106">
        <v>0</v>
      </c>
      <c r="K106">
        <v>26874.86</v>
      </c>
    </row>
    <row r="107" spans="1:11" x14ac:dyDescent="0.35">
      <c r="A107">
        <v>9300000591</v>
      </c>
      <c r="B107">
        <v>9400011422</v>
      </c>
      <c r="C107" s="10">
        <v>46173</v>
      </c>
      <c r="D107" t="s">
        <v>2032</v>
      </c>
      <c r="E107" s="11">
        <v>18854232</v>
      </c>
      <c r="F107" t="s">
        <v>184</v>
      </c>
      <c r="G107" t="s">
        <v>185</v>
      </c>
      <c r="H107" s="10">
        <v>46218</v>
      </c>
      <c r="I107">
        <v>149374.20000000001</v>
      </c>
      <c r="J107">
        <v>0</v>
      </c>
      <c r="K107">
        <v>149374.20000000001</v>
      </c>
    </row>
    <row r="108" spans="1:11" x14ac:dyDescent="0.35">
      <c r="A108">
        <v>9300000590</v>
      </c>
      <c r="B108">
        <v>9400011418</v>
      </c>
      <c r="C108" s="10">
        <v>46173</v>
      </c>
      <c r="D108" t="s">
        <v>2032</v>
      </c>
      <c r="E108" s="11">
        <v>18854505</v>
      </c>
      <c r="F108" t="s">
        <v>1009</v>
      </c>
      <c r="G108" t="s">
        <v>1010</v>
      </c>
      <c r="H108" s="10">
        <v>46218</v>
      </c>
      <c r="I108">
        <v>30840.48</v>
      </c>
      <c r="J108">
        <v>0</v>
      </c>
      <c r="K108">
        <v>30840.48</v>
      </c>
    </row>
    <row r="109" spans="1:11" x14ac:dyDescent="0.35">
      <c r="A109">
        <v>3000000904</v>
      </c>
      <c r="B109">
        <v>9400011417</v>
      </c>
      <c r="C109" s="10">
        <v>46173</v>
      </c>
      <c r="D109" t="s">
        <v>2032</v>
      </c>
      <c r="E109" s="11">
        <v>18888056</v>
      </c>
      <c r="F109" t="s">
        <v>1155</v>
      </c>
      <c r="G109" t="s">
        <v>1156</v>
      </c>
      <c r="H109" s="10">
        <v>46187</v>
      </c>
      <c r="I109">
        <v>295094.40000000002</v>
      </c>
      <c r="J109">
        <v>0</v>
      </c>
      <c r="K109">
        <v>295094.40000000002</v>
      </c>
    </row>
    <row r="110" spans="1:11" x14ac:dyDescent="0.35">
      <c r="A110">
        <v>9300000589</v>
      </c>
      <c r="B110">
        <v>9400011416</v>
      </c>
      <c r="C110" s="10">
        <v>46173</v>
      </c>
      <c r="D110" t="s">
        <v>2032</v>
      </c>
      <c r="E110" s="11">
        <v>18888132</v>
      </c>
      <c r="F110" t="s">
        <v>831</v>
      </c>
      <c r="G110" t="s">
        <v>832</v>
      </c>
      <c r="H110" s="10">
        <v>46218</v>
      </c>
      <c r="I110">
        <v>71027.740000000005</v>
      </c>
      <c r="J110">
        <v>0</v>
      </c>
      <c r="K110">
        <v>71027.740000000005</v>
      </c>
    </row>
    <row r="111" spans="1:11" x14ac:dyDescent="0.35">
      <c r="A111">
        <v>9300000588</v>
      </c>
      <c r="B111">
        <v>9400011415</v>
      </c>
      <c r="C111" s="10">
        <v>46173</v>
      </c>
      <c r="D111" t="s">
        <v>2032</v>
      </c>
      <c r="E111" s="11">
        <v>18854505</v>
      </c>
      <c r="F111" t="s">
        <v>871</v>
      </c>
      <c r="G111" t="s">
        <v>872</v>
      </c>
      <c r="H111" s="10">
        <v>46218</v>
      </c>
      <c r="I111">
        <v>30440.46</v>
      </c>
      <c r="J111">
        <v>0</v>
      </c>
      <c r="K111">
        <v>30440.46</v>
      </c>
    </row>
    <row r="112" spans="1:11" x14ac:dyDescent="0.35">
      <c r="A112">
        <v>3000000903</v>
      </c>
      <c r="B112">
        <v>9400011414</v>
      </c>
      <c r="C112" s="10">
        <v>46173</v>
      </c>
      <c r="D112" t="s">
        <v>2032</v>
      </c>
      <c r="E112" s="11">
        <v>18888111</v>
      </c>
      <c r="F112" t="s">
        <v>535</v>
      </c>
      <c r="G112" t="s">
        <v>536</v>
      </c>
      <c r="H112" s="10">
        <v>46218</v>
      </c>
      <c r="I112">
        <v>34585.800000000003</v>
      </c>
      <c r="J112">
        <v>0</v>
      </c>
      <c r="K112">
        <v>34585.800000000003</v>
      </c>
    </row>
    <row r="113" spans="1:11" x14ac:dyDescent="0.35">
      <c r="A113">
        <v>9300000587</v>
      </c>
      <c r="B113">
        <v>9400011412</v>
      </c>
      <c r="C113" s="10">
        <v>46173</v>
      </c>
      <c r="D113" t="s">
        <v>2032</v>
      </c>
      <c r="E113" s="11">
        <v>18854505</v>
      </c>
      <c r="F113" t="s">
        <v>703</v>
      </c>
      <c r="G113" t="s">
        <v>704</v>
      </c>
      <c r="H113" s="10">
        <v>46218</v>
      </c>
      <c r="I113">
        <v>60880.92</v>
      </c>
      <c r="J113">
        <v>0</v>
      </c>
      <c r="K113">
        <v>60880.92</v>
      </c>
    </row>
    <row r="114" spans="1:11" x14ac:dyDescent="0.35">
      <c r="A114">
        <v>9300000585</v>
      </c>
      <c r="B114">
        <v>9400011410</v>
      </c>
      <c r="C114" s="10">
        <v>46173</v>
      </c>
      <c r="D114" t="s">
        <v>2032</v>
      </c>
      <c r="E114" s="11">
        <v>18854204</v>
      </c>
      <c r="F114" t="s">
        <v>251</v>
      </c>
      <c r="G114" t="s">
        <v>252</v>
      </c>
      <c r="H114" s="10">
        <v>46218</v>
      </c>
      <c r="I114">
        <v>134976.66</v>
      </c>
      <c r="J114">
        <v>0</v>
      </c>
      <c r="K114">
        <v>134976.66</v>
      </c>
    </row>
    <row r="115" spans="1:11" x14ac:dyDescent="0.35">
      <c r="A115">
        <v>2730000536</v>
      </c>
      <c r="B115">
        <v>9400011409</v>
      </c>
      <c r="C115" s="10">
        <v>46173</v>
      </c>
      <c r="D115" t="s">
        <v>2032</v>
      </c>
      <c r="E115" s="11">
        <v>18888104</v>
      </c>
      <c r="F115" t="s">
        <v>114</v>
      </c>
      <c r="G115" t="s">
        <v>115</v>
      </c>
      <c r="H115" s="10">
        <v>46187</v>
      </c>
      <c r="I115">
        <v>112019.76</v>
      </c>
      <c r="J115">
        <v>0</v>
      </c>
      <c r="K115">
        <v>112019.76</v>
      </c>
    </row>
    <row r="116" spans="1:11" x14ac:dyDescent="0.35">
      <c r="A116">
        <v>9300000584</v>
      </c>
      <c r="B116">
        <v>9400011408</v>
      </c>
      <c r="C116" s="10">
        <v>46173</v>
      </c>
      <c r="D116" t="s">
        <v>2032</v>
      </c>
      <c r="E116" s="11">
        <v>18854505</v>
      </c>
      <c r="F116" t="s">
        <v>280</v>
      </c>
      <c r="G116" t="s">
        <v>281</v>
      </c>
      <c r="H116" s="10">
        <v>46218</v>
      </c>
      <c r="I116">
        <v>127818.78</v>
      </c>
      <c r="J116">
        <v>0</v>
      </c>
      <c r="K116">
        <v>127818.78</v>
      </c>
    </row>
    <row r="117" spans="1:11" x14ac:dyDescent="0.35">
      <c r="A117">
        <v>3000000902</v>
      </c>
      <c r="B117">
        <v>9400011407</v>
      </c>
      <c r="C117" s="10">
        <v>46173</v>
      </c>
      <c r="D117" t="s">
        <v>2032</v>
      </c>
      <c r="E117" s="11">
        <v>18875881</v>
      </c>
      <c r="F117" t="s">
        <v>393</v>
      </c>
      <c r="G117" t="s">
        <v>394</v>
      </c>
      <c r="H117" s="10">
        <v>46218</v>
      </c>
      <c r="I117">
        <v>143899.45000000001</v>
      </c>
      <c r="J117">
        <v>0</v>
      </c>
      <c r="K117">
        <v>143899.45000000001</v>
      </c>
    </row>
    <row r="118" spans="1:11" x14ac:dyDescent="0.35">
      <c r="A118">
        <v>5100000725</v>
      </c>
      <c r="B118">
        <v>9400011406</v>
      </c>
      <c r="C118" s="10">
        <v>46173</v>
      </c>
      <c r="D118" t="s">
        <v>2032</v>
      </c>
      <c r="E118" s="11" t="s">
        <v>3676</v>
      </c>
      <c r="F118" t="s">
        <v>715</v>
      </c>
      <c r="G118" t="s">
        <v>716</v>
      </c>
      <c r="H118" s="10">
        <v>46218</v>
      </c>
      <c r="I118">
        <v>184855.96</v>
      </c>
      <c r="J118">
        <v>0</v>
      </c>
      <c r="K118">
        <v>184855.96</v>
      </c>
    </row>
    <row r="119" spans="1:11" x14ac:dyDescent="0.35">
      <c r="A119">
        <v>9300000583</v>
      </c>
      <c r="B119">
        <v>9400011405</v>
      </c>
      <c r="C119" s="10">
        <v>46173</v>
      </c>
      <c r="D119" t="s">
        <v>2032</v>
      </c>
      <c r="E119" s="11">
        <v>18854428</v>
      </c>
      <c r="F119" t="s">
        <v>609</v>
      </c>
      <c r="G119" t="s">
        <v>610</v>
      </c>
      <c r="H119" s="10">
        <v>46218</v>
      </c>
      <c r="I119">
        <v>20293.64</v>
      </c>
      <c r="J119">
        <v>0</v>
      </c>
      <c r="K119">
        <v>20293.64</v>
      </c>
    </row>
    <row r="120" spans="1:11" x14ac:dyDescent="0.35">
      <c r="A120">
        <v>9300000582</v>
      </c>
      <c r="B120">
        <v>9400011404</v>
      </c>
      <c r="C120" s="10">
        <v>46173</v>
      </c>
      <c r="D120" t="s">
        <v>2032</v>
      </c>
      <c r="E120" s="11">
        <v>18876115</v>
      </c>
      <c r="F120" t="s">
        <v>417</v>
      </c>
      <c r="G120" t="s">
        <v>418</v>
      </c>
      <c r="H120" s="10">
        <v>46218</v>
      </c>
      <c r="I120">
        <v>110894.18</v>
      </c>
      <c r="J120">
        <v>0</v>
      </c>
      <c r="K120">
        <v>110894.18</v>
      </c>
    </row>
    <row r="121" spans="1:11" x14ac:dyDescent="0.35">
      <c r="A121">
        <v>5100000724</v>
      </c>
      <c r="B121">
        <v>9400011402</v>
      </c>
      <c r="C121" s="10">
        <v>46173</v>
      </c>
      <c r="D121" t="s">
        <v>2032</v>
      </c>
      <c r="E121" s="11">
        <v>18797886</v>
      </c>
      <c r="F121" t="s">
        <v>923</v>
      </c>
      <c r="G121" t="s">
        <v>924</v>
      </c>
      <c r="H121" s="10">
        <v>46218</v>
      </c>
      <c r="I121">
        <v>36541.300000000003</v>
      </c>
      <c r="J121">
        <v>0</v>
      </c>
      <c r="K121">
        <v>36541.300000000003</v>
      </c>
    </row>
    <row r="122" spans="1:11" x14ac:dyDescent="0.35">
      <c r="A122">
        <v>2730000535</v>
      </c>
      <c r="B122">
        <v>9400011401</v>
      </c>
      <c r="C122" s="10">
        <v>46173</v>
      </c>
      <c r="D122" t="s">
        <v>2032</v>
      </c>
      <c r="E122" s="11">
        <v>18888084</v>
      </c>
      <c r="F122" t="s">
        <v>89</v>
      </c>
      <c r="G122" t="s">
        <v>90</v>
      </c>
      <c r="H122" s="10">
        <v>46187</v>
      </c>
      <c r="I122">
        <v>218418</v>
      </c>
      <c r="J122">
        <v>0</v>
      </c>
      <c r="K122">
        <v>218418</v>
      </c>
    </row>
    <row r="123" spans="1:11" x14ac:dyDescent="0.35">
      <c r="A123">
        <v>9300000581</v>
      </c>
      <c r="B123">
        <v>9400011400</v>
      </c>
      <c r="C123" s="10">
        <v>46173</v>
      </c>
      <c r="D123" t="s">
        <v>2032</v>
      </c>
      <c r="E123" s="11">
        <v>18854505</v>
      </c>
      <c r="F123" t="s">
        <v>885</v>
      </c>
      <c r="G123" t="s">
        <v>886</v>
      </c>
      <c r="H123" s="10">
        <v>46218</v>
      </c>
      <c r="I123">
        <v>78962.539999999994</v>
      </c>
      <c r="J123">
        <v>0</v>
      </c>
      <c r="K123">
        <v>78962.539999999994</v>
      </c>
    </row>
    <row r="124" spans="1:11" x14ac:dyDescent="0.35">
      <c r="A124">
        <v>2730000534</v>
      </c>
      <c r="B124">
        <v>9400011398</v>
      </c>
      <c r="C124" s="10">
        <v>46173</v>
      </c>
      <c r="D124" t="s">
        <v>2032</v>
      </c>
      <c r="E124" s="11">
        <v>18888047</v>
      </c>
      <c r="F124" t="s">
        <v>437</v>
      </c>
      <c r="G124" t="s">
        <v>438</v>
      </c>
      <c r="H124" s="10">
        <v>46187</v>
      </c>
      <c r="I124">
        <v>120076.8</v>
      </c>
      <c r="J124">
        <v>0</v>
      </c>
      <c r="K124">
        <v>120076.8</v>
      </c>
    </row>
    <row r="125" spans="1:11" x14ac:dyDescent="0.35">
      <c r="A125">
        <v>2720000368</v>
      </c>
      <c r="B125">
        <v>9400011397</v>
      </c>
      <c r="C125" s="10">
        <v>46173</v>
      </c>
      <c r="D125" t="s">
        <v>2032</v>
      </c>
      <c r="E125" s="11">
        <v>18877922</v>
      </c>
      <c r="F125" t="s">
        <v>146</v>
      </c>
      <c r="G125" t="s">
        <v>147</v>
      </c>
      <c r="H125" s="10">
        <v>46218</v>
      </c>
      <c r="I125">
        <v>411206.40000000002</v>
      </c>
      <c r="J125">
        <v>0</v>
      </c>
      <c r="K125">
        <v>411206.40000000002</v>
      </c>
    </row>
    <row r="126" spans="1:11" x14ac:dyDescent="0.35">
      <c r="A126">
        <v>3000000901</v>
      </c>
      <c r="B126">
        <v>9400011396</v>
      </c>
      <c r="C126" s="10">
        <v>46173</v>
      </c>
      <c r="D126" t="s">
        <v>2032</v>
      </c>
      <c r="E126" s="11">
        <v>18888091</v>
      </c>
      <c r="F126" t="s">
        <v>535</v>
      </c>
      <c r="G126" t="s">
        <v>536</v>
      </c>
      <c r="H126" s="10">
        <v>46218</v>
      </c>
      <c r="I126">
        <v>185351.8</v>
      </c>
      <c r="J126">
        <v>0</v>
      </c>
      <c r="K126">
        <v>185351.8</v>
      </c>
    </row>
    <row r="127" spans="1:11" x14ac:dyDescent="0.35">
      <c r="A127">
        <v>3000000900</v>
      </c>
      <c r="B127">
        <v>9400011394</v>
      </c>
      <c r="C127" s="10">
        <v>46173</v>
      </c>
      <c r="D127" t="s">
        <v>2032</v>
      </c>
      <c r="E127" s="11">
        <v>18888087</v>
      </c>
      <c r="F127" t="s">
        <v>947</v>
      </c>
      <c r="G127" t="s">
        <v>948</v>
      </c>
      <c r="H127" s="10">
        <v>46218</v>
      </c>
      <c r="I127">
        <v>60351.69</v>
      </c>
      <c r="J127">
        <v>0</v>
      </c>
      <c r="K127">
        <v>60351.69</v>
      </c>
    </row>
    <row r="128" spans="1:11" x14ac:dyDescent="0.35">
      <c r="A128">
        <v>9300000579</v>
      </c>
      <c r="B128">
        <v>9400011393</v>
      </c>
      <c r="C128" s="10">
        <v>46173</v>
      </c>
      <c r="D128" t="s">
        <v>2032</v>
      </c>
      <c r="E128" s="11">
        <v>18854428</v>
      </c>
      <c r="F128" t="s">
        <v>609</v>
      </c>
      <c r="G128" t="s">
        <v>610</v>
      </c>
      <c r="H128" s="10">
        <v>46218</v>
      </c>
      <c r="I128">
        <v>122335.78</v>
      </c>
      <c r="J128">
        <v>0</v>
      </c>
      <c r="K128">
        <v>122335.78</v>
      </c>
    </row>
    <row r="129" spans="1:11" x14ac:dyDescent="0.35">
      <c r="A129">
        <v>2000000194</v>
      </c>
      <c r="B129">
        <v>9400011392</v>
      </c>
      <c r="C129" s="10">
        <v>46173</v>
      </c>
      <c r="D129" t="s">
        <v>2032</v>
      </c>
      <c r="E129" s="11">
        <v>18888092</v>
      </c>
      <c r="F129" t="s">
        <v>3529</v>
      </c>
      <c r="G129" t="s">
        <v>3530</v>
      </c>
      <c r="H129" s="10">
        <v>46218</v>
      </c>
      <c r="I129">
        <v>951552</v>
      </c>
      <c r="J129">
        <v>0</v>
      </c>
      <c r="K129">
        <v>951552</v>
      </c>
    </row>
    <row r="130" spans="1:11" x14ac:dyDescent="0.35">
      <c r="A130">
        <v>9300000575</v>
      </c>
      <c r="B130">
        <v>9400011381</v>
      </c>
      <c r="C130" s="10">
        <v>46173</v>
      </c>
      <c r="D130" t="s">
        <v>2032</v>
      </c>
      <c r="E130" s="11">
        <v>18888020</v>
      </c>
      <c r="F130" t="s">
        <v>611</v>
      </c>
      <c r="G130" t="s">
        <v>612</v>
      </c>
      <c r="H130" s="10">
        <v>46218</v>
      </c>
      <c r="I130">
        <v>30440.46</v>
      </c>
      <c r="J130">
        <v>0</v>
      </c>
      <c r="K130">
        <v>30440.46</v>
      </c>
    </row>
    <row r="131" spans="1:11" x14ac:dyDescent="0.35">
      <c r="A131">
        <v>3000000898</v>
      </c>
      <c r="B131">
        <v>9400011378</v>
      </c>
      <c r="C131" s="10">
        <v>46173</v>
      </c>
      <c r="D131" t="s">
        <v>2032</v>
      </c>
      <c r="E131" s="11">
        <v>18888072</v>
      </c>
      <c r="F131" t="s">
        <v>511</v>
      </c>
      <c r="G131" t="s">
        <v>512</v>
      </c>
      <c r="H131" s="10">
        <v>46188</v>
      </c>
      <c r="I131">
        <v>73160</v>
      </c>
      <c r="J131">
        <v>0</v>
      </c>
      <c r="K131">
        <v>73160</v>
      </c>
    </row>
    <row r="132" spans="1:11" x14ac:dyDescent="0.35">
      <c r="A132">
        <v>3000000897</v>
      </c>
      <c r="B132">
        <v>9400011369</v>
      </c>
      <c r="C132" s="10">
        <v>46173</v>
      </c>
      <c r="D132" t="s">
        <v>2032</v>
      </c>
      <c r="E132" s="11">
        <v>18888049</v>
      </c>
      <c r="F132" t="s">
        <v>3520</v>
      </c>
      <c r="G132" t="s">
        <v>3521</v>
      </c>
      <c r="H132" s="10">
        <v>46187</v>
      </c>
      <c r="I132">
        <v>108748.8</v>
      </c>
      <c r="J132">
        <v>0</v>
      </c>
      <c r="K132">
        <v>108748.8</v>
      </c>
    </row>
    <row r="133" spans="1:11" x14ac:dyDescent="0.35">
      <c r="A133">
        <v>9200000709</v>
      </c>
      <c r="B133">
        <v>9400011368</v>
      </c>
      <c r="C133" s="10">
        <v>46173</v>
      </c>
      <c r="D133" t="s">
        <v>2032</v>
      </c>
      <c r="E133" s="11">
        <v>18888065</v>
      </c>
      <c r="F133" t="s">
        <v>44</v>
      </c>
      <c r="G133" t="s">
        <v>45</v>
      </c>
      <c r="H133" s="10">
        <v>46218</v>
      </c>
      <c r="I133">
        <v>20560.32</v>
      </c>
      <c r="J133">
        <v>0</v>
      </c>
      <c r="K133">
        <v>20560.32</v>
      </c>
    </row>
    <row r="134" spans="1:11" x14ac:dyDescent="0.35">
      <c r="A134">
        <v>9100000998</v>
      </c>
      <c r="B134">
        <v>9400011367</v>
      </c>
      <c r="C134" s="10">
        <v>46173</v>
      </c>
      <c r="D134" t="s">
        <v>2032</v>
      </c>
      <c r="E134" s="11">
        <v>25564225</v>
      </c>
      <c r="F134" t="s">
        <v>345</v>
      </c>
      <c r="G134" t="s">
        <v>346</v>
      </c>
      <c r="H134" s="10">
        <v>46218</v>
      </c>
      <c r="I134">
        <v>53399.9</v>
      </c>
      <c r="J134">
        <v>0</v>
      </c>
      <c r="K134">
        <v>53399.9</v>
      </c>
    </row>
    <row r="135" spans="1:11" x14ac:dyDescent="0.35">
      <c r="A135">
        <v>2000000193</v>
      </c>
      <c r="B135">
        <v>9400011366</v>
      </c>
      <c r="C135" s="10">
        <v>46173</v>
      </c>
      <c r="D135" t="s">
        <v>2032</v>
      </c>
      <c r="E135" s="11">
        <v>18853125</v>
      </c>
      <c r="F135" t="s">
        <v>847</v>
      </c>
      <c r="G135" t="s">
        <v>848</v>
      </c>
      <c r="H135" s="10">
        <v>46218</v>
      </c>
      <c r="I135">
        <v>122509.88</v>
      </c>
      <c r="J135">
        <v>0</v>
      </c>
      <c r="K135">
        <v>122509.88</v>
      </c>
    </row>
    <row r="136" spans="1:11" x14ac:dyDescent="0.35">
      <c r="A136">
        <v>9100000997</v>
      </c>
      <c r="B136">
        <v>9400011363</v>
      </c>
      <c r="C136" s="10">
        <v>46173</v>
      </c>
      <c r="D136" t="s">
        <v>2032</v>
      </c>
      <c r="E136" s="11">
        <v>2566425</v>
      </c>
      <c r="F136" t="s">
        <v>825</v>
      </c>
      <c r="G136" t="s">
        <v>826</v>
      </c>
      <c r="H136" s="10">
        <v>46218</v>
      </c>
      <c r="I136">
        <v>53399.9</v>
      </c>
      <c r="J136">
        <v>0</v>
      </c>
      <c r="K136">
        <v>53399.9</v>
      </c>
    </row>
    <row r="137" spans="1:11" x14ac:dyDescent="0.35">
      <c r="A137">
        <v>3000000896</v>
      </c>
      <c r="B137">
        <v>9400011362</v>
      </c>
      <c r="C137" s="10">
        <v>46173</v>
      </c>
      <c r="D137" t="s">
        <v>2032</v>
      </c>
      <c r="E137" s="11">
        <v>18888054</v>
      </c>
      <c r="F137" t="s">
        <v>1121</v>
      </c>
      <c r="G137" t="s">
        <v>1122</v>
      </c>
      <c r="H137" s="10">
        <v>46187</v>
      </c>
      <c r="I137">
        <v>410356.8</v>
      </c>
      <c r="J137">
        <v>0</v>
      </c>
      <c r="K137">
        <v>410356.8</v>
      </c>
    </row>
    <row r="138" spans="1:11" x14ac:dyDescent="0.35">
      <c r="A138">
        <v>9200000708</v>
      </c>
      <c r="B138">
        <v>9400011361</v>
      </c>
      <c r="C138" s="10">
        <v>46173</v>
      </c>
      <c r="D138" t="s">
        <v>2032</v>
      </c>
      <c r="E138" s="11">
        <v>18888065</v>
      </c>
      <c r="F138" t="s">
        <v>44</v>
      </c>
      <c r="G138" t="s">
        <v>45</v>
      </c>
      <c r="H138" s="10">
        <v>46218</v>
      </c>
      <c r="I138">
        <v>27849.88</v>
      </c>
      <c r="J138">
        <v>0</v>
      </c>
      <c r="K138">
        <v>27849.88</v>
      </c>
    </row>
    <row r="139" spans="1:11" x14ac:dyDescent="0.35">
      <c r="A139">
        <v>9100000996</v>
      </c>
      <c r="B139">
        <v>9400011359</v>
      </c>
      <c r="C139" s="10">
        <v>46173</v>
      </c>
      <c r="D139" t="s">
        <v>2032</v>
      </c>
      <c r="E139" s="11">
        <v>2565152</v>
      </c>
      <c r="F139" t="s">
        <v>501</v>
      </c>
      <c r="G139" t="s">
        <v>502</v>
      </c>
      <c r="H139" s="10">
        <v>46218</v>
      </c>
      <c r="I139">
        <v>10375.74</v>
      </c>
      <c r="J139">
        <v>0</v>
      </c>
      <c r="K139">
        <v>10375.74</v>
      </c>
    </row>
    <row r="140" spans="1:11" x14ac:dyDescent="0.35">
      <c r="A140">
        <v>9200000706</v>
      </c>
      <c r="B140">
        <v>9400011357</v>
      </c>
      <c r="C140" s="10">
        <v>46173</v>
      </c>
      <c r="D140" t="s">
        <v>2032</v>
      </c>
      <c r="E140" s="11">
        <v>18888063</v>
      </c>
      <c r="F140" t="s">
        <v>517</v>
      </c>
      <c r="G140" t="s">
        <v>518</v>
      </c>
      <c r="H140" s="10">
        <v>46218</v>
      </c>
      <c r="I140">
        <v>41120.639999999999</v>
      </c>
      <c r="J140">
        <v>0</v>
      </c>
      <c r="K140">
        <v>41120.639999999999</v>
      </c>
    </row>
    <row r="141" spans="1:11" x14ac:dyDescent="0.35">
      <c r="A141">
        <v>9100000995</v>
      </c>
      <c r="B141">
        <v>9400011356</v>
      </c>
      <c r="C141" s="10">
        <v>46173</v>
      </c>
      <c r="D141" t="s">
        <v>2032</v>
      </c>
      <c r="E141" s="11">
        <v>559520152</v>
      </c>
      <c r="F141" t="s">
        <v>186</v>
      </c>
      <c r="G141" t="s">
        <v>187</v>
      </c>
      <c r="H141" s="10">
        <v>46187</v>
      </c>
      <c r="I141">
        <v>62077.440000000002</v>
      </c>
      <c r="J141">
        <v>0</v>
      </c>
      <c r="K141">
        <v>62077.440000000002</v>
      </c>
    </row>
    <row r="142" spans="1:11" x14ac:dyDescent="0.35">
      <c r="A142">
        <v>2710000808</v>
      </c>
      <c r="B142">
        <v>9400011352</v>
      </c>
      <c r="C142" s="10">
        <v>46173</v>
      </c>
      <c r="D142" t="s">
        <v>2032</v>
      </c>
      <c r="E142" s="11">
        <v>1</v>
      </c>
      <c r="F142" t="s">
        <v>353</v>
      </c>
      <c r="G142" t="s">
        <v>354</v>
      </c>
      <c r="H142" s="10">
        <v>46218</v>
      </c>
      <c r="I142">
        <v>51878.7</v>
      </c>
      <c r="J142">
        <v>0</v>
      </c>
      <c r="K142">
        <v>51878.7</v>
      </c>
    </row>
    <row r="143" spans="1:11" x14ac:dyDescent="0.35">
      <c r="A143">
        <v>9300000571</v>
      </c>
      <c r="B143">
        <v>9400011351</v>
      </c>
      <c r="C143" s="10">
        <v>46173</v>
      </c>
      <c r="D143" t="s">
        <v>2032</v>
      </c>
      <c r="E143" s="11">
        <v>18877595</v>
      </c>
      <c r="F143" t="s">
        <v>20</v>
      </c>
      <c r="G143" t="s">
        <v>21</v>
      </c>
      <c r="H143" s="10">
        <v>46218</v>
      </c>
      <c r="I143">
        <v>72428.399999999994</v>
      </c>
      <c r="J143">
        <v>0</v>
      </c>
      <c r="K143">
        <v>72428.399999999994</v>
      </c>
    </row>
    <row r="144" spans="1:11" x14ac:dyDescent="0.35">
      <c r="A144">
        <v>9300000570</v>
      </c>
      <c r="B144">
        <v>9400011350</v>
      </c>
      <c r="C144" s="10">
        <v>46173</v>
      </c>
      <c r="D144" t="s">
        <v>2032</v>
      </c>
      <c r="E144" s="11">
        <v>18822360</v>
      </c>
      <c r="F144" t="s">
        <v>429</v>
      </c>
      <c r="G144" t="s">
        <v>430</v>
      </c>
      <c r="H144" s="10">
        <v>46218</v>
      </c>
      <c r="I144">
        <v>73483.320000000007</v>
      </c>
      <c r="J144">
        <v>0</v>
      </c>
      <c r="K144">
        <v>73483.320000000007</v>
      </c>
    </row>
    <row r="145" spans="1:11" x14ac:dyDescent="0.35">
      <c r="A145">
        <v>3000000895</v>
      </c>
      <c r="B145">
        <v>9400011349</v>
      </c>
      <c r="C145" s="10">
        <v>46173</v>
      </c>
      <c r="D145" t="s">
        <v>2032</v>
      </c>
      <c r="E145" s="11">
        <v>18888040</v>
      </c>
      <c r="F145" t="s">
        <v>1125</v>
      </c>
      <c r="G145" t="s">
        <v>1126</v>
      </c>
      <c r="H145" s="10">
        <v>46218</v>
      </c>
      <c r="I145">
        <v>43652.45</v>
      </c>
      <c r="J145">
        <v>0</v>
      </c>
      <c r="K145">
        <v>43652.45</v>
      </c>
    </row>
    <row r="146" spans="1:11" x14ac:dyDescent="0.35">
      <c r="A146">
        <v>9100000994</v>
      </c>
      <c r="B146">
        <v>9400011348</v>
      </c>
      <c r="C146" s="10">
        <v>46173</v>
      </c>
      <c r="D146" t="s">
        <v>2032</v>
      </c>
      <c r="E146" s="11">
        <v>55952222</v>
      </c>
      <c r="F146" t="s">
        <v>793</v>
      </c>
      <c r="G146" t="s">
        <v>794</v>
      </c>
      <c r="H146" s="10">
        <v>46218</v>
      </c>
      <c r="I146">
        <v>18877.64</v>
      </c>
      <c r="J146">
        <v>0</v>
      </c>
      <c r="K146">
        <v>18877.64</v>
      </c>
    </row>
    <row r="147" spans="1:11" x14ac:dyDescent="0.35">
      <c r="A147">
        <v>9100000993</v>
      </c>
      <c r="B147">
        <v>9400011347</v>
      </c>
      <c r="C147" s="10">
        <v>46173</v>
      </c>
      <c r="D147" t="s">
        <v>2032</v>
      </c>
      <c r="E147" s="11">
        <v>8952215232</v>
      </c>
      <c r="F147" t="s">
        <v>200</v>
      </c>
      <c r="G147" t="s">
        <v>201</v>
      </c>
      <c r="H147" s="10">
        <v>46218</v>
      </c>
      <c r="I147">
        <v>116476.16</v>
      </c>
      <c r="J147">
        <v>0</v>
      </c>
      <c r="K147">
        <v>116476.16</v>
      </c>
    </row>
    <row r="148" spans="1:11" x14ac:dyDescent="0.35">
      <c r="A148">
        <v>5100000723</v>
      </c>
      <c r="B148">
        <v>9400011346</v>
      </c>
      <c r="C148" s="10">
        <v>46173</v>
      </c>
      <c r="D148" t="s">
        <v>2032</v>
      </c>
      <c r="E148" s="11">
        <v>18888050</v>
      </c>
      <c r="F148" t="s">
        <v>3531</v>
      </c>
      <c r="G148" t="s">
        <v>3532</v>
      </c>
      <c r="H148" s="10">
        <v>46218</v>
      </c>
      <c r="I148">
        <v>62519.6</v>
      </c>
      <c r="J148">
        <v>0</v>
      </c>
      <c r="K148">
        <v>62519.6</v>
      </c>
    </row>
    <row r="149" spans="1:11" x14ac:dyDescent="0.35">
      <c r="A149">
        <v>3000000894</v>
      </c>
      <c r="B149">
        <v>9400011345</v>
      </c>
      <c r="C149" s="10">
        <v>46173</v>
      </c>
      <c r="D149" t="s">
        <v>2032</v>
      </c>
      <c r="E149" s="11">
        <v>18888040</v>
      </c>
      <c r="F149" t="s">
        <v>1125</v>
      </c>
      <c r="G149" t="s">
        <v>1126</v>
      </c>
      <c r="H149" s="10">
        <v>46187</v>
      </c>
      <c r="I149">
        <v>98836.800000000003</v>
      </c>
      <c r="J149">
        <v>0</v>
      </c>
      <c r="K149">
        <v>98836.800000000003</v>
      </c>
    </row>
    <row r="150" spans="1:11" x14ac:dyDescent="0.35">
      <c r="A150">
        <v>9100000992</v>
      </c>
      <c r="B150">
        <v>9400011344</v>
      </c>
      <c r="C150" s="10">
        <v>46173</v>
      </c>
      <c r="D150" t="s">
        <v>2032</v>
      </c>
      <c r="E150" s="11">
        <v>256815262</v>
      </c>
      <c r="F150" t="s">
        <v>989</v>
      </c>
      <c r="G150" t="s">
        <v>990</v>
      </c>
      <c r="H150" s="10">
        <v>46187</v>
      </c>
      <c r="I150">
        <v>98780.160000000003</v>
      </c>
      <c r="J150">
        <v>0</v>
      </c>
      <c r="K150">
        <v>98780.160000000003</v>
      </c>
    </row>
    <row r="151" spans="1:11" x14ac:dyDescent="0.35">
      <c r="A151">
        <v>8000000622</v>
      </c>
      <c r="B151">
        <v>9400011343</v>
      </c>
      <c r="C151" s="10">
        <v>46173</v>
      </c>
      <c r="D151" t="s">
        <v>2032</v>
      </c>
      <c r="E151" s="11">
        <v>18877915</v>
      </c>
      <c r="F151" t="s">
        <v>269</v>
      </c>
      <c r="G151" t="s">
        <v>270</v>
      </c>
      <c r="H151" s="10">
        <v>46187</v>
      </c>
      <c r="I151">
        <v>13593.6</v>
      </c>
      <c r="J151">
        <v>0</v>
      </c>
      <c r="K151">
        <v>13593.6</v>
      </c>
    </row>
    <row r="152" spans="1:11" x14ac:dyDescent="0.35">
      <c r="A152">
        <v>9300000569</v>
      </c>
      <c r="B152">
        <v>9400011341</v>
      </c>
      <c r="C152" s="10">
        <v>46173</v>
      </c>
      <c r="D152" t="s">
        <v>2032</v>
      </c>
      <c r="E152" s="11">
        <v>18854379</v>
      </c>
      <c r="F152" t="s">
        <v>555</v>
      </c>
      <c r="G152" t="s">
        <v>556</v>
      </c>
      <c r="H152" s="10">
        <v>46218</v>
      </c>
      <c r="I152">
        <v>206559</v>
      </c>
      <c r="J152">
        <v>0</v>
      </c>
      <c r="K152">
        <v>206559</v>
      </c>
    </row>
    <row r="153" spans="1:11" x14ac:dyDescent="0.35">
      <c r="A153">
        <v>9200000705</v>
      </c>
      <c r="B153">
        <v>9400011340</v>
      </c>
      <c r="C153" s="10">
        <v>46173</v>
      </c>
      <c r="D153" t="s">
        <v>2032</v>
      </c>
      <c r="E153" s="11">
        <v>18821060</v>
      </c>
      <c r="F153" t="s">
        <v>949</v>
      </c>
      <c r="G153" t="s">
        <v>950</v>
      </c>
      <c r="H153" s="10">
        <v>46218</v>
      </c>
      <c r="I153">
        <v>162349.12</v>
      </c>
      <c r="J153">
        <v>0</v>
      </c>
      <c r="K153">
        <v>162349.12</v>
      </c>
    </row>
    <row r="154" spans="1:11" x14ac:dyDescent="0.35">
      <c r="A154">
        <v>8000000621</v>
      </c>
      <c r="B154">
        <v>9400011339</v>
      </c>
      <c r="C154" s="10">
        <v>46173</v>
      </c>
      <c r="D154" t="s">
        <v>2032</v>
      </c>
      <c r="E154" s="11">
        <v>18877924</v>
      </c>
      <c r="F154" t="s">
        <v>721</v>
      </c>
      <c r="G154" t="s">
        <v>722</v>
      </c>
      <c r="H154" s="10">
        <v>46187</v>
      </c>
      <c r="I154">
        <v>6796.8</v>
      </c>
      <c r="J154">
        <v>0</v>
      </c>
      <c r="K154">
        <v>6796.8</v>
      </c>
    </row>
    <row r="155" spans="1:11" x14ac:dyDescent="0.35">
      <c r="A155">
        <v>2300000491</v>
      </c>
      <c r="B155">
        <v>9400011337</v>
      </c>
      <c r="C155" s="10">
        <v>46173</v>
      </c>
      <c r="D155" t="s">
        <v>2032</v>
      </c>
      <c r="E155" s="11">
        <v>18876852</v>
      </c>
      <c r="F155" t="s">
        <v>3533</v>
      </c>
      <c r="G155" t="s">
        <v>3534</v>
      </c>
      <c r="H155" s="10">
        <v>46218</v>
      </c>
      <c r="I155">
        <v>81504.259999999995</v>
      </c>
      <c r="J155">
        <v>0</v>
      </c>
      <c r="K155">
        <v>81504.259999999995</v>
      </c>
    </row>
    <row r="156" spans="1:11" x14ac:dyDescent="0.35">
      <c r="A156">
        <v>8000000620</v>
      </c>
      <c r="B156">
        <v>9400011336</v>
      </c>
      <c r="C156" s="10">
        <v>46173</v>
      </c>
      <c r="D156" t="s">
        <v>2032</v>
      </c>
      <c r="E156" s="11">
        <v>18877923</v>
      </c>
      <c r="F156" t="s">
        <v>747</v>
      </c>
      <c r="G156" t="s">
        <v>748</v>
      </c>
      <c r="H156" s="10">
        <v>46187</v>
      </c>
      <c r="I156">
        <v>13593.6</v>
      </c>
      <c r="J156">
        <v>0</v>
      </c>
      <c r="K156">
        <v>13593.6</v>
      </c>
    </row>
    <row r="157" spans="1:11" x14ac:dyDescent="0.35">
      <c r="A157">
        <v>8000000619</v>
      </c>
      <c r="B157">
        <v>9400011334</v>
      </c>
      <c r="C157" s="10">
        <v>46173</v>
      </c>
      <c r="D157" t="s">
        <v>2032</v>
      </c>
      <c r="E157" s="11">
        <v>18877920</v>
      </c>
      <c r="F157" t="s">
        <v>689</v>
      </c>
      <c r="G157" t="s">
        <v>690</v>
      </c>
      <c r="H157" s="10">
        <v>46187</v>
      </c>
      <c r="I157">
        <v>13593.6</v>
      </c>
      <c r="J157">
        <v>0</v>
      </c>
      <c r="K157">
        <v>13593.6</v>
      </c>
    </row>
    <row r="158" spans="1:11" x14ac:dyDescent="0.35">
      <c r="A158">
        <v>9100000991</v>
      </c>
      <c r="B158">
        <v>9400011333</v>
      </c>
      <c r="C158" s="10">
        <v>46173</v>
      </c>
      <c r="D158" t="s">
        <v>2032</v>
      </c>
      <c r="E158" s="11">
        <v>123</v>
      </c>
      <c r="F158" t="s">
        <v>869</v>
      </c>
      <c r="G158" t="s">
        <v>870</v>
      </c>
      <c r="H158" s="10">
        <v>46218</v>
      </c>
      <c r="I158">
        <v>5415.96</v>
      </c>
      <c r="J158">
        <v>0</v>
      </c>
      <c r="K158">
        <v>5415.96</v>
      </c>
    </row>
    <row r="159" spans="1:11" x14ac:dyDescent="0.35">
      <c r="A159">
        <v>2710000807</v>
      </c>
      <c r="B159">
        <v>9400011332</v>
      </c>
      <c r="C159" s="10">
        <v>46173</v>
      </c>
      <c r="D159" t="s">
        <v>2032</v>
      </c>
      <c r="E159" s="11">
        <v>18877919</v>
      </c>
      <c r="F159" t="s">
        <v>753</v>
      </c>
      <c r="G159" t="s">
        <v>754</v>
      </c>
      <c r="H159" s="10">
        <v>46218</v>
      </c>
      <c r="I159">
        <v>95678.06</v>
      </c>
      <c r="J159">
        <v>0</v>
      </c>
      <c r="K159">
        <v>95678.06</v>
      </c>
    </row>
    <row r="160" spans="1:11" x14ac:dyDescent="0.35">
      <c r="A160">
        <v>2710000806</v>
      </c>
      <c r="B160">
        <v>9400011331</v>
      </c>
      <c r="C160" s="10">
        <v>46173</v>
      </c>
      <c r="D160" t="s">
        <v>2032</v>
      </c>
      <c r="E160" s="11">
        <v>18877919</v>
      </c>
      <c r="F160" t="s">
        <v>753</v>
      </c>
      <c r="G160" t="s">
        <v>754</v>
      </c>
      <c r="H160" s="10">
        <v>46187</v>
      </c>
      <c r="I160">
        <v>44264.160000000003</v>
      </c>
      <c r="J160">
        <v>0</v>
      </c>
      <c r="K160">
        <v>44264.160000000003</v>
      </c>
    </row>
    <row r="161" spans="1:11" x14ac:dyDescent="0.35">
      <c r="A161">
        <v>5100000721</v>
      </c>
      <c r="B161">
        <v>9400011330</v>
      </c>
      <c r="C161" s="10">
        <v>46173</v>
      </c>
      <c r="D161" t="s">
        <v>2032</v>
      </c>
      <c r="E161" s="11">
        <v>18887996</v>
      </c>
      <c r="F161" t="s">
        <v>3531</v>
      </c>
      <c r="G161" t="s">
        <v>3532</v>
      </c>
      <c r="H161" s="10">
        <v>46218</v>
      </c>
      <c r="I161">
        <v>88447.34</v>
      </c>
      <c r="J161">
        <v>0</v>
      </c>
      <c r="K161">
        <v>88447.34</v>
      </c>
    </row>
    <row r="162" spans="1:11" x14ac:dyDescent="0.35">
      <c r="A162">
        <v>2710000805</v>
      </c>
      <c r="B162">
        <v>9400011328</v>
      </c>
      <c r="C162" s="10">
        <v>46173</v>
      </c>
      <c r="D162" t="s">
        <v>2032</v>
      </c>
      <c r="E162" s="11">
        <v>18877869</v>
      </c>
      <c r="F162" t="s">
        <v>773</v>
      </c>
      <c r="G162" t="s">
        <v>774</v>
      </c>
      <c r="H162" s="10">
        <v>46218</v>
      </c>
      <c r="I162">
        <v>18831.62</v>
      </c>
      <c r="J162">
        <v>0</v>
      </c>
      <c r="K162">
        <v>18831.62</v>
      </c>
    </row>
    <row r="163" spans="1:11" x14ac:dyDescent="0.35">
      <c r="A163">
        <v>8000000618</v>
      </c>
      <c r="B163">
        <v>9400011327</v>
      </c>
      <c r="C163" s="10">
        <v>46173</v>
      </c>
      <c r="D163" t="s">
        <v>2032</v>
      </c>
      <c r="E163" s="11">
        <v>18877912</v>
      </c>
      <c r="F163" t="s">
        <v>691</v>
      </c>
      <c r="G163" t="s">
        <v>692</v>
      </c>
      <c r="H163" s="10">
        <v>46187</v>
      </c>
      <c r="I163">
        <v>6796.8</v>
      </c>
      <c r="J163">
        <v>0</v>
      </c>
      <c r="K163">
        <v>6796.8</v>
      </c>
    </row>
    <row r="164" spans="1:11" x14ac:dyDescent="0.35">
      <c r="A164">
        <v>2710000804</v>
      </c>
      <c r="B164">
        <v>9400011326</v>
      </c>
      <c r="C164" s="10">
        <v>46173</v>
      </c>
      <c r="D164" t="s">
        <v>2032</v>
      </c>
      <c r="E164" s="11">
        <v>18877842</v>
      </c>
      <c r="F164" t="s">
        <v>757</v>
      </c>
      <c r="G164" t="s">
        <v>758</v>
      </c>
      <c r="H164" s="10">
        <v>46187</v>
      </c>
      <c r="I164">
        <v>65560.800000000003</v>
      </c>
      <c r="J164">
        <v>0</v>
      </c>
      <c r="K164">
        <v>65560.800000000003</v>
      </c>
    </row>
    <row r="165" spans="1:11" x14ac:dyDescent="0.35">
      <c r="A165">
        <v>2710000803</v>
      </c>
      <c r="B165">
        <v>9400011325</v>
      </c>
      <c r="C165" s="10">
        <v>46173</v>
      </c>
      <c r="D165" t="s">
        <v>2032</v>
      </c>
      <c r="E165" s="11">
        <v>18877829</v>
      </c>
      <c r="F165" t="s">
        <v>427</v>
      </c>
      <c r="G165" t="s">
        <v>428</v>
      </c>
      <c r="H165" s="10">
        <v>46218</v>
      </c>
      <c r="I165">
        <v>167753.19</v>
      </c>
      <c r="J165">
        <v>0</v>
      </c>
      <c r="K165">
        <v>167753.19</v>
      </c>
    </row>
    <row r="166" spans="1:11" x14ac:dyDescent="0.35">
      <c r="A166">
        <v>2710000802</v>
      </c>
      <c r="B166">
        <v>9400011323</v>
      </c>
      <c r="C166" s="10">
        <v>46173</v>
      </c>
      <c r="D166" t="s">
        <v>2032</v>
      </c>
      <c r="E166" s="11">
        <v>18877816</v>
      </c>
      <c r="F166" t="s">
        <v>685</v>
      </c>
      <c r="G166" t="s">
        <v>686</v>
      </c>
      <c r="H166" s="10">
        <v>46187</v>
      </c>
      <c r="I166">
        <v>135936</v>
      </c>
      <c r="J166">
        <v>0</v>
      </c>
      <c r="K166">
        <v>135936</v>
      </c>
    </row>
    <row r="167" spans="1:11" x14ac:dyDescent="0.35">
      <c r="A167">
        <v>2710000801</v>
      </c>
      <c r="B167">
        <v>9400011321</v>
      </c>
      <c r="C167" s="10">
        <v>46173</v>
      </c>
      <c r="D167" t="s">
        <v>2032</v>
      </c>
      <c r="E167" s="11">
        <v>18877809</v>
      </c>
      <c r="F167" t="s">
        <v>521</v>
      </c>
      <c r="G167" t="s">
        <v>522</v>
      </c>
      <c r="H167" s="10">
        <v>46218</v>
      </c>
      <c r="I167">
        <v>89470.93</v>
      </c>
      <c r="J167">
        <v>0</v>
      </c>
      <c r="K167">
        <v>89470.93</v>
      </c>
    </row>
    <row r="168" spans="1:11" x14ac:dyDescent="0.35">
      <c r="A168">
        <v>2710000800</v>
      </c>
      <c r="B168">
        <v>9400011320</v>
      </c>
      <c r="C168" s="10">
        <v>46173</v>
      </c>
      <c r="D168" t="s">
        <v>2032</v>
      </c>
      <c r="E168" s="11">
        <v>18877794</v>
      </c>
      <c r="F168" t="s">
        <v>150</v>
      </c>
      <c r="G168" t="s">
        <v>151</v>
      </c>
      <c r="H168" s="10">
        <v>46187</v>
      </c>
      <c r="I168">
        <v>65560.800000000003</v>
      </c>
      <c r="J168">
        <v>0</v>
      </c>
      <c r="K168">
        <v>65560.800000000003</v>
      </c>
    </row>
    <row r="169" spans="1:11" x14ac:dyDescent="0.35">
      <c r="A169">
        <v>2710000799</v>
      </c>
      <c r="B169">
        <v>9400011319</v>
      </c>
      <c r="C169" s="10">
        <v>46173</v>
      </c>
      <c r="D169" t="s">
        <v>2032</v>
      </c>
      <c r="E169" s="11">
        <v>18877790</v>
      </c>
      <c r="F169" t="s">
        <v>64</v>
      </c>
      <c r="G169" t="s">
        <v>65</v>
      </c>
      <c r="H169" s="10">
        <v>46218</v>
      </c>
      <c r="I169">
        <v>85466.22</v>
      </c>
      <c r="J169">
        <v>0</v>
      </c>
      <c r="K169">
        <v>85466.22</v>
      </c>
    </row>
    <row r="170" spans="1:11" x14ac:dyDescent="0.35">
      <c r="A170">
        <v>8000000617</v>
      </c>
      <c r="B170">
        <v>9400011318</v>
      </c>
      <c r="C170" s="10">
        <v>46173</v>
      </c>
      <c r="D170" t="s">
        <v>2032</v>
      </c>
      <c r="E170" s="11">
        <v>18877913</v>
      </c>
      <c r="F170" t="s">
        <v>42</v>
      </c>
      <c r="G170" t="s">
        <v>43</v>
      </c>
      <c r="H170" s="10">
        <v>46187</v>
      </c>
      <c r="I170">
        <v>13593.6</v>
      </c>
      <c r="J170">
        <v>0</v>
      </c>
      <c r="K170">
        <v>13593.6</v>
      </c>
    </row>
    <row r="171" spans="1:11" x14ac:dyDescent="0.35">
      <c r="A171">
        <v>5100000720</v>
      </c>
      <c r="B171">
        <v>9400011316</v>
      </c>
      <c r="C171" s="10">
        <v>46173</v>
      </c>
      <c r="D171" t="s">
        <v>2032</v>
      </c>
      <c r="E171" s="11">
        <v>18887989</v>
      </c>
      <c r="F171" t="s">
        <v>379</v>
      </c>
      <c r="G171" t="s">
        <v>380</v>
      </c>
      <c r="H171" s="10">
        <v>46187</v>
      </c>
      <c r="I171">
        <v>67968</v>
      </c>
      <c r="J171">
        <v>0</v>
      </c>
      <c r="K171">
        <v>67968</v>
      </c>
    </row>
    <row r="172" spans="1:11" x14ac:dyDescent="0.35">
      <c r="A172">
        <v>9200000704</v>
      </c>
      <c r="B172">
        <v>9400011313</v>
      </c>
      <c r="C172" s="10">
        <v>46173</v>
      </c>
      <c r="D172" t="s">
        <v>2032</v>
      </c>
      <c r="E172" s="11">
        <v>18855331</v>
      </c>
      <c r="F172" t="s">
        <v>286</v>
      </c>
      <c r="G172" t="s">
        <v>287</v>
      </c>
      <c r="H172" s="10">
        <v>46218</v>
      </c>
      <c r="I172">
        <v>114782.14</v>
      </c>
      <c r="J172">
        <v>0</v>
      </c>
      <c r="K172">
        <v>114782.14</v>
      </c>
    </row>
    <row r="173" spans="1:11" x14ac:dyDescent="0.35">
      <c r="A173">
        <v>9100000989</v>
      </c>
      <c r="B173">
        <v>9400011308</v>
      </c>
      <c r="C173" s="10">
        <v>46173</v>
      </c>
      <c r="D173" t="s">
        <v>2032</v>
      </c>
      <c r="E173" s="11">
        <v>123</v>
      </c>
      <c r="F173" t="s">
        <v>247</v>
      </c>
      <c r="G173" t="s">
        <v>248</v>
      </c>
      <c r="H173" s="10">
        <v>46218</v>
      </c>
      <c r="I173">
        <v>13339.2</v>
      </c>
      <c r="J173">
        <v>0</v>
      </c>
      <c r="K173">
        <v>13339.2</v>
      </c>
    </row>
    <row r="174" spans="1:11" x14ac:dyDescent="0.35">
      <c r="A174">
        <v>9200000703</v>
      </c>
      <c r="B174">
        <v>9400011306</v>
      </c>
      <c r="C174" s="10">
        <v>46173</v>
      </c>
      <c r="D174" t="s">
        <v>2032</v>
      </c>
      <c r="E174" s="11">
        <v>18877230</v>
      </c>
      <c r="F174" t="s">
        <v>967</v>
      </c>
      <c r="G174" t="s">
        <v>968</v>
      </c>
      <c r="H174" s="10">
        <v>46218</v>
      </c>
      <c r="I174">
        <v>69856</v>
      </c>
      <c r="J174">
        <v>0</v>
      </c>
      <c r="K174">
        <v>69856</v>
      </c>
    </row>
    <row r="175" spans="1:11" x14ac:dyDescent="0.35">
      <c r="A175">
        <v>3000000893</v>
      </c>
      <c r="B175">
        <v>9400011305</v>
      </c>
      <c r="C175" s="10">
        <v>46173</v>
      </c>
      <c r="D175" t="s">
        <v>2032</v>
      </c>
      <c r="E175" s="11">
        <v>18877045</v>
      </c>
      <c r="F175" t="s">
        <v>947</v>
      </c>
      <c r="G175" t="s">
        <v>948</v>
      </c>
      <c r="H175" s="10">
        <v>46218</v>
      </c>
      <c r="I175">
        <v>17292.900000000001</v>
      </c>
      <c r="J175">
        <v>0</v>
      </c>
      <c r="K175">
        <v>17292.900000000001</v>
      </c>
    </row>
    <row r="176" spans="1:11" x14ac:dyDescent="0.35">
      <c r="A176">
        <v>5100000717</v>
      </c>
      <c r="B176">
        <v>9400011304</v>
      </c>
      <c r="C176" s="10">
        <v>46173</v>
      </c>
      <c r="D176" t="s">
        <v>2032</v>
      </c>
      <c r="E176" s="11">
        <v>18877190</v>
      </c>
      <c r="F176" t="s">
        <v>296</v>
      </c>
      <c r="G176" t="s">
        <v>297</v>
      </c>
      <c r="H176" s="10">
        <v>46218</v>
      </c>
      <c r="I176">
        <v>207821.6</v>
      </c>
      <c r="J176">
        <v>0</v>
      </c>
      <c r="K176">
        <v>207821.6</v>
      </c>
    </row>
    <row r="177" spans="1:11" x14ac:dyDescent="0.35">
      <c r="A177">
        <v>9200000702</v>
      </c>
      <c r="B177">
        <v>9400011302</v>
      </c>
      <c r="C177" s="10">
        <v>46173</v>
      </c>
      <c r="D177" t="s">
        <v>2032</v>
      </c>
      <c r="E177" s="11">
        <v>18877088</v>
      </c>
      <c r="F177" t="s">
        <v>977</v>
      </c>
      <c r="G177" t="s">
        <v>978</v>
      </c>
      <c r="H177" s="10">
        <v>46218</v>
      </c>
      <c r="I177">
        <v>45917.24</v>
      </c>
      <c r="J177">
        <v>0</v>
      </c>
      <c r="K177">
        <v>45917.24</v>
      </c>
    </row>
    <row r="178" spans="1:11" x14ac:dyDescent="0.35">
      <c r="A178">
        <v>5100000716</v>
      </c>
      <c r="B178">
        <v>9400011300</v>
      </c>
      <c r="C178" s="10">
        <v>46173</v>
      </c>
      <c r="D178" t="s">
        <v>2032</v>
      </c>
      <c r="E178" s="11">
        <v>18799285</v>
      </c>
      <c r="F178" t="s">
        <v>485</v>
      </c>
      <c r="G178" t="s">
        <v>486</v>
      </c>
      <c r="H178" s="10">
        <v>46218</v>
      </c>
      <c r="I178">
        <v>33370.400000000001</v>
      </c>
      <c r="J178">
        <v>0</v>
      </c>
      <c r="K178">
        <v>33370.400000000001</v>
      </c>
    </row>
    <row r="179" spans="1:11" x14ac:dyDescent="0.35">
      <c r="A179">
        <v>9300000566</v>
      </c>
      <c r="B179">
        <v>9400011299</v>
      </c>
      <c r="C179" s="10">
        <v>46173</v>
      </c>
      <c r="D179" t="s">
        <v>2032</v>
      </c>
      <c r="E179" s="11">
        <v>18877791</v>
      </c>
      <c r="F179" t="s">
        <v>367</v>
      </c>
      <c r="G179" t="s">
        <v>368</v>
      </c>
      <c r="H179" s="10">
        <v>46218</v>
      </c>
      <c r="I179">
        <v>24212.32</v>
      </c>
      <c r="J179">
        <v>0</v>
      </c>
      <c r="K179">
        <v>24212.32</v>
      </c>
    </row>
    <row r="180" spans="1:11" x14ac:dyDescent="0.35">
      <c r="A180">
        <v>3000000891</v>
      </c>
      <c r="B180">
        <v>9400011298</v>
      </c>
      <c r="C180" s="10">
        <v>46173</v>
      </c>
      <c r="D180" t="s">
        <v>2032</v>
      </c>
      <c r="E180" s="11">
        <v>18877232</v>
      </c>
      <c r="F180" t="s">
        <v>1205</v>
      </c>
      <c r="G180" t="s">
        <v>1206</v>
      </c>
      <c r="H180" s="10">
        <v>46218</v>
      </c>
      <c r="I180">
        <v>48420.12</v>
      </c>
      <c r="J180">
        <v>0</v>
      </c>
      <c r="K180">
        <v>48420.12</v>
      </c>
    </row>
    <row r="181" spans="1:11" x14ac:dyDescent="0.35">
      <c r="A181">
        <v>5100000715</v>
      </c>
      <c r="B181">
        <v>9400011296</v>
      </c>
      <c r="C181" s="10">
        <v>46173</v>
      </c>
      <c r="D181" t="s">
        <v>2032</v>
      </c>
      <c r="E181" s="11">
        <v>18853467</v>
      </c>
      <c r="F181" t="s">
        <v>213</v>
      </c>
      <c r="G181" t="s">
        <v>214</v>
      </c>
      <c r="H181" s="10">
        <v>46218</v>
      </c>
      <c r="I181">
        <v>172929</v>
      </c>
      <c r="J181">
        <v>0</v>
      </c>
      <c r="K181">
        <v>172929</v>
      </c>
    </row>
    <row r="182" spans="1:11" x14ac:dyDescent="0.35">
      <c r="A182">
        <v>5100000714</v>
      </c>
      <c r="B182">
        <v>9400011295</v>
      </c>
      <c r="C182" s="10">
        <v>46173</v>
      </c>
      <c r="D182" t="s">
        <v>2032</v>
      </c>
      <c r="E182" s="11">
        <v>18855428</v>
      </c>
      <c r="F182" t="s">
        <v>911</v>
      </c>
      <c r="G182" t="s">
        <v>912</v>
      </c>
      <c r="H182" s="10">
        <v>46218</v>
      </c>
      <c r="I182">
        <v>30092.84</v>
      </c>
      <c r="J182">
        <v>0</v>
      </c>
      <c r="K182">
        <v>30092.84</v>
      </c>
    </row>
    <row r="183" spans="1:11" x14ac:dyDescent="0.35">
      <c r="A183">
        <v>8000000615</v>
      </c>
      <c r="B183">
        <v>9400011292</v>
      </c>
      <c r="C183" s="10">
        <v>46173</v>
      </c>
      <c r="D183" t="s">
        <v>2032</v>
      </c>
      <c r="E183" s="11">
        <v>18855360</v>
      </c>
      <c r="F183" t="s">
        <v>3535</v>
      </c>
      <c r="G183" t="s">
        <v>3536</v>
      </c>
      <c r="H183" s="10">
        <v>46218</v>
      </c>
      <c r="I183">
        <v>19722.61</v>
      </c>
      <c r="J183">
        <v>0</v>
      </c>
      <c r="K183">
        <v>19722.61</v>
      </c>
    </row>
    <row r="184" spans="1:11" x14ac:dyDescent="0.35">
      <c r="A184">
        <v>5200000348</v>
      </c>
      <c r="B184">
        <v>9400011291</v>
      </c>
      <c r="C184" s="10">
        <v>46173</v>
      </c>
      <c r="D184" t="s">
        <v>2032</v>
      </c>
      <c r="E184" s="11">
        <v>5230000019</v>
      </c>
      <c r="F184" t="s">
        <v>769</v>
      </c>
      <c r="G184" t="s">
        <v>770</v>
      </c>
      <c r="H184" s="10">
        <v>46173</v>
      </c>
      <c r="I184">
        <v>6118.99</v>
      </c>
      <c r="J184">
        <v>6058.03</v>
      </c>
      <c r="K184">
        <v>60.960000000000036</v>
      </c>
    </row>
    <row r="185" spans="1:11" x14ac:dyDescent="0.35">
      <c r="A185">
        <v>8000000614</v>
      </c>
      <c r="B185">
        <v>9400011289</v>
      </c>
      <c r="C185" s="10">
        <v>46173</v>
      </c>
      <c r="D185" t="s">
        <v>2032</v>
      </c>
      <c r="E185" s="11">
        <v>18853501</v>
      </c>
      <c r="F185" t="s">
        <v>257</v>
      </c>
      <c r="G185" t="s">
        <v>258</v>
      </c>
      <c r="H185" s="10">
        <v>46187</v>
      </c>
      <c r="I185">
        <v>32737.919999999998</v>
      </c>
      <c r="J185">
        <v>0</v>
      </c>
      <c r="K185">
        <v>32737.919999999998</v>
      </c>
    </row>
    <row r="186" spans="1:11" x14ac:dyDescent="0.35">
      <c r="A186">
        <v>9200000701</v>
      </c>
      <c r="B186">
        <v>9400011286</v>
      </c>
      <c r="C186" s="10">
        <v>46173</v>
      </c>
      <c r="D186" t="s">
        <v>2032</v>
      </c>
      <c r="E186" s="11">
        <v>18876809</v>
      </c>
      <c r="F186" t="s">
        <v>569</v>
      </c>
      <c r="G186" t="s">
        <v>570</v>
      </c>
      <c r="H186" s="10">
        <v>46218</v>
      </c>
      <c r="I186">
        <v>52296.42</v>
      </c>
      <c r="J186">
        <v>0</v>
      </c>
      <c r="K186">
        <v>52296.42</v>
      </c>
    </row>
    <row r="187" spans="1:11" x14ac:dyDescent="0.35">
      <c r="A187">
        <v>9100000988</v>
      </c>
      <c r="B187">
        <v>9400011285</v>
      </c>
      <c r="C187" s="10">
        <v>46173</v>
      </c>
      <c r="D187" t="s">
        <v>2032</v>
      </c>
      <c r="E187" s="11">
        <v>125665215</v>
      </c>
      <c r="F187" t="s">
        <v>1265</v>
      </c>
      <c r="G187" t="s">
        <v>1266</v>
      </c>
      <c r="H187" s="10">
        <v>46218</v>
      </c>
      <c r="I187">
        <v>20293.64</v>
      </c>
      <c r="J187">
        <v>0</v>
      </c>
      <c r="K187">
        <v>20293.64</v>
      </c>
    </row>
    <row r="188" spans="1:11" x14ac:dyDescent="0.35">
      <c r="A188">
        <v>9200000700</v>
      </c>
      <c r="B188">
        <v>9400011284</v>
      </c>
      <c r="C188" s="10">
        <v>46173</v>
      </c>
      <c r="D188" t="s">
        <v>2032</v>
      </c>
      <c r="E188" s="11">
        <v>18822661</v>
      </c>
      <c r="F188" t="s">
        <v>381</v>
      </c>
      <c r="G188" t="s">
        <v>382</v>
      </c>
      <c r="H188" s="10">
        <v>46218</v>
      </c>
      <c r="I188">
        <v>21494.880000000001</v>
      </c>
      <c r="J188">
        <v>0</v>
      </c>
      <c r="K188">
        <v>21494.880000000001</v>
      </c>
    </row>
    <row r="189" spans="1:11" x14ac:dyDescent="0.35">
      <c r="A189">
        <v>5100000711</v>
      </c>
      <c r="B189">
        <v>9400011283</v>
      </c>
      <c r="C189" s="10">
        <v>46173</v>
      </c>
      <c r="D189" t="s">
        <v>2032</v>
      </c>
      <c r="E189" s="11">
        <v>18877951</v>
      </c>
      <c r="F189" t="s">
        <v>306</v>
      </c>
      <c r="G189" t="s">
        <v>307</v>
      </c>
      <c r="H189" s="10">
        <v>46187</v>
      </c>
      <c r="I189">
        <v>33984</v>
      </c>
      <c r="J189">
        <v>0</v>
      </c>
      <c r="K189">
        <v>33984</v>
      </c>
    </row>
    <row r="190" spans="1:11" x14ac:dyDescent="0.35">
      <c r="A190">
        <v>3000000889</v>
      </c>
      <c r="B190">
        <v>9400011277</v>
      </c>
      <c r="C190" s="10">
        <v>46173</v>
      </c>
      <c r="D190" t="s">
        <v>2032</v>
      </c>
      <c r="E190" s="11">
        <v>18877942</v>
      </c>
      <c r="F190" t="s">
        <v>1133</v>
      </c>
      <c r="G190" t="s">
        <v>1134</v>
      </c>
      <c r="H190" s="10">
        <v>46218</v>
      </c>
      <c r="I190">
        <v>24732.94</v>
      </c>
      <c r="J190">
        <v>0</v>
      </c>
      <c r="K190">
        <v>24732.94</v>
      </c>
    </row>
    <row r="191" spans="1:11" x14ac:dyDescent="0.35">
      <c r="A191">
        <v>9100000987</v>
      </c>
      <c r="B191">
        <v>9400011276</v>
      </c>
      <c r="C191" s="10">
        <v>46173</v>
      </c>
      <c r="D191" t="s">
        <v>2032</v>
      </c>
      <c r="E191" s="11">
        <v>123</v>
      </c>
      <c r="F191" t="s">
        <v>665</v>
      </c>
      <c r="G191" t="s">
        <v>666</v>
      </c>
      <c r="H191" s="10">
        <v>46218</v>
      </c>
      <c r="I191">
        <v>31095.82</v>
      </c>
      <c r="J191">
        <v>0</v>
      </c>
      <c r="K191">
        <v>31095.82</v>
      </c>
    </row>
    <row r="192" spans="1:11" x14ac:dyDescent="0.35">
      <c r="A192">
        <v>9300000565</v>
      </c>
      <c r="B192">
        <v>9400011275</v>
      </c>
      <c r="C192" s="10">
        <v>46173</v>
      </c>
      <c r="D192" t="s">
        <v>2032</v>
      </c>
      <c r="E192" s="11">
        <v>18877767</v>
      </c>
      <c r="F192" t="s">
        <v>975</v>
      </c>
      <c r="G192" t="s">
        <v>976</v>
      </c>
      <c r="H192" s="10">
        <v>46218</v>
      </c>
      <c r="I192">
        <v>20560.32</v>
      </c>
      <c r="J192">
        <v>0</v>
      </c>
      <c r="K192">
        <v>20560.32</v>
      </c>
    </row>
    <row r="193" spans="1:11" x14ac:dyDescent="0.35">
      <c r="A193">
        <v>9200000699</v>
      </c>
      <c r="B193">
        <v>9400011274</v>
      </c>
      <c r="C193" s="10">
        <v>46173</v>
      </c>
      <c r="D193" t="s">
        <v>2032</v>
      </c>
      <c r="E193" s="11">
        <v>18854492</v>
      </c>
      <c r="F193" t="s">
        <v>541</v>
      </c>
      <c r="G193" t="s">
        <v>542</v>
      </c>
      <c r="H193" s="10">
        <v>46218</v>
      </c>
      <c r="I193">
        <v>113757.34</v>
      </c>
      <c r="J193">
        <v>0</v>
      </c>
      <c r="K193">
        <v>113757.34</v>
      </c>
    </row>
    <row r="194" spans="1:11" x14ac:dyDescent="0.35">
      <c r="A194">
        <v>5100000708</v>
      </c>
      <c r="B194">
        <v>9400011271</v>
      </c>
      <c r="C194" s="10">
        <v>46173</v>
      </c>
      <c r="D194" t="s">
        <v>2032</v>
      </c>
      <c r="E194" s="11">
        <v>18877941</v>
      </c>
      <c r="F194" t="s">
        <v>451</v>
      </c>
      <c r="G194" t="s">
        <v>452</v>
      </c>
      <c r="H194" s="10">
        <v>46187</v>
      </c>
      <c r="I194">
        <v>33984</v>
      </c>
      <c r="J194">
        <v>0</v>
      </c>
      <c r="K194">
        <v>33984</v>
      </c>
    </row>
    <row r="195" spans="1:11" x14ac:dyDescent="0.35">
      <c r="A195">
        <v>3000000888</v>
      </c>
      <c r="B195">
        <v>9400011270</v>
      </c>
      <c r="C195" s="10">
        <v>46173</v>
      </c>
      <c r="D195" t="s">
        <v>2032</v>
      </c>
      <c r="E195" s="11">
        <v>18877939</v>
      </c>
      <c r="F195" t="s">
        <v>1139</v>
      </c>
      <c r="G195" t="s">
        <v>1140</v>
      </c>
      <c r="H195" s="10">
        <v>46218</v>
      </c>
      <c r="I195">
        <v>31473.040000000001</v>
      </c>
      <c r="J195">
        <v>0</v>
      </c>
      <c r="K195">
        <v>31473.040000000001</v>
      </c>
    </row>
    <row r="196" spans="1:11" x14ac:dyDescent="0.35">
      <c r="A196">
        <v>9100000986</v>
      </c>
      <c r="B196">
        <v>9400011269</v>
      </c>
      <c r="C196" s="10">
        <v>46173</v>
      </c>
      <c r="D196" t="s">
        <v>2032</v>
      </c>
      <c r="E196" s="11">
        <v>256648213</v>
      </c>
      <c r="F196" t="s">
        <v>825</v>
      </c>
      <c r="G196" t="s">
        <v>826</v>
      </c>
      <c r="H196" s="10">
        <v>46218</v>
      </c>
      <c r="I196">
        <v>83244.28</v>
      </c>
      <c r="J196">
        <v>0</v>
      </c>
      <c r="K196">
        <v>83244.28</v>
      </c>
    </row>
    <row r="197" spans="1:11" x14ac:dyDescent="0.35">
      <c r="A197">
        <v>9300000564</v>
      </c>
      <c r="B197">
        <v>9400011265</v>
      </c>
      <c r="C197" s="10">
        <v>46173</v>
      </c>
      <c r="D197" t="s">
        <v>2032</v>
      </c>
      <c r="E197" s="11">
        <v>18854492</v>
      </c>
      <c r="F197" t="s">
        <v>541</v>
      </c>
      <c r="G197" t="s">
        <v>542</v>
      </c>
      <c r="H197" s="10">
        <v>46187</v>
      </c>
      <c r="I197">
        <v>193792.28</v>
      </c>
      <c r="J197">
        <v>0</v>
      </c>
      <c r="K197">
        <v>193792.28</v>
      </c>
    </row>
    <row r="198" spans="1:11" x14ac:dyDescent="0.35">
      <c r="A198">
        <v>9100000985</v>
      </c>
      <c r="B198">
        <v>9400011264</v>
      </c>
      <c r="C198" s="10">
        <v>46173</v>
      </c>
      <c r="D198" t="s">
        <v>2032</v>
      </c>
      <c r="E198" s="11">
        <v>265215252</v>
      </c>
      <c r="F198" t="s">
        <v>345</v>
      </c>
      <c r="G198" t="s">
        <v>346</v>
      </c>
      <c r="H198" s="10">
        <v>46218</v>
      </c>
      <c r="I198">
        <v>75113.61</v>
      </c>
      <c r="J198">
        <v>0</v>
      </c>
      <c r="K198">
        <v>75113.61</v>
      </c>
    </row>
    <row r="199" spans="1:11" x14ac:dyDescent="0.35">
      <c r="A199">
        <v>9100000983</v>
      </c>
      <c r="B199">
        <v>9400011256</v>
      </c>
      <c r="C199" s="10">
        <v>46173</v>
      </c>
      <c r="D199" t="s">
        <v>2032</v>
      </c>
      <c r="E199" s="11">
        <v>12564522</v>
      </c>
      <c r="F199" t="s">
        <v>495</v>
      </c>
      <c r="G199" t="s">
        <v>496</v>
      </c>
      <c r="H199" s="10">
        <v>46218</v>
      </c>
      <c r="I199">
        <v>69472.03</v>
      </c>
      <c r="J199">
        <v>0</v>
      </c>
      <c r="K199">
        <v>69472.03</v>
      </c>
    </row>
    <row r="200" spans="1:11" x14ac:dyDescent="0.35">
      <c r="A200">
        <v>2730000532</v>
      </c>
      <c r="B200">
        <v>9400011254</v>
      </c>
      <c r="C200" s="10">
        <v>46173</v>
      </c>
      <c r="D200" t="s">
        <v>2032</v>
      </c>
      <c r="E200" s="11">
        <v>18644942</v>
      </c>
      <c r="F200" t="s">
        <v>483</v>
      </c>
      <c r="G200" t="s">
        <v>484</v>
      </c>
      <c r="H200" s="10">
        <v>46218</v>
      </c>
      <c r="I200">
        <v>13971.8</v>
      </c>
      <c r="J200">
        <v>0</v>
      </c>
      <c r="K200">
        <v>13971.8</v>
      </c>
    </row>
    <row r="201" spans="1:11" x14ac:dyDescent="0.35">
      <c r="A201">
        <v>9100000982</v>
      </c>
      <c r="B201">
        <v>9400011252</v>
      </c>
      <c r="C201" s="10">
        <v>46173</v>
      </c>
      <c r="D201" t="s">
        <v>2032</v>
      </c>
      <c r="E201" s="11">
        <v>0</v>
      </c>
      <c r="F201" t="s">
        <v>501</v>
      </c>
      <c r="G201" t="s">
        <v>502</v>
      </c>
      <c r="H201" s="10">
        <v>46218</v>
      </c>
      <c r="I201">
        <v>119931.07</v>
      </c>
      <c r="J201">
        <v>0</v>
      </c>
      <c r="K201">
        <v>119931.07</v>
      </c>
    </row>
    <row r="202" spans="1:11" x14ac:dyDescent="0.35">
      <c r="A202">
        <v>9100000981</v>
      </c>
      <c r="B202">
        <v>9400011251</v>
      </c>
      <c r="C202" s="10">
        <v>46173</v>
      </c>
      <c r="D202" t="s">
        <v>2032</v>
      </c>
      <c r="E202" s="11">
        <v>123</v>
      </c>
      <c r="F202" t="s">
        <v>869</v>
      </c>
      <c r="G202" t="s">
        <v>870</v>
      </c>
      <c r="H202" s="10">
        <v>46218</v>
      </c>
      <c r="I202">
        <v>3947.58</v>
      </c>
      <c r="J202">
        <v>0</v>
      </c>
      <c r="K202">
        <v>3947.58</v>
      </c>
    </row>
    <row r="203" spans="1:11" x14ac:dyDescent="0.35">
      <c r="A203">
        <v>3000000887</v>
      </c>
      <c r="B203">
        <v>9400011249</v>
      </c>
      <c r="C203" s="10">
        <v>46173</v>
      </c>
      <c r="D203" t="s">
        <v>2032</v>
      </c>
      <c r="E203" s="11">
        <v>18877331</v>
      </c>
      <c r="F203" t="s">
        <v>1121</v>
      </c>
      <c r="G203" t="s">
        <v>1122</v>
      </c>
      <c r="H203" s="10">
        <v>46187</v>
      </c>
      <c r="I203">
        <v>186912</v>
      </c>
      <c r="J203">
        <v>0</v>
      </c>
      <c r="K203">
        <v>186912</v>
      </c>
    </row>
    <row r="204" spans="1:11" x14ac:dyDescent="0.35">
      <c r="A204">
        <v>9200000698</v>
      </c>
      <c r="B204">
        <v>9400011247</v>
      </c>
      <c r="C204" s="10">
        <v>46173</v>
      </c>
      <c r="D204" t="s">
        <v>2032</v>
      </c>
      <c r="E204" s="11">
        <v>18854505</v>
      </c>
      <c r="F204" t="s">
        <v>541</v>
      </c>
      <c r="G204" t="s">
        <v>542</v>
      </c>
      <c r="H204" s="10">
        <v>46187</v>
      </c>
      <c r="I204">
        <v>158970.78</v>
      </c>
      <c r="J204">
        <v>0</v>
      </c>
      <c r="K204">
        <v>158970.78</v>
      </c>
    </row>
    <row r="205" spans="1:11" x14ac:dyDescent="0.35">
      <c r="A205">
        <v>8000000613</v>
      </c>
      <c r="B205">
        <v>9400011246</v>
      </c>
      <c r="C205" s="10">
        <v>46173</v>
      </c>
      <c r="D205" t="s">
        <v>2032</v>
      </c>
      <c r="E205" s="11">
        <v>18877924</v>
      </c>
      <c r="F205" t="s">
        <v>721</v>
      </c>
      <c r="G205" t="s">
        <v>722</v>
      </c>
      <c r="H205" s="10">
        <v>46187</v>
      </c>
      <c r="I205">
        <v>18521.28</v>
      </c>
      <c r="J205">
        <v>0</v>
      </c>
      <c r="K205">
        <v>18521.28</v>
      </c>
    </row>
    <row r="206" spans="1:11" x14ac:dyDescent="0.35">
      <c r="A206">
        <v>2730000531</v>
      </c>
      <c r="B206">
        <v>9400011245</v>
      </c>
      <c r="C206" s="10">
        <v>46173</v>
      </c>
      <c r="D206" t="s">
        <v>2032</v>
      </c>
      <c r="E206" s="11">
        <v>18720340</v>
      </c>
      <c r="F206" t="s">
        <v>120</v>
      </c>
      <c r="G206" t="s">
        <v>121</v>
      </c>
      <c r="H206" s="10">
        <v>46218</v>
      </c>
      <c r="I206">
        <v>13971.8</v>
      </c>
      <c r="J206">
        <v>0</v>
      </c>
      <c r="K206">
        <v>13971.8</v>
      </c>
    </row>
    <row r="207" spans="1:11" x14ac:dyDescent="0.35">
      <c r="A207">
        <v>9100000980</v>
      </c>
      <c r="B207">
        <v>9400011242</v>
      </c>
      <c r="C207" s="10">
        <v>46173</v>
      </c>
      <c r="D207" t="s">
        <v>2032</v>
      </c>
      <c r="E207" s="11">
        <v>18854702</v>
      </c>
      <c r="F207" t="s">
        <v>247</v>
      </c>
      <c r="G207" t="s">
        <v>248</v>
      </c>
      <c r="H207" s="10">
        <v>46218</v>
      </c>
      <c r="I207">
        <v>49812.04</v>
      </c>
      <c r="J207">
        <v>0</v>
      </c>
      <c r="K207">
        <v>49812.04</v>
      </c>
    </row>
    <row r="208" spans="1:11" x14ac:dyDescent="0.35">
      <c r="A208">
        <v>8000000612</v>
      </c>
      <c r="B208">
        <v>9400011241</v>
      </c>
      <c r="C208" s="10">
        <v>46173</v>
      </c>
      <c r="D208" t="s">
        <v>2032</v>
      </c>
      <c r="E208" s="11">
        <v>18877923</v>
      </c>
      <c r="F208" t="s">
        <v>747</v>
      </c>
      <c r="G208" t="s">
        <v>748</v>
      </c>
      <c r="H208" s="10">
        <v>46187</v>
      </c>
      <c r="I208">
        <v>38911.68</v>
      </c>
      <c r="J208">
        <v>0</v>
      </c>
      <c r="K208">
        <v>38911.68</v>
      </c>
    </row>
    <row r="209" spans="1:11" x14ac:dyDescent="0.35">
      <c r="A209">
        <v>8000000611</v>
      </c>
      <c r="B209">
        <v>9400011239</v>
      </c>
      <c r="C209" s="10">
        <v>46173</v>
      </c>
      <c r="D209" t="s">
        <v>2032</v>
      </c>
      <c r="E209" s="11">
        <v>18877920</v>
      </c>
      <c r="F209" t="s">
        <v>689</v>
      </c>
      <c r="G209" t="s">
        <v>690</v>
      </c>
      <c r="H209" s="10">
        <v>46187</v>
      </c>
      <c r="I209">
        <v>20390.400000000001</v>
      </c>
      <c r="J209">
        <v>0</v>
      </c>
      <c r="K209">
        <v>20390.400000000001</v>
      </c>
    </row>
    <row r="210" spans="1:11" x14ac:dyDescent="0.35">
      <c r="A210">
        <v>8000000610</v>
      </c>
      <c r="B210">
        <v>9400011236</v>
      </c>
      <c r="C210" s="10">
        <v>46173</v>
      </c>
      <c r="D210" t="s">
        <v>2032</v>
      </c>
      <c r="E210" s="11">
        <v>18877916</v>
      </c>
      <c r="F210" t="s">
        <v>405</v>
      </c>
      <c r="G210" t="s">
        <v>406</v>
      </c>
      <c r="H210" s="10">
        <v>46187</v>
      </c>
      <c r="I210">
        <v>18521.28</v>
      </c>
      <c r="J210">
        <v>0</v>
      </c>
      <c r="K210">
        <v>18521.28</v>
      </c>
    </row>
    <row r="211" spans="1:11" x14ac:dyDescent="0.35">
      <c r="A211">
        <v>2730000530</v>
      </c>
      <c r="B211">
        <v>9400011235</v>
      </c>
      <c r="C211" s="10">
        <v>46173</v>
      </c>
      <c r="D211" t="s">
        <v>2032</v>
      </c>
      <c r="E211" s="11">
        <v>18720308</v>
      </c>
      <c r="F211" t="s">
        <v>383</v>
      </c>
      <c r="G211" t="s">
        <v>384</v>
      </c>
      <c r="H211" s="10">
        <v>46218</v>
      </c>
      <c r="I211">
        <v>13971.8</v>
      </c>
      <c r="J211">
        <v>0</v>
      </c>
      <c r="K211">
        <v>13971.8</v>
      </c>
    </row>
    <row r="212" spans="1:11" x14ac:dyDescent="0.35">
      <c r="A212">
        <v>5100000707</v>
      </c>
      <c r="B212">
        <v>9400011234</v>
      </c>
      <c r="C212" s="10">
        <v>46173</v>
      </c>
      <c r="D212" t="s">
        <v>2032</v>
      </c>
      <c r="E212" s="11">
        <v>18797886</v>
      </c>
      <c r="F212" t="s">
        <v>923</v>
      </c>
      <c r="G212" t="s">
        <v>924</v>
      </c>
      <c r="H212" s="10">
        <v>46218</v>
      </c>
      <c r="I212">
        <v>6448.46</v>
      </c>
      <c r="J212">
        <v>0</v>
      </c>
      <c r="K212">
        <v>6448.46</v>
      </c>
    </row>
    <row r="213" spans="1:11" x14ac:dyDescent="0.35">
      <c r="A213">
        <v>8000000609</v>
      </c>
      <c r="B213">
        <v>9400011231</v>
      </c>
      <c r="C213" s="10">
        <v>46173</v>
      </c>
      <c r="D213" t="s">
        <v>2032</v>
      </c>
      <c r="E213" s="11">
        <v>18877915</v>
      </c>
      <c r="F213" t="s">
        <v>269</v>
      </c>
      <c r="G213" t="s">
        <v>270</v>
      </c>
      <c r="H213" s="10">
        <v>46187</v>
      </c>
      <c r="I213">
        <v>27187.200000000001</v>
      </c>
      <c r="J213">
        <v>0</v>
      </c>
      <c r="K213">
        <v>27187.200000000001</v>
      </c>
    </row>
    <row r="214" spans="1:11" x14ac:dyDescent="0.35">
      <c r="A214">
        <v>9200000696</v>
      </c>
      <c r="B214">
        <v>9400011228</v>
      </c>
      <c r="C214" s="10">
        <v>46173</v>
      </c>
      <c r="D214" t="s">
        <v>2032</v>
      </c>
      <c r="E214" s="11">
        <v>18877010</v>
      </c>
      <c r="F214" t="s">
        <v>1277</v>
      </c>
      <c r="G214" t="s">
        <v>1278</v>
      </c>
      <c r="H214" s="10">
        <v>46218</v>
      </c>
      <c r="I214">
        <v>25676.799999999999</v>
      </c>
      <c r="J214">
        <v>0</v>
      </c>
      <c r="K214">
        <v>25676.799999999999</v>
      </c>
    </row>
    <row r="215" spans="1:11" x14ac:dyDescent="0.35">
      <c r="A215">
        <v>9300000562</v>
      </c>
      <c r="B215">
        <v>9400011227</v>
      </c>
      <c r="C215" s="10">
        <v>46173</v>
      </c>
      <c r="D215" t="s">
        <v>2032</v>
      </c>
      <c r="E215" s="11">
        <v>18876272</v>
      </c>
      <c r="F215" t="s">
        <v>1029</v>
      </c>
      <c r="G215" t="s">
        <v>1030</v>
      </c>
      <c r="H215" s="10">
        <v>46218</v>
      </c>
      <c r="I215">
        <v>42139.1</v>
      </c>
      <c r="J215">
        <v>0</v>
      </c>
      <c r="K215">
        <v>42139.1</v>
      </c>
    </row>
    <row r="216" spans="1:11" x14ac:dyDescent="0.35">
      <c r="A216">
        <v>9100000977</v>
      </c>
      <c r="B216">
        <v>9400011226</v>
      </c>
      <c r="C216" s="10">
        <v>46173</v>
      </c>
      <c r="D216" t="s">
        <v>2032</v>
      </c>
      <c r="E216" s="11">
        <v>123</v>
      </c>
      <c r="F216" t="s">
        <v>86</v>
      </c>
      <c r="G216" t="s">
        <v>87</v>
      </c>
      <c r="H216" s="10">
        <v>46218</v>
      </c>
      <c r="I216">
        <v>41120.639999999999</v>
      </c>
      <c r="J216">
        <v>0</v>
      </c>
      <c r="K216">
        <v>41120.639999999999</v>
      </c>
    </row>
    <row r="217" spans="1:11" x14ac:dyDescent="0.35">
      <c r="A217">
        <v>8000000608</v>
      </c>
      <c r="B217">
        <v>9400011225</v>
      </c>
      <c r="C217" s="10">
        <v>46173</v>
      </c>
      <c r="D217" t="s">
        <v>2032</v>
      </c>
      <c r="E217" s="11">
        <v>18877913</v>
      </c>
      <c r="F217" t="s">
        <v>42</v>
      </c>
      <c r="G217" t="s">
        <v>43</v>
      </c>
      <c r="H217" s="10">
        <v>46187</v>
      </c>
      <c r="I217">
        <v>27187.200000000001</v>
      </c>
      <c r="J217">
        <v>0</v>
      </c>
      <c r="K217">
        <v>27187.200000000001</v>
      </c>
    </row>
    <row r="218" spans="1:11" x14ac:dyDescent="0.35">
      <c r="A218">
        <v>5200000346</v>
      </c>
      <c r="B218">
        <v>9400011223</v>
      </c>
      <c r="C218" s="10">
        <v>46173</v>
      </c>
      <c r="D218" t="s">
        <v>2032</v>
      </c>
      <c r="E218" s="11">
        <v>18877613</v>
      </c>
      <c r="F218" t="s">
        <v>1251</v>
      </c>
      <c r="G218" t="s">
        <v>1252</v>
      </c>
      <c r="H218" s="10">
        <v>46218</v>
      </c>
      <c r="I218">
        <v>68810.52</v>
      </c>
      <c r="J218">
        <v>0</v>
      </c>
      <c r="K218">
        <v>68810.52</v>
      </c>
    </row>
    <row r="219" spans="1:11" x14ac:dyDescent="0.35">
      <c r="A219">
        <v>8000000607</v>
      </c>
      <c r="B219">
        <v>9400011222</v>
      </c>
      <c r="C219" s="10">
        <v>46173</v>
      </c>
      <c r="D219" t="s">
        <v>2032</v>
      </c>
      <c r="E219" s="11">
        <v>18877912</v>
      </c>
      <c r="F219" t="s">
        <v>691</v>
      </c>
      <c r="G219" t="s">
        <v>692</v>
      </c>
      <c r="H219" s="10">
        <v>46187</v>
      </c>
      <c r="I219">
        <v>20390.400000000001</v>
      </c>
      <c r="J219">
        <v>0</v>
      </c>
      <c r="K219">
        <v>20390.400000000001</v>
      </c>
    </row>
    <row r="220" spans="1:11" x14ac:dyDescent="0.35">
      <c r="A220">
        <v>5100000706</v>
      </c>
      <c r="B220">
        <v>9400011221</v>
      </c>
      <c r="C220" s="10">
        <v>46173</v>
      </c>
      <c r="D220" t="s">
        <v>2032</v>
      </c>
      <c r="E220" s="11">
        <v>18876797</v>
      </c>
      <c r="F220" t="s">
        <v>3531</v>
      </c>
      <c r="G220" t="s">
        <v>3532</v>
      </c>
      <c r="H220" s="10">
        <v>46218</v>
      </c>
      <c r="I220">
        <v>107474.4</v>
      </c>
      <c r="J220">
        <v>0</v>
      </c>
      <c r="K220">
        <v>107474.4</v>
      </c>
    </row>
    <row r="221" spans="1:11" x14ac:dyDescent="0.35">
      <c r="A221">
        <v>8000000606</v>
      </c>
      <c r="B221">
        <v>9400011218</v>
      </c>
      <c r="C221" s="10">
        <v>46173</v>
      </c>
      <c r="D221" t="s">
        <v>2032</v>
      </c>
      <c r="E221" s="11">
        <v>18854793</v>
      </c>
      <c r="F221" t="s">
        <v>811</v>
      </c>
      <c r="G221" t="s">
        <v>812</v>
      </c>
      <c r="H221" s="10">
        <v>46218</v>
      </c>
      <c r="I221">
        <v>114543.78</v>
      </c>
      <c r="J221">
        <v>0</v>
      </c>
      <c r="K221">
        <v>114543.78</v>
      </c>
    </row>
    <row r="222" spans="1:11" x14ac:dyDescent="0.35">
      <c r="A222">
        <v>9200000695</v>
      </c>
      <c r="B222">
        <v>9400011217</v>
      </c>
      <c r="C222" s="10">
        <v>46173</v>
      </c>
      <c r="D222" t="s">
        <v>2032</v>
      </c>
      <c r="E222" s="11">
        <v>18855253</v>
      </c>
      <c r="F222" t="s">
        <v>44</v>
      </c>
      <c r="G222" t="s">
        <v>45</v>
      </c>
      <c r="H222" s="10">
        <v>46218</v>
      </c>
      <c r="I222">
        <v>11283.16</v>
      </c>
      <c r="J222">
        <v>0</v>
      </c>
      <c r="K222">
        <v>11283.16</v>
      </c>
    </row>
    <row r="223" spans="1:11" x14ac:dyDescent="0.35">
      <c r="A223">
        <v>9100000975</v>
      </c>
      <c r="B223">
        <v>9400011216</v>
      </c>
      <c r="C223" s="10">
        <v>46173</v>
      </c>
      <c r="D223" t="s">
        <v>2032</v>
      </c>
      <c r="E223" s="11">
        <v>123</v>
      </c>
      <c r="F223" t="s">
        <v>765</v>
      </c>
      <c r="G223" t="s">
        <v>766</v>
      </c>
      <c r="H223" s="10">
        <v>46218</v>
      </c>
      <c r="I223">
        <v>49601.3</v>
      </c>
      <c r="J223">
        <v>0</v>
      </c>
      <c r="K223">
        <v>49601.3</v>
      </c>
    </row>
    <row r="224" spans="1:11" x14ac:dyDescent="0.35">
      <c r="A224">
        <v>8000000605</v>
      </c>
      <c r="B224">
        <v>9400011213</v>
      </c>
      <c r="C224" s="10">
        <v>46173</v>
      </c>
      <c r="D224" t="s">
        <v>2032</v>
      </c>
      <c r="E224" s="11">
        <v>18853501</v>
      </c>
      <c r="F224" t="s">
        <v>257</v>
      </c>
      <c r="G224" t="s">
        <v>258</v>
      </c>
      <c r="H224" s="10">
        <v>46187</v>
      </c>
      <c r="I224">
        <v>132820.79999999999</v>
      </c>
      <c r="J224">
        <v>0</v>
      </c>
      <c r="K224">
        <v>132820.79999999999</v>
      </c>
    </row>
    <row r="225" spans="1:11" x14ac:dyDescent="0.35">
      <c r="A225">
        <v>9100000974</v>
      </c>
      <c r="B225">
        <v>9400011211</v>
      </c>
      <c r="C225" s="10">
        <v>46173</v>
      </c>
      <c r="D225" t="s">
        <v>2032</v>
      </c>
      <c r="E225" s="11">
        <v>2562556552</v>
      </c>
      <c r="F225" t="s">
        <v>3537</v>
      </c>
      <c r="G225" t="s">
        <v>3538</v>
      </c>
      <c r="H225" s="10">
        <v>46218</v>
      </c>
      <c r="I225">
        <v>42513.04</v>
      </c>
      <c r="J225">
        <v>0</v>
      </c>
      <c r="K225">
        <v>42513.04</v>
      </c>
    </row>
    <row r="226" spans="1:11" x14ac:dyDescent="0.35">
      <c r="A226">
        <v>5100000705</v>
      </c>
      <c r="B226">
        <v>9400011210</v>
      </c>
      <c r="C226" s="10">
        <v>46173</v>
      </c>
      <c r="D226" t="s">
        <v>2032</v>
      </c>
      <c r="E226" s="11">
        <v>18855428</v>
      </c>
      <c r="F226" t="s">
        <v>911</v>
      </c>
      <c r="G226" t="s">
        <v>912</v>
      </c>
      <c r="H226" s="10">
        <v>46218</v>
      </c>
      <c r="I226">
        <v>12896.92</v>
      </c>
      <c r="J226">
        <v>0</v>
      </c>
      <c r="K226">
        <v>12896.92</v>
      </c>
    </row>
    <row r="227" spans="1:11" x14ac:dyDescent="0.35">
      <c r="A227">
        <v>5200000345</v>
      </c>
      <c r="B227">
        <v>9400011209</v>
      </c>
      <c r="C227" s="10">
        <v>46173</v>
      </c>
      <c r="D227" t="s">
        <v>2032</v>
      </c>
      <c r="E227" s="11">
        <v>18877796</v>
      </c>
      <c r="F227" t="s">
        <v>787</v>
      </c>
      <c r="G227" t="s">
        <v>788</v>
      </c>
      <c r="H227" s="10">
        <v>46218</v>
      </c>
      <c r="I227">
        <v>54440.480000000003</v>
      </c>
      <c r="J227">
        <v>0</v>
      </c>
      <c r="K227">
        <v>54440.480000000003</v>
      </c>
    </row>
    <row r="228" spans="1:11" x14ac:dyDescent="0.35">
      <c r="A228">
        <v>5100000704</v>
      </c>
      <c r="B228">
        <v>9400011205</v>
      </c>
      <c r="C228" s="10">
        <v>46173</v>
      </c>
      <c r="D228" t="s">
        <v>2032</v>
      </c>
      <c r="E228" s="11">
        <v>18854448</v>
      </c>
      <c r="F228" t="s">
        <v>455</v>
      </c>
      <c r="G228" t="s">
        <v>456</v>
      </c>
      <c r="H228" s="10">
        <v>46218</v>
      </c>
      <c r="I228">
        <v>21494.880000000001</v>
      </c>
      <c r="J228">
        <v>0</v>
      </c>
      <c r="K228">
        <v>21494.880000000001</v>
      </c>
    </row>
    <row r="229" spans="1:11" x14ac:dyDescent="0.35">
      <c r="A229">
        <v>2730000529</v>
      </c>
      <c r="B229">
        <v>9400011204</v>
      </c>
      <c r="C229" s="10">
        <v>46173</v>
      </c>
      <c r="D229" t="s">
        <v>2032</v>
      </c>
      <c r="E229" s="11">
        <v>18765175</v>
      </c>
      <c r="F229" t="s">
        <v>681</v>
      </c>
      <c r="G229" t="s">
        <v>682</v>
      </c>
      <c r="H229" s="10">
        <v>46218</v>
      </c>
      <c r="I229">
        <v>27943.58</v>
      </c>
      <c r="J229">
        <v>0</v>
      </c>
      <c r="K229">
        <v>27943.58</v>
      </c>
    </row>
    <row r="230" spans="1:11" x14ac:dyDescent="0.35">
      <c r="A230">
        <v>5100000703</v>
      </c>
      <c r="B230">
        <v>9400011203</v>
      </c>
      <c r="C230" s="10">
        <v>46173</v>
      </c>
      <c r="D230" t="s">
        <v>2032</v>
      </c>
      <c r="E230" s="11">
        <v>18854098</v>
      </c>
      <c r="F230" t="s">
        <v>587</v>
      </c>
      <c r="G230" t="s">
        <v>588</v>
      </c>
      <c r="H230" s="10">
        <v>46218</v>
      </c>
      <c r="I230">
        <v>10747.44</v>
      </c>
      <c r="J230">
        <v>0</v>
      </c>
      <c r="K230">
        <v>10747.44</v>
      </c>
    </row>
    <row r="231" spans="1:11" x14ac:dyDescent="0.35">
      <c r="A231">
        <v>5100000702</v>
      </c>
      <c r="B231">
        <v>9400011201</v>
      </c>
      <c r="C231" s="10">
        <v>46173</v>
      </c>
      <c r="D231" t="s">
        <v>2032</v>
      </c>
      <c r="E231" s="11">
        <v>18877806</v>
      </c>
      <c r="F231" t="s">
        <v>298</v>
      </c>
      <c r="G231" t="s">
        <v>299</v>
      </c>
      <c r="H231" s="10">
        <v>46218</v>
      </c>
      <c r="I231">
        <v>39881.519999999997</v>
      </c>
      <c r="J231">
        <v>0</v>
      </c>
      <c r="K231">
        <v>39881.519999999997</v>
      </c>
    </row>
    <row r="232" spans="1:11" x14ac:dyDescent="0.35">
      <c r="A232">
        <v>5100000701</v>
      </c>
      <c r="B232">
        <v>9400011200</v>
      </c>
      <c r="C232" s="10">
        <v>46173</v>
      </c>
      <c r="D232" t="s">
        <v>2032</v>
      </c>
      <c r="E232" s="11">
        <v>18877806</v>
      </c>
      <c r="F232" t="s">
        <v>298</v>
      </c>
      <c r="G232" t="s">
        <v>299</v>
      </c>
      <c r="H232" s="10">
        <v>46187</v>
      </c>
      <c r="I232">
        <v>39081.599999999999</v>
      </c>
      <c r="J232">
        <v>0</v>
      </c>
      <c r="K232">
        <v>39081.599999999999</v>
      </c>
    </row>
    <row r="233" spans="1:11" x14ac:dyDescent="0.35">
      <c r="A233">
        <v>2730000528</v>
      </c>
      <c r="B233">
        <v>9400011199</v>
      </c>
      <c r="C233" s="10">
        <v>46173</v>
      </c>
      <c r="D233" t="s">
        <v>2032</v>
      </c>
      <c r="E233" s="11">
        <v>18740980</v>
      </c>
      <c r="F233" t="s">
        <v>89</v>
      </c>
      <c r="G233" t="s">
        <v>90</v>
      </c>
      <c r="H233" s="10">
        <v>46218</v>
      </c>
      <c r="I233">
        <v>161792.16</v>
      </c>
      <c r="J233">
        <v>0</v>
      </c>
      <c r="K233">
        <v>161792.16</v>
      </c>
    </row>
    <row r="234" spans="1:11" x14ac:dyDescent="0.35">
      <c r="A234">
        <v>5200000344</v>
      </c>
      <c r="B234">
        <v>9400011198</v>
      </c>
      <c r="C234" s="10">
        <v>46173</v>
      </c>
      <c r="D234" t="s">
        <v>2032</v>
      </c>
      <c r="E234" s="11">
        <v>18876681</v>
      </c>
      <c r="F234" t="s">
        <v>769</v>
      </c>
      <c r="G234" t="s">
        <v>770</v>
      </c>
      <c r="H234" s="10">
        <v>46218</v>
      </c>
      <c r="I234">
        <v>136101.20000000001</v>
      </c>
      <c r="J234">
        <v>0</v>
      </c>
      <c r="K234">
        <v>136101.20000000001</v>
      </c>
    </row>
    <row r="235" spans="1:11" x14ac:dyDescent="0.35">
      <c r="A235">
        <v>5100000700</v>
      </c>
      <c r="B235">
        <v>9400011197</v>
      </c>
      <c r="C235" s="10">
        <v>46173</v>
      </c>
      <c r="D235" t="s">
        <v>2032</v>
      </c>
      <c r="E235" s="11">
        <v>18877911</v>
      </c>
      <c r="F235" t="s">
        <v>213</v>
      </c>
      <c r="G235" t="s">
        <v>214</v>
      </c>
      <c r="H235" s="10">
        <v>46187</v>
      </c>
      <c r="I235">
        <v>62742.96</v>
      </c>
      <c r="J235">
        <v>0</v>
      </c>
      <c r="K235">
        <v>62742.96</v>
      </c>
    </row>
    <row r="236" spans="1:11" x14ac:dyDescent="0.35">
      <c r="A236">
        <v>7000000529</v>
      </c>
      <c r="B236">
        <v>9400011194</v>
      </c>
      <c r="C236" s="10">
        <v>46173</v>
      </c>
      <c r="D236" t="s">
        <v>2032</v>
      </c>
      <c r="E236" s="11">
        <v>125658</v>
      </c>
      <c r="F236" t="s">
        <v>3539</v>
      </c>
      <c r="G236" t="s">
        <v>3540</v>
      </c>
      <c r="H236" s="10">
        <v>46187</v>
      </c>
      <c r="I236">
        <v>15519.36</v>
      </c>
      <c r="J236">
        <v>0</v>
      </c>
      <c r="K236">
        <v>15519.36</v>
      </c>
    </row>
    <row r="237" spans="1:11" x14ac:dyDescent="0.35">
      <c r="A237">
        <v>7000000528</v>
      </c>
      <c r="B237">
        <v>9400011192</v>
      </c>
      <c r="C237" s="10">
        <v>46173</v>
      </c>
      <c r="D237" t="s">
        <v>2032</v>
      </c>
      <c r="E237" s="11">
        <v>123654</v>
      </c>
      <c r="F237" t="s">
        <v>278</v>
      </c>
      <c r="G237" t="s">
        <v>279</v>
      </c>
      <c r="H237" s="10">
        <v>46173</v>
      </c>
      <c r="I237">
        <v>156601.46</v>
      </c>
      <c r="J237">
        <v>156600.54</v>
      </c>
      <c r="K237">
        <v>0.91999999998370185</v>
      </c>
    </row>
    <row r="238" spans="1:11" x14ac:dyDescent="0.35">
      <c r="A238">
        <v>2730000527</v>
      </c>
      <c r="B238">
        <v>9400011186</v>
      </c>
      <c r="C238" s="10">
        <v>46173</v>
      </c>
      <c r="D238" t="s">
        <v>2032</v>
      </c>
      <c r="E238" s="11">
        <v>18819970</v>
      </c>
      <c r="F238" t="s">
        <v>359</v>
      </c>
      <c r="G238" t="s">
        <v>360</v>
      </c>
      <c r="H238" s="10">
        <v>46218</v>
      </c>
      <c r="I238">
        <v>27943.58</v>
      </c>
      <c r="J238">
        <v>0</v>
      </c>
      <c r="K238">
        <v>27943.58</v>
      </c>
    </row>
    <row r="239" spans="1:11" x14ac:dyDescent="0.35">
      <c r="A239">
        <v>9200000687</v>
      </c>
      <c r="B239">
        <v>9400011182</v>
      </c>
      <c r="C239" s="10">
        <v>46173</v>
      </c>
      <c r="D239" t="s">
        <v>2032</v>
      </c>
      <c r="E239" s="11">
        <v>18855442</v>
      </c>
      <c r="F239" t="s">
        <v>3541</v>
      </c>
      <c r="G239" t="s">
        <v>3542</v>
      </c>
      <c r="H239" s="10">
        <v>46173</v>
      </c>
      <c r="I239">
        <v>19821.150000000001</v>
      </c>
      <c r="J239">
        <v>19612.11</v>
      </c>
      <c r="K239">
        <v>209.04000000000087</v>
      </c>
    </row>
    <row r="240" spans="1:11" x14ac:dyDescent="0.35">
      <c r="A240">
        <v>3000000882</v>
      </c>
      <c r="B240">
        <v>9400011180</v>
      </c>
      <c r="C240" s="10">
        <v>46173</v>
      </c>
      <c r="D240" t="s">
        <v>2032</v>
      </c>
      <c r="E240" s="11">
        <v>18876528</v>
      </c>
      <c r="F240" t="s">
        <v>947</v>
      </c>
      <c r="G240" t="s">
        <v>948</v>
      </c>
      <c r="H240" s="10">
        <v>46188</v>
      </c>
      <c r="I240">
        <v>169282.09</v>
      </c>
      <c r="J240">
        <v>0</v>
      </c>
      <c r="K240">
        <v>169282.09</v>
      </c>
    </row>
    <row r="241" spans="1:11" x14ac:dyDescent="0.35">
      <c r="A241">
        <v>2730000526</v>
      </c>
      <c r="B241">
        <v>9400011178</v>
      </c>
      <c r="C241" s="10">
        <v>46173</v>
      </c>
      <c r="D241" t="s">
        <v>2032</v>
      </c>
      <c r="E241" s="11">
        <v>18822082</v>
      </c>
      <c r="F241" t="s">
        <v>273</v>
      </c>
      <c r="G241" t="s">
        <v>274</v>
      </c>
      <c r="H241" s="10">
        <v>46218</v>
      </c>
      <c r="I241">
        <v>55887.16</v>
      </c>
      <c r="J241">
        <v>0</v>
      </c>
      <c r="K241">
        <v>55887.16</v>
      </c>
    </row>
    <row r="242" spans="1:11" x14ac:dyDescent="0.35">
      <c r="A242">
        <v>8000000604</v>
      </c>
      <c r="B242">
        <v>9400011174</v>
      </c>
      <c r="C242" s="10">
        <v>46173</v>
      </c>
      <c r="D242" t="s">
        <v>2032</v>
      </c>
      <c r="E242" s="11">
        <v>18877857</v>
      </c>
      <c r="F242" t="s">
        <v>389</v>
      </c>
      <c r="G242" t="s">
        <v>390</v>
      </c>
      <c r="H242" s="10">
        <v>46187</v>
      </c>
      <c r="I242">
        <v>59004.72</v>
      </c>
      <c r="J242">
        <v>0</v>
      </c>
      <c r="K242">
        <v>59004.72</v>
      </c>
    </row>
    <row r="243" spans="1:11" x14ac:dyDescent="0.35">
      <c r="A243">
        <v>2730000525</v>
      </c>
      <c r="B243">
        <v>9400011170</v>
      </c>
      <c r="C243" s="10">
        <v>46173</v>
      </c>
      <c r="D243" t="s">
        <v>2032</v>
      </c>
      <c r="E243" s="11">
        <v>18853292</v>
      </c>
      <c r="F243" t="s">
        <v>523</v>
      </c>
      <c r="G243" t="s">
        <v>524</v>
      </c>
      <c r="H243" s="10">
        <v>46218</v>
      </c>
      <c r="I243">
        <v>41915.379999999997</v>
      </c>
      <c r="J243">
        <v>0</v>
      </c>
      <c r="K243">
        <v>41915.379999999997</v>
      </c>
    </row>
    <row r="244" spans="1:11" x14ac:dyDescent="0.35">
      <c r="A244">
        <v>9100000973</v>
      </c>
      <c r="B244">
        <v>9400011168</v>
      </c>
      <c r="C244" s="10">
        <v>46173</v>
      </c>
      <c r="D244" t="s">
        <v>2032</v>
      </c>
      <c r="E244" s="11">
        <v>123</v>
      </c>
      <c r="F244" t="s">
        <v>3543</v>
      </c>
      <c r="G244" t="s">
        <v>3544</v>
      </c>
      <c r="H244" s="10">
        <v>46173</v>
      </c>
      <c r="I244">
        <v>12904.44</v>
      </c>
      <c r="J244">
        <v>10865.91</v>
      </c>
      <c r="K244">
        <v>2038.5300000000007</v>
      </c>
    </row>
    <row r="245" spans="1:11" x14ac:dyDescent="0.35">
      <c r="A245">
        <v>8000000603</v>
      </c>
      <c r="B245">
        <v>9400011167</v>
      </c>
      <c r="C245" s="10">
        <v>46173</v>
      </c>
      <c r="D245" t="s">
        <v>2032</v>
      </c>
      <c r="E245" s="11">
        <v>18877837</v>
      </c>
      <c r="F245" t="s">
        <v>202</v>
      </c>
      <c r="G245" t="s">
        <v>203</v>
      </c>
      <c r="H245" s="10">
        <v>46187</v>
      </c>
      <c r="I245">
        <v>40780.800000000003</v>
      </c>
      <c r="J245">
        <v>0</v>
      </c>
      <c r="K245">
        <v>40780.800000000003</v>
      </c>
    </row>
    <row r="246" spans="1:11" x14ac:dyDescent="0.35">
      <c r="A246">
        <v>9100000972</v>
      </c>
      <c r="B246">
        <v>9400011166</v>
      </c>
      <c r="C246" s="10">
        <v>46173</v>
      </c>
      <c r="D246" t="s">
        <v>2032</v>
      </c>
      <c r="E246" s="11">
        <v>18877578</v>
      </c>
      <c r="F246" t="s">
        <v>903</v>
      </c>
      <c r="G246" t="s">
        <v>904</v>
      </c>
      <c r="H246" s="10">
        <v>46218</v>
      </c>
      <c r="I246">
        <v>154202.4</v>
      </c>
      <c r="J246">
        <v>0</v>
      </c>
      <c r="K246">
        <v>154202.4</v>
      </c>
    </row>
    <row r="247" spans="1:11" x14ac:dyDescent="0.35">
      <c r="A247">
        <v>9200000686</v>
      </c>
      <c r="B247">
        <v>9400011164</v>
      </c>
      <c r="C247" s="10">
        <v>46173</v>
      </c>
      <c r="D247" t="s">
        <v>2032</v>
      </c>
      <c r="E247" s="11">
        <v>18855237</v>
      </c>
      <c r="F247" t="s">
        <v>635</v>
      </c>
      <c r="G247" t="s">
        <v>636</v>
      </c>
      <c r="H247" s="10">
        <v>46218</v>
      </c>
      <c r="I247">
        <v>22566.32</v>
      </c>
      <c r="J247">
        <v>0</v>
      </c>
      <c r="K247">
        <v>22566.32</v>
      </c>
    </row>
    <row r="248" spans="1:11" x14ac:dyDescent="0.35">
      <c r="A248">
        <v>9100000971</v>
      </c>
      <c r="B248">
        <v>9400011163</v>
      </c>
      <c r="C248" s="10">
        <v>46173</v>
      </c>
      <c r="D248" t="s">
        <v>2032</v>
      </c>
      <c r="E248" s="11">
        <v>18877587</v>
      </c>
      <c r="F248" t="s">
        <v>419</v>
      </c>
      <c r="G248" t="s">
        <v>420</v>
      </c>
      <c r="H248" s="10">
        <v>46218</v>
      </c>
      <c r="I248">
        <v>10280.16</v>
      </c>
      <c r="J248">
        <v>0</v>
      </c>
      <c r="K248">
        <v>10280.16</v>
      </c>
    </row>
    <row r="249" spans="1:11" x14ac:dyDescent="0.35">
      <c r="A249">
        <v>9100000970</v>
      </c>
      <c r="B249">
        <v>9400011162</v>
      </c>
      <c r="C249" s="10">
        <v>46173</v>
      </c>
      <c r="D249" t="s">
        <v>2032</v>
      </c>
      <c r="E249" s="11">
        <v>326</v>
      </c>
      <c r="F249" t="s">
        <v>198</v>
      </c>
      <c r="G249" t="s">
        <v>199</v>
      </c>
      <c r="H249" s="10">
        <v>46218</v>
      </c>
      <c r="I249">
        <v>92521.44</v>
      </c>
      <c r="J249">
        <v>0</v>
      </c>
      <c r="K249">
        <v>92521.44</v>
      </c>
    </row>
    <row r="250" spans="1:11" x14ac:dyDescent="0.35">
      <c r="A250">
        <v>7000000527</v>
      </c>
      <c r="B250">
        <v>9400011160</v>
      </c>
      <c r="C250" s="10">
        <v>46173</v>
      </c>
      <c r="D250" t="s">
        <v>2032</v>
      </c>
      <c r="E250" s="11">
        <v>123654</v>
      </c>
      <c r="F250" t="s">
        <v>3539</v>
      </c>
      <c r="G250" t="s">
        <v>3540</v>
      </c>
      <c r="H250" s="10">
        <v>46187</v>
      </c>
      <c r="I250">
        <v>124579.68</v>
      </c>
      <c r="J250">
        <v>0</v>
      </c>
      <c r="K250">
        <v>124579.68</v>
      </c>
    </row>
    <row r="251" spans="1:11" x14ac:dyDescent="0.35">
      <c r="A251">
        <v>9100000968</v>
      </c>
      <c r="B251">
        <v>9400011158</v>
      </c>
      <c r="C251" s="10">
        <v>46173</v>
      </c>
      <c r="D251" t="s">
        <v>2032</v>
      </c>
      <c r="E251" s="11">
        <v>123</v>
      </c>
      <c r="F251" t="s">
        <v>130</v>
      </c>
      <c r="G251" t="s">
        <v>131</v>
      </c>
      <c r="H251" s="10">
        <v>46218</v>
      </c>
      <c r="I251">
        <v>15921.74</v>
      </c>
      <c r="J251">
        <v>0</v>
      </c>
      <c r="K251">
        <v>15921.74</v>
      </c>
    </row>
    <row r="252" spans="1:11" x14ac:dyDescent="0.35">
      <c r="A252">
        <v>7000000526</v>
      </c>
      <c r="B252">
        <v>9400011157</v>
      </c>
      <c r="C252" s="10">
        <v>46173</v>
      </c>
      <c r="D252" t="s">
        <v>2032</v>
      </c>
      <c r="E252" s="11">
        <v>125695</v>
      </c>
      <c r="F252" t="s">
        <v>3514</v>
      </c>
      <c r="G252" t="s">
        <v>3515</v>
      </c>
      <c r="H252" s="10">
        <v>46187</v>
      </c>
      <c r="I252">
        <v>64272.24</v>
      </c>
      <c r="J252">
        <v>0</v>
      </c>
      <c r="K252">
        <v>64272.24</v>
      </c>
    </row>
    <row r="253" spans="1:11" x14ac:dyDescent="0.35">
      <c r="A253">
        <v>2720000366</v>
      </c>
      <c r="B253">
        <v>9400011155</v>
      </c>
      <c r="C253" s="10">
        <v>46173</v>
      </c>
      <c r="D253" t="s">
        <v>2032</v>
      </c>
      <c r="E253" s="11">
        <v>18822650</v>
      </c>
      <c r="F253" t="s">
        <v>245</v>
      </c>
      <c r="G253" t="s">
        <v>246</v>
      </c>
      <c r="H253" s="10">
        <v>46218</v>
      </c>
      <c r="I253">
        <v>41915.379999999997</v>
      </c>
      <c r="J253">
        <v>0</v>
      </c>
      <c r="K253">
        <v>41915.379999999997</v>
      </c>
    </row>
    <row r="254" spans="1:11" x14ac:dyDescent="0.35">
      <c r="A254">
        <v>2720000365</v>
      </c>
      <c r="B254">
        <v>9400011148</v>
      </c>
      <c r="C254" s="10">
        <v>46173</v>
      </c>
      <c r="D254" t="s">
        <v>2032</v>
      </c>
      <c r="E254" s="11">
        <v>18853593</v>
      </c>
      <c r="F254" t="s">
        <v>833</v>
      </c>
      <c r="G254" t="s">
        <v>834</v>
      </c>
      <c r="H254" s="10">
        <v>46218</v>
      </c>
      <c r="I254">
        <v>13971.8</v>
      </c>
      <c r="J254">
        <v>0</v>
      </c>
      <c r="K254">
        <v>13971.8</v>
      </c>
    </row>
    <row r="255" spans="1:11" x14ac:dyDescent="0.35">
      <c r="A255">
        <v>9300000558</v>
      </c>
      <c r="B255">
        <v>9400011145</v>
      </c>
      <c r="C255" s="10">
        <v>46173</v>
      </c>
      <c r="D255" t="s">
        <v>2032</v>
      </c>
      <c r="E255" s="11">
        <v>18822440</v>
      </c>
      <c r="F255" t="s">
        <v>877</v>
      </c>
      <c r="G255" t="s">
        <v>878</v>
      </c>
      <c r="H255" s="10">
        <v>46218</v>
      </c>
      <c r="I255">
        <v>69171.600000000006</v>
      </c>
      <c r="J255">
        <v>0</v>
      </c>
      <c r="K255">
        <v>69171.600000000006</v>
      </c>
    </row>
    <row r="256" spans="1:11" x14ac:dyDescent="0.35">
      <c r="A256">
        <v>7000000525</v>
      </c>
      <c r="B256">
        <v>9400011144</v>
      </c>
      <c r="C256" s="10">
        <v>46173</v>
      </c>
      <c r="D256" t="s">
        <v>2032</v>
      </c>
      <c r="E256" s="11">
        <v>236542</v>
      </c>
      <c r="F256" t="s">
        <v>351</v>
      </c>
      <c r="G256" t="s">
        <v>352</v>
      </c>
      <c r="H256" s="10">
        <v>46187</v>
      </c>
      <c r="I256">
        <v>2844.28</v>
      </c>
      <c r="J256">
        <v>0</v>
      </c>
      <c r="K256">
        <v>2844.28</v>
      </c>
    </row>
    <row r="257" spans="1:11" x14ac:dyDescent="0.35">
      <c r="A257">
        <v>5100000695</v>
      </c>
      <c r="B257">
        <v>9400011143</v>
      </c>
      <c r="C257" s="10">
        <v>46173</v>
      </c>
      <c r="D257" t="s">
        <v>2032</v>
      </c>
      <c r="E257" s="11">
        <v>18822260</v>
      </c>
      <c r="F257" t="s">
        <v>304</v>
      </c>
      <c r="G257" t="s">
        <v>305</v>
      </c>
      <c r="H257" s="10">
        <v>46218</v>
      </c>
      <c r="I257">
        <v>10195.200000000001</v>
      </c>
      <c r="J257">
        <v>0</v>
      </c>
      <c r="K257">
        <v>10195.200000000001</v>
      </c>
    </row>
    <row r="258" spans="1:11" x14ac:dyDescent="0.35">
      <c r="A258">
        <v>2730000523</v>
      </c>
      <c r="B258">
        <v>9400011142</v>
      </c>
      <c r="C258" s="10">
        <v>46173</v>
      </c>
      <c r="D258" t="s">
        <v>2032</v>
      </c>
      <c r="E258" s="11">
        <v>18876781</v>
      </c>
      <c r="F258" t="s">
        <v>437</v>
      </c>
      <c r="G258" t="s">
        <v>438</v>
      </c>
      <c r="H258" s="10">
        <v>46218</v>
      </c>
      <c r="I258">
        <v>67413.399999999994</v>
      </c>
      <c r="J258">
        <v>0</v>
      </c>
      <c r="K258">
        <v>67413.399999999994</v>
      </c>
    </row>
    <row r="259" spans="1:11" x14ac:dyDescent="0.35">
      <c r="A259">
        <v>5100000694</v>
      </c>
      <c r="B259">
        <v>9400011141</v>
      </c>
      <c r="C259" s="10">
        <v>46173</v>
      </c>
      <c r="D259" t="s">
        <v>2032</v>
      </c>
      <c r="E259" s="11">
        <v>18822774</v>
      </c>
      <c r="F259" t="s">
        <v>335</v>
      </c>
      <c r="G259" t="s">
        <v>336</v>
      </c>
      <c r="H259" s="10">
        <v>46218</v>
      </c>
      <c r="I259">
        <v>13360.24</v>
      </c>
      <c r="J259">
        <v>0</v>
      </c>
      <c r="K259">
        <v>13360.24</v>
      </c>
    </row>
    <row r="260" spans="1:11" x14ac:dyDescent="0.35">
      <c r="A260">
        <v>2720000364</v>
      </c>
      <c r="B260">
        <v>9400011139</v>
      </c>
      <c r="C260" s="10">
        <v>46173</v>
      </c>
      <c r="D260" t="s">
        <v>2032</v>
      </c>
      <c r="E260" s="11">
        <v>18875873</v>
      </c>
      <c r="F260" t="s">
        <v>837</v>
      </c>
      <c r="G260" t="s">
        <v>838</v>
      </c>
      <c r="H260" s="10">
        <v>46218</v>
      </c>
      <c r="I260">
        <v>13971.8</v>
      </c>
      <c r="J260">
        <v>0</v>
      </c>
      <c r="K260">
        <v>13971.8</v>
      </c>
    </row>
    <row r="261" spans="1:11" x14ac:dyDescent="0.35">
      <c r="A261">
        <v>5100000692</v>
      </c>
      <c r="B261">
        <v>9400011137</v>
      </c>
      <c r="C261" s="10">
        <v>46173</v>
      </c>
      <c r="D261" t="s">
        <v>2032</v>
      </c>
      <c r="E261" s="11">
        <v>18853923</v>
      </c>
      <c r="F261" t="s">
        <v>1189</v>
      </c>
      <c r="G261" t="s">
        <v>1190</v>
      </c>
      <c r="H261" s="10">
        <v>46218</v>
      </c>
      <c r="I261">
        <v>71746.36</v>
      </c>
      <c r="J261">
        <v>0</v>
      </c>
      <c r="K261">
        <v>71746.36</v>
      </c>
    </row>
    <row r="262" spans="1:11" x14ac:dyDescent="0.35">
      <c r="A262">
        <v>9300000557</v>
      </c>
      <c r="B262">
        <v>9400011134</v>
      </c>
      <c r="C262" s="10">
        <v>46173</v>
      </c>
      <c r="D262" t="s">
        <v>2032</v>
      </c>
      <c r="E262" s="11">
        <v>18877257</v>
      </c>
      <c r="F262" t="s">
        <v>909</v>
      </c>
      <c r="G262" t="s">
        <v>910</v>
      </c>
      <c r="H262" s="10">
        <v>46218</v>
      </c>
      <c r="I262">
        <v>31433.66</v>
      </c>
      <c r="J262">
        <v>0</v>
      </c>
      <c r="K262">
        <v>31433.66</v>
      </c>
    </row>
    <row r="263" spans="1:11" x14ac:dyDescent="0.35">
      <c r="A263">
        <v>5100000691</v>
      </c>
      <c r="B263">
        <v>9400011133</v>
      </c>
      <c r="C263" s="10">
        <v>46173</v>
      </c>
      <c r="D263" t="s">
        <v>2032</v>
      </c>
      <c r="E263" s="11">
        <v>18854834</v>
      </c>
      <c r="F263" t="s">
        <v>1077</v>
      </c>
      <c r="G263" t="s">
        <v>1078</v>
      </c>
      <c r="H263" s="10">
        <v>46187</v>
      </c>
      <c r="I263">
        <v>234840.82</v>
      </c>
      <c r="J263">
        <v>0</v>
      </c>
      <c r="K263">
        <v>234840.82</v>
      </c>
    </row>
    <row r="264" spans="1:11" x14ac:dyDescent="0.35">
      <c r="A264">
        <v>7000000524</v>
      </c>
      <c r="B264">
        <v>9400011132</v>
      </c>
      <c r="C264" s="10">
        <v>46173</v>
      </c>
      <c r="D264" t="s">
        <v>2032</v>
      </c>
      <c r="E264" s="11">
        <v>123658</v>
      </c>
      <c r="F264" t="s">
        <v>707</v>
      </c>
      <c r="G264" t="s">
        <v>708</v>
      </c>
      <c r="H264" s="10">
        <v>46187</v>
      </c>
      <c r="I264">
        <v>23279.040000000001</v>
      </c>
      <c r="J264">
        <v>0</v>
      </c>
      <c r="K264">
        <v>23279.040000000001</v>
      </c>
    </row>
    <row r="265" spans="1:11" x14ac:dyDescent="0.35">
      <c r="A265">
        <v>2720000363</v>
      </c>
      <c r="B265">
        <v>9400011131</v>
      </c>
      <c r="C265" s="10">
        <v>46173</v>
      </c>
      <c r="D265" t="s">
        <v>2032</v>
      </c>
      <c r="E265" s="11">
        <v>18875854</v>
      </c>
      <c r="F265" t="s">
        <v>312</v>
      </c>
      <c r="G265" t="s">
        <v>313</v>
      </c>
      <c r="H265" s="10">
        <v>46218</v>
      </c>
      <c r="I265">
        <v>41915.379999999997</v>
      </c>
      <c r="J265">
        <v>0</v>
      </c>
      <c r="K265">
        <v>41915.379999999997</v>
      </c>
    </row>
    <row r="266" spans="1:11" x14ac:dyDescent="0.35">
      <c r="A266">
        <v>9100000966</v>
      </c>
      <c r="B266">
        <v>9400011130</v>
      </c>
      <c r="C266" s="10">
        <v>46173</v>
      </c>
      <c r="D266" t="s">
        <v>2032</v>
      </c>
      <c r="E266" s="11">
        <v>123</v>
      </c>
      <c r="F266" t="s">
        <v>969</v>
      </c>
      <c r="G266" t="s">
        <v>970</v>
      </c>
      <c r="H266" s="10">
        <v>46218</v>
      </c>
      <c r="I266">
        <v>16924.740000000002</v>
      </c>
      <c r="J266">
        <v>0</v>
      </c>
      <c r="K266">
        <v>16924.740000000002</v>
      </c>
    </row>
    <row r="267" spans="1:11" x14ac:dyDescent="0.35">
      <c r="A267">
        <v>7000000523</v>
      </c>
      <c r="B267">
        <v>9400011129</v>
      </c>
      <c r="C267" s="10">
        <v>46173</v>
      </c>
      <c r="D267" t="s">
        <v>2032</v>
      </c>
      <c r="E267" s="11">
        <v>256985</v>
      </c>
      <c r="F267" t="s">
        <v>735</v>
      </c>
      <c r="G267" t="s">
        <v>736</v>
      </c>
      <c r="H267" s="10">
        <v>46187</v>
      </c>
      <c r="I267">
        <v>77596.800000000003</v>
      </c>
      <c r="J267">
        <v>0</v>
      </c>
      <c r="K267">
        <v>77596.800000000003</v>
      </c>
    </row>
    <row r="268" spans="1:11" x14ac:dyDescent="0.35">
      <c r="A268">
        <v>2720000362</v>
      </c>
      <c r="B268">
        <v>9400011128</v>
      </c>
      <c r="C268" s="10">
        <v>46173</v>
      </c>
      <c r="D268" t="s">
        <v>2032</v>
      </c>
      <c r="E268" s="11">
        <v>18875892</v>
      </c>
      <c r="F268" t="s">
        <v>575</v>
      </c>
      <c r="G268" t="s">
        <v>576</v>
      </c>
      <c r="H268" s="10">
        <v>46218</v>
      </c>
      <c r="I268">
        <v>13971.8</v>
      </c>
      <c r="J268">
        <v>0</v>
      </c>
      <c r="K268">
        <v>13971.8</v>
      </c>
    </row>
    <row r="269" spans="1:11" x14ac:dyDescent="0.35">
      <c r="A269">
        <v>3000000877</v>
      </c>
      <c r="B269">
        <v>9400011126</v>
      </c>
      <c r="C269" s="10">
        <v>46173</v>
      </c>
      <c r="D269" t="s">
        <v>2032</v>
      </c>
      <c r="E269" s="11" t="s">
        <v>2033</v>
      </c>
      <c r="F269" t="s">
        <v>1025</v>
      </c>
      <c r="G269" t="s">
        <v>1026</v>
      </c>
      <c r="H269" s="10">
        <v>46173</v>
      </c>
      <c r="I269">
        <v>4.8899999999999997</v>
      </c>
      <c r="J269">
        <v>0</v>
      </c>
      <c r="K269">
        <v>4.8899999999999997</v>
      </c>
    </row>
    <row r="270" spans="1:11" x14ac:dyDescent="0.35">
      <c r="A270">
        <v>3000000876</v>
      </c>
      <c r="B270">
        <v>9400011125</v>
      </c>
      <c r="C270" s="10">
        <v>46173</v>
      </c>
      <c r="D270" t="s">
        <v>2032</v>
      </c>
      <c r="E270" s="11">
        <v>18876528</v>
      </c>
      <c r="F270" t="s">
        <v>947</v>
      </c>
      <c r="G270" t="s">
        <v>948</v>
      </c>
      <c r="H270" s="10">
        <v>46218</v>
      </c>
      <c r="I270">
        <v>48322.879999999997</v>
      </c>
      <c r="J270">
        <v>0</v>
      </c>
      <c r="K270">
        <v>48322.879999999997</v>
      </c>
    </row>
    <row r="271" spans="1:11" x14ac:dyDescent="0.35">
      <c r="A271">
        <v>9300000556</v>
      </c>
      <c r="B271">
        <v>9400011123</v>
      </c>
      <c r="C271" s="10">
        <v>46173</v>
      </c>
      <c r="D271" t="s">
        <v>2032</v>
      </c>
      <c r="E271" s="11">
        <v>18853486</v>
      </c>
      <c r="F271" t="s">
        <v>435</v>
      </c>
      <c r="G271" t="s">
        <v>436</v>
      </c>
      <c r="H271" s="10">
        <v>46187</v>
      </c>
      <c r="I271">
        <v>85279.32</v>
      </c>
      <c r="J271">
        <v>0</v>
      </c>
      <c r="K271">
        <v>85279.32</v>
      </c>
    </row>
    <row r="272" spans="1:11" x14ac:dyDescent="0.35">
      <c r="A272">
        <v>7000000522</v>
      </c>
      <c r="B272">
        <v>9400011122</v>
      </c>
      <c r="C272" s="10">
        <v>46173</v>
      </c>
      <c r="D272" t="s">
        <v>2032</v>
      </c>
      <c r="E272" s="11">
        <v>123654</v>
      </c>
      <c r="F272" t="s">
        <v>341</v>
      </c>
      <c r="G272" t="s">
        <v>342</v>
      </c>
      <c r="H272" s="10">
        <v>46187</v>
      </c>
      <c r="I272">
        <v>77596.800000000003</v>
      </c>
      <c r="J272">
        <v>0</v>
      </c>
      <c r="K272">
        <v>77596.800000000003</v>
      </c>
    </row>
    <row r="273" spans="1:11" x14ac:dyDescent="0.35">
      <c r="A273">
        <v>2720000361</v>
      </c>
      <c r="B273">
        <v>9400011120</v>
      </c>
      <c r="C273" s="10">
        <v>46173</v>
      </c>
      <c r="D273" t="s">
        <v>2032</v>
      </c>
      <c r="E273" s="11">
        <v>18875821</v>
      </c>
      <c r="F273" t="s">
        <v>154</v>
      </c>
      <c r="G273" t="s">
        <v>155</v>
      </c>
      <c r="H273" s="10">
        <v>46218</v>
      </c>
      <c r="I273">
        <v>53930.720000000001</v>
      </c>
      <c r="J273">
        <v>0</v>
      </c>
      <c r="K273">
        <v>53930.720000000001</v>
      </c>
    </row>
    <row r="274" spans="1:11" x14ac:dyDescent="0.35">
      <c r="A274">
        <v>5100000687</v>
      </c>
      <c r="B274">
        <v>9400011118</v>
      </c>
      <c r="C274" s="10">
        <v>46173</v>
      </c>
      <c r="D274" t="s">
        <v>2032</v>
      </c>
      <c r="E274" s="11">
        <v>18822260</v>
      </c>
      <c r="F274" t="s">
        <v>304</v>
      </c>
      <c r="G274" t="s">
        <v>305</v>
      </c>
      <c r="H274" s="10">
        <v>46218</v>
      </c>
      <c r="I274">
        <v>71961.119999999995</v>
      </c>
      <c r="J274">
        <v>0</v>
      </c>
      <c r="K274">
        <v>71961.119999999995</v>
      </c>
    </row>
    <row r="275" spans="1:11" x14ac:dyDescent="0.35">
      <c r="A275">
        <v>5100000685</v>
      </c>
      <c r="B275">
        <v>9400011115</v>
      </c>
      <c r="C275" s="10">
        <v>46173</v>
      </c>
      <c r="D275" t="s">
        <v>2032</v>
      </c>
      <c r="E275" s="11">
        <v>18876914</v>
      </c>
      <c r="F275" t="s">
        <v>573</v>
      </c>
      <c r="G275" t="s">
        <v>574</v>
      </c>
      <c r="H275" s="10">
        <v>46218</v>
      </c>
      <c r="I275">
        <v>42957.37</v>
      </c>
      <c r="J275">
        <v>0</v>
      </c>
      <c r="K275">
        <v>42957.37</v>
      </c>
    </row>
    <row r="276" spans="1:11" x14ac:dyDescent="0.35">
      <c r="A276">
        <v>9100000964</v>
      </c>
      <c r="B276">
        <v>9400011113</v>
      </c>
      <c r="C276" s="10">
        <v>46173</v>
      </c>
      <c r="D276" t="s">
        <v>2032</v>
      </c>
      <c r="E276" s="11">
        <v>123</v>
      </c>
      <c r="F276" t="s">
        <v>861</v>
      </c>
      <c r="G276" t="s">
        <v>862</v>
      </c>
      <c r="H276" s="10">
        <v>46218</v>
      </c>
      <c r="I276">
        <v>16924.740000000002</v>
      </c>
      <c r="J276">
        <v>0</v>
      </c>
      <c r="K276">
        <v>16924.740000000002</v>
      </c>
    </row>
    <row r="277" spans="1:11" x14ac:dyDescent="0.35">
      <c r="A277">
        <v>2720000360</v>
      </c>
      <c r="B277">
        <v>9400011111</v>
      </c>
      <c r="C277" s="10">
        <v>46173</v>
      </c>
      <c r="D277" t="s">
        <v>2032</v>
      </c>
      <c r="E277" s="11">
        <v>18876066</v>
      </c>
      <c r="F277" t="s">
        <v>74</v>
      </c>
      <c r="G277" t="s">
        <v>75</v>
      </c>
      <c r="H277" s="10">
        <v>46218</v>
      </c>
      <c r="I277">
        <v>83830.740000000005</v>
      </c>
      <c r="J277">
        <v>0</v>
      </c>
      <c r="K277">
        <v>83830.740000000005</v>
      </c>
    </row>
    <row r="278" spans="1:11" x14ac:dyDescent="0.35">
      <c r="A278">
        <v>9300000555</v>
      </c>
      <c r="B278">
        <v>9400011110</v>
      </c>
      <c r="C278" s="10">
        <v>46173</v>
      </c>
      <c r="D278" t="s">
        <v>2032</v>
      </c>
      <c r="E278" s="11">
        <v>18821300</v>
      </c>
      <c r="F278" t="s">
        <v>621</v>
      </c>
      <c r="G278" t="s">
        <v>622</v>
      </c>
      <c r="H278" s="10">
        <v>46218</v>
      </c>
      <c r="I278">
        <v>86265.18</v>
      </c>
      <c r="J278">
        <v>0</v>
      </c>
      <c r="K278">
        <v>86265.18</v>
      </c>
    </row>
    <row r="279" spans="1:11" x14ac:dyDescent="0.35">
      <c r="A279">
        <v>5100000683</v>
      </c>
      <c r="B279">
        <v>9400011109</v>
      </c>
      <c r="C279" s="10">
        <v>46173</v>
      </c>
      <c r="D279" t="s">
        <v>2032</v>
      </c>
      <c r="E279" s="11">
        <v>18822456</v>
      </c>
      <c r="F279" t="s">
        <v>300</v>
      </c>
      <c r="G279" t="s">
        <v>301</v>
      </c>
      <c r="H279" s="10">
        <v>46218</v>
      </c>
      <c r="I279">
        <v>182642.76</v>
      </c>
      <c r="J279">
        <v>0</v>
      </c>
      <c r="K279">
        <v>182642.76</v>
      </c>
    </row>
    <row r="280" spans="1:11" x14ac:dyDescent="0.35">
      <c r="A280">
        <v>5100000682</v>
      </c>
      <c r="B280">
        <v>9400011106</v>
      </c>
      <c r="C280" s="10">
        <v>46173</v>
      </c>
      <c r="D280" t="s">
        <v>2032</v>
      </c>
      <c r="E280" s="11">
        <v>18822765</v>
      </c>
      <c r="F280" t="s">
        <v>887</v>
      </c>
      <c r="G280" t="s">
        <v>888</v>
      </c>
      <c r="H280" s="10">
        <v>46218</v>
      </c>
      <c r="I280">
        <v>123361.92</v>
      </c>
      <c r="J280">
        <v>0</v>
      </c>
      <c r="K280">
        <v>123361.92</v>
      </c>
    </row>
    <row r="281" spans="1:11" x14ac:dyDescent="0.35">
      <c r="A281">
        <v>9100000961</v>
      </c>
      <c r="B281">
        <v>9400011102</v>
      </c>
      <c r="C281" s="10">
        <v>46173</v>
      </c>
      <c r="D281" t="s">
        <v>2032</v>
      </c>
      <c r="E281" s="11">
        <v>123</v>
      </c>
      <c r="F281" t="s">
        <v>777</v>
      </c>
      <c r="G281" t="s">
        <v>778</v>
      </c>
      <c r="H281" s="10">
        <v>46187</v>
      </c>
      <c r="I281">
        <v>70233.600000000006</v>
      </c>
      <c r="J281">
        <v>0</v>
      </c>
      <c r="K281">
        <v>70233.600000000006</v>
      </c>
    </row>
    <row r="282" spans="1:11" x14ac:dyDescent="0.35">
      <c r="A282">
        <v>5100000680</v>
      </c>
      <c r="B282">
        <v>9400011101</v>
      </c>
      <c r="C282" s="10">
        <v>46173</v>
      </c>
      <c r="D282" t="s">
        <v>2032</v>
      </c>
      <c r="E282" s="11" t="s">
        <v>3677</v>
      </c>
      <c r="F282" t="s">
        <v>485</v>
      </c>
      <c r="G282" t="s">
        <v>486</v>
      </c>
      <c r="H282" s="10">
        <v>46218</v>
      </c>
      <c r="I282">
        <v>119043.12</v>
      </c>
      <c r="J282">
        <v>0</v>
      </c>
      <c r="K282">
        <v>119043.12</v>
      </c>
    </row>
    <row r="283" spans="1:11" x14ac:dyDescent="0.35">
      <c r="A283">
        <v>5100000679</v>
      </c>
      <c r="B283">
        <v>9400011095</v>
      </c>
      <c r="C283" s="10">
        <v>46173</v>
      </c>
      <c r="D283" t="s">
        <v>2032</v>
      </c>
      <c r="E283" s="11">
        <v>18797886</v>
      </c>
      <c r="F283" t="s">
        <v>923</v>
      </c>
      <c r="G283" t="s">
        <v>924</v>
      </c>
      <c r="H283" s="10">
        <v>46218</v>
      </c>
      <c r="I283">
        <v>154202.4</v>
      </c>
      <c r="J283">
        <v>0</v>
      </c>
      <c r="K283">
        <v>154202.4</v>
      </c>
    </row>
    <row r="284" spans="1:11" x14ac:dyDescent="0.35">
      <c r="A284">
        <v>9100000960</v>
      </c>
      <c r="B284">
        <v>9400011094</v>
      </c>
      <c r="C284" s="10">
        <v>46173</v>
      </c>
      <c r="D284" t="s">
        <v>2032</v>
      </c>
      <c r="E284" s="11">
        <v>18877619</v>
      </c>
      <c r="F284" t="s">
        <v>282</v>
      </c>
      <c r="G284" t="s">
        <v>283</v>
      </c>
      <c r="H284" s="10">
        <v>46218</v>
      </c>
      <c r="I284">
        <v>77551.14</v>
      </c>
      <c r="J284">
        <v>0</v>
      </c>
      <c r="K284">
        <v>77551.14</v>
      </c>
    </row>
    <row r="285" spans="1:11" x14ac:dyDescent="0.35">
      <c r="A285">
        <v>9100000959</v>
      </c>
      <c r="B285">
        <v>9400011091</v>
      </c>
      <c r="C285" s="10">
        <v>46173</v>
      </c>
      <c r="D285" t="s">
        <v>2032</v>
      </c>
      <c r="E285" s="11">
        <v>18877619</v>
      </c>
      <c r="F285" t="s">
        <v>282</v>
      </c>
      <c r="G285" t="s">
        <v>283</v>
      </c>
      <c r="H285" s="10">
        <v>46187</v>
      </c>
      <c r="I285">
        <v>215496.32000000001</v>
      </c>
      <c r="J285">
        <v>0</v>
      </c>
      <c r="K285">
        <v>215496.32000000001</v>
      </c>
    </row>
    <row r="286" spans="1:11" x14ac:dyDescent="0.35">
      <c r="A286">
        <v>3000000872</v>
      </c>
      <c r="B286">
        <v>9400011089</v>
      </c>
      <c r="C286" s="10">
        <v>46173</v>
      </c>
      <c r="D286" t="s">
        <v>2032</v>
      </c>
      <c r="E286" s="11">
        <v>18877232</v>
      </c>
      <c r="F286" t="s">
        <v>1205</v>
      </c>
      <c r="G286" t="s">
        <v>1206</v>
      </c>
      <c r="H286" s="10">
        <v>46188</v>
      </c>
      <c r="I286">
        <v>135464</v>
      </c>
      <c r="J286">
        <v>0</v>
      </c>
      <c r="K286">
        <v>135464</v>
      </c>
    </row>
    <row r="287" spans="1:11" x14ac:dyDescent="0.35">
      <c r="A287">
        <v>8000000602</v>
      </c>
      <c r="B287">
        <v>9400011088</v>
      </c>
      <c r="C287" s="10">
        <v>46173</v>
      </c>
      <c r="D287" t="s">
        <v>2032</v>
      </c>
      <c r="E287" s="11">
        <v>18877220</v>
      </c>
      <c r="F287" t="s">
        <v>689</v>
      </c>
      <c r="G287" t="s">
        <v>690</v>
      </c>
      <c r="H287" s="10">
        <v>46218</v>
      </c>
      <c r="I287">
        <v>59740.78</v>
      </c>
      <c r="J287">
        <v>0</v>
      </c>
      <c r="K287">
        <v>59740.78</v>
      </c>
    </row>
    <row r="288" spans="1:11" x14ac:dyDescent="0.35">
      <c r="A288">
        <v>8000000601</v>
      </c>
      <c r="B288">
        <v>9400011085</v>
      </c>
      <c r="C288" s="10">
        <v>46173</v>
      </c>
      <c r="D288" t="s">
        <v>2032</v>
      </c>
      <c r="E288" s="11">
        <v>18877180</v>
      </c>
      <c r="F288" t="s">
        <v>693</v>
      </c>
      <c r="G288" t="s">
        <v>694</v>
      </c>
      <c r="H288" s="10">
        <v>46218</v>
      </c>
      <c r="I288">
        <v>32747.26</v>
      </c>
      <c r="J288">
        <v>0</v>
      </c>
      <c r="K288">
        <v>32747.26</v>
      </c>
    </row>
    <row r="289" spans="1:11" x14ac:dyDescent="0.35">
      <c r="A289">
        <v>9300000553</v>
      </c>
      <c r="B289">
        <v>9400011084</v>
      </c>
      <c r="C289" s="10">
        <v>46173</v>
      </c>
      <c r="D289" t="s">
        <v>2032</v>
      </c>
      <c r="E289" s="11">
        <v>18854439</v>
      </c>
      <c r="F289" t="s">
        <v>877</v>
      </c>
      <c r="G289" t="s">
        <v>878</v>
      </c>
      <c r="H289" s="10">
        <v>46187</v>
      </c>
      <c r="I289">
        <v>23165.759999999998</v>
      </c>
      <c r="J289">
        <v>0</v>
      </c>
      <c r="K289">
        <v>23165.759999999998</v>
      </c>
    </row>
    <row r="290" spans="1:11" x14ac:dyDescent="0.35">
      <c r="A290">
        <v>5100000678</v>
      </c>
      <c r="B290">
        <v>9400011082</v>
      </c>
      <c r="C290" s="10">
        <v>46173</v>
      </c>
      <c r="D290" t="s">
        <v>2032</v>
      </c>
      <c r="E290" s="11" t="s">
        <v>3676</v>
      </c>
      <c r="F290" t="s">
        <v>715</v>
      </c>
      <c r="G290" t="s">
        <v>716</v>
      </c>
      <c r="H290" s="10">
        <v>46218</v>
      </c>
      <c r="I290">
        <v>310829</v>
      </c>
      <c r="J290">
        <v>0</v>
      </c>
      <c r="K290">
        <v>310829</v>
      </c>
    </row>
    <row r="291" spans="1:11" x14ac:dyDescent="0.35">
      <c r="A291">
        <v>8000000600</v>
      </c>
      <c r="B291">
        <v>9400011081</v>
      </c>
      <c r="C291" s="10">
        <v>46173</v>
      </c>
      <c r="D291" t="s">
        <v>2032</v>
      </c>
      <c r="E291" s="11">
        <v>18877160</v>
      </c>
      <c r="F291" t="s">
        <v>42</v>
      </c>
      <c r="G291" t="s">
        <v>43</v>
      </c>
      <c r="H291" s="10">
        <v>46187</v>
      </c>
      <c r="I291">
        <v>48087.360000000001</v>
      </c>
      <c r="J291">
        <v>0</v>
      </c>
      <c r="K291">
        <v>48087.360000000001</v>
      </c>
    </row>
    <row r="292" spans="1:11" x14ac:dyDescent="0.35">
      <c r="A292">
        <v>3000000871</v>
      </c>
      <c r="B292">
        <v>9400011078</v>
      </c>
      <c r="C292" s="10">
        <v>46173</v>
      </c>
      <c r="D292" t="s">
        <v>2032</v>
      </c>
      <c r="E292" s="11">
        <v>18877232</v>
      </c>
      <c r="F292" t="s">
        <v>343</v>
      </c>
      <c r="G292" t="s">
        <v>344</v>
      </c>
      <c r="H292" s="10">
        <v>46218</v>
      </c>
      <c r="I292">
        <v>51878.7</v>
      </c>
      <c r="J292">
        <v>0</v>
      </c>
      <c r="K292">
        <v>51878.7</v>
      </c>
    </row>
    <row r="293" spans="1:11" x14ac:dyDescent="0.35">
      <c r="A293">
        <v>8000000599</v>
      </c>
      <c r="B293">
        <v>9400011077</v>
      </c>
      <c r="C293" s="10">
        <v>46173</v>
      </c>
      <c r="D293" t="s">
        <v>2032</v>
      </c>
      <c r="E293" s="11">
        <v>18877153</v>
      </c>
      <c r="F293" t="s">
        <v>673</v>
      </c>
      <c r="G293" t="s">
        <v>674</v>
      </c>
      <c r="H293" s="10">
        <v>46218</v>
      </c>
      <c r="I293">
        <v>14996.44</v>
      </c>
      <c r="J293">
        <v>0</v>
      </c>
      <c r="K293">
        <v>14996.44</v>
      </c>
    </row>
    <row r="294" spans="1:11" x14ac:dyDescent="0.35">
      <c r="A294">
        <v>5100000677</v>
      </c>
      <c r="B294">
        <v>9400011074</v>
      </c>
      <c r="C294" s="10">
        <v>46173</v>
      </c>
      <c r="D294" t="s">
        <v>2032</v>
      </c>
      <c r="E294" s="11">
        <v>18753550</v>
      </c>
      <c r="F294" t="s">
        <v>211</v>
      </c>
      <c r="G294" t="s">
        <v>212</v>
      </c>
      <c r="H294" s="10">
        <v>46218</v>
      </c>
      <c r="I294">
        <v>205603.20000000001</v>
      </c>
      <c r="J294">
        <v>0</v>
      </c>
      <c r="K294">
        <v>205603.20000000001</v>
      </c>
    </row>
    <row r="295" spans="1:11" x14ac:dyDescent="0.35">
      <c r="A295">
        <v>8000000598</v>
      </c>
      <c r="B295">
        <v>9400011073</v>
      </c>
      <c r="C295" s="10">
        <v>46173</v>
      </c>
      <c r="D295" t="s">
        <v>2032</v>
      </c>
      <c r="E295" s="11">
        <v>18877108</v>
      </c>
      <c r="F295" t="s">
        <v>269</v>
      </c>
      <c r="G295" t="s">
        <v>270</v>
      </c>
      <c r="H295" s="10">
        <v>46187</v>
      </c>
      <c r="I295">
        <v>67968</v>
      </c>
      <c r="J295">
        <v>0</v>
      </c>
      <c r="K295">
        <v>67968</v>
      </c>
    </row>
    <row r="296" spans="1:11" x14ac:dyDescent="0.35">
      <c r="A296">
        <v>8000000597</v>
      </c>
      <c r="B296">
        <v>9400011071</v>
      </c>
      <c r="C296" s="10">
        <v>46173</v>
      </c>
      <c r="D296" t="s">
        <v>2032</v>
      </c>
      <c r="E296" s="11">
        <v>18877593</v>
      </c>
      <c r="F296" t="s">
        <v>743</v>
      </c>
      <c r="G296" t="s">
        <v>744</v>
      </c>
      <c r="H296" s="10">
        <v>46187</v>
      </c>
      <c r="I296">
        <v>166804.79999999999</v>
      </c>
      <c r="J296">
        <v>0</v>
      </c>
      <c r="K296">
        <v>166804.79999999999</v>
      </c>
    </row>
    <row r="297" spans="1:11" x14ac:dyDescent="0.35">
      <c r="A297">
        <v>3000000870</v>
      </c>
      <c r="B297">
        <v>9400011070</v>
      </c>
      <c r="C297" s="10">
        <v>46173</v>
      </c>
      <c r="D297" t="s">
        <v>2032</v>
      </c>
      <c r="E297" s="11" t="s">
        <v>2033</v>
      </c>
      <c r="F297" t="s">
        <v>447</v>
      </c>
      <c r="G297" t="s">
        <v>448</v>
      </c>
      <c r="H297" s="10">
        <v>46173</v>
      </c>
      <c r="I297">
        <v>31.28</v>
      </c>
      <c r="J297">
        <v>0</v>
      </c>
      <c r="K297">
        <v>31.28</v>
      </c>
    </row>
    <row r="298" spans="1:11" x14ac:dyDescent="0.35">
      <c r="A298">
        <v>8000000596</v>
      </c>
      <c r="B298">
        <v>9400011067</v>
      </c>
      <c r="C298" s="10">
        <v>46173</v>
      </c>
      <c r="D298" t="s">
        <v>2032</v>
      </c>
      <c r="E298" s="11">
        <v>18877594</v>
      </c>
      <c r="F298" t="s">
        <v>202</v>
      </c>
      <c r="G298" t="s">
        <v>203</v>
      </c>
      <c r="H298" s="10">
        <v>46187</v>
      </c>
      <c r="I298">
        <v>166804.79999999999</v>
      </c>
      <c r="J298">
        <v>0</v>
      </c>
      <c r="K298">
        <v>166804.79999999999</v>
      </c>
    </row>
    <row r="299" spans="1:11" x14ac:dyDescent="0.35">
      <c r="A299">
        <v>9300000551</v>
      </c>
      <c r="B299">
        <v>9400011066</v>
      </c>
      <c r="C299" s="10">
        <v>46173</v>
      </c>
      <c r="D299" t="s">
        <v>2032</v>
      </c>
      <c r="E299" s="11">
        <v>18854439</v>
      </c>
      <c r="F299" t="s">
        <v>963</v>
      </c>
      <c r="G299" t="s">
        <v>964</v>
      </c>
      <c r="H299" s="10">
        <v>46187</v>
      </c>
      <c r="I299">
        <v>196720.16</v>
      </c>
      <c r="J299">
        <v>0</v>
      </c>
      <c r="K299">
        <v>196720.16</v>
      </c>
    </row>
    <row r="300" spans="1:11" x14ac:dyDescent="0.35">
      <c r="A300">
        <v>5100000676</v>
      </c>
      <c r="B300">
        <v>9400011065</v>
      </c>
      <c r="C300" s="10">
        <v>46173</v>
      </c>
      <c r="D300" t="s">
        <v>2032</v>
      </c>
      <c r="E300" s="11">
        <v>18877190</v>
      </c>
      <c r="F300" t="s">
        <v>296</v>
      </c>
      <c r="G300" t="s">
        <v>297</v>
      </c>
      <c r="H300" s="10">
        <v>46218</v>
      </c>
      <c r="I300">
        <v>396816.8</v>
      </c>
      <c r="J300">
        <v>0</v>
      </c>
      <c r="K300">
        <v>396816.8</v>
      </c>
    </row>
    <row r="301" spans="1:11" x14ac:dyDescent="0.35">
      <c r="A301">
        <v>5100000675</v>
      </c>
      <c r="B301">
        <v>9400011060</v>
      </c>
      <c r="C301" s="10">
        <v>46173</v>
      </c>
      <c r="D301" t="s">
        <v>2032</v>
      </c>
      <c r="E301" s="11" t="s">
        <v>3678</v>
      </c>
      <c r="F301" t="s">
        <v>931</v>
      </c>
      <c r="G301" t="s">
        <v>932</v>
      </c>
      <c r="H301" s="10">
        <v>46218</v>
      </c>
      <c r="I301">
        <v>249807.88</v>
      </c>
      <c r="J301">
        <v>0</v>
      </c>
      <c r="K301">
        <v>249807.88</v>
      </c>
    </row>
    <row r="302" spans="1:11" x14ac:dyDescent="0.35">
      <c r="A302">
        <v>3000000868</v>
      </c>
      <c r="B302">
        <v>9400011058</v>
      </c>
      <c r="C302" s="10">
        <v>46173</v>
      </c>
      <c r="D302" t="s">
        <v>2032</v>
      </c>
      <c r="E302" s="11" t="s">
        <v>2033</v>
      </c>
      <c r="F302" t="s">
        <v>447</v>
      </c>
      <c r="G302" t="s">
        <v>448</v>
      </c>
      <c r="H302" s="10">
        <v>46173</v>
      </c>
      <c r="I302">
        <v>40.200000000000003</v>
      </c>
      <c r="J302">
        <v>0</v>
      </c>
      <c r="K302">
        <v>40.200000000000003</v>
      </c>
    </row>
    <row r="303" spans="1:11" x14ac:dyDescent="0.35">
      <c r="A303">
        <v>9100000955</v>
      </c>
      <c r="B303">
        <v>9400011056</v>
      </c>
      <c r="C303" s="10">
        <v>46173</v>
      </c>
      <c r="D303" t="s">
        <v>2032</v>
      </c>
      <c r="E303" s="11">
        <v>0</v>
      </c>
      <c r="F303" t="s">
        <v>112</v>
      </c>
      <c r="G303" t="s">
        <v>113</v>
      </c>
      <c r="H303" s="10">
        <v>46218</v>
      </c>
      <c r="I303">
        <v>55404.97</v>
      </c>
      <c r="J303">
        <v>0</v>
      </c>
      <c r="K303">
        <v>55404.97</v>
      </c>
    </row>
    <row r="304" spans="1:11" x14ac:dyDescent="0.35">
      <c r="A304">
        <v>9300000549</v>
      </c>
      <c r="B304">
        <v>9400011055</v>
      </c>
      <c r="C304" s="10">
        <v>46173</v>
      </c>
      <c r="D304" t="s">
        <v>2032</v>
      </c>
      <c r="E304" s="11">
        <v>18876088</v>
      </c>
      <c r="F304" t="s">
        <v>3547</v>
      </c>
      <c r="G304" t="s">
        <v>3548</v>
      </c>
      <c r="H304" s="10">
        <v>46173</v>
      </c>
      <c r="I304">
        <v>44204.87</v>
      </c>
      <c r="J304">
        <v>39914.910000000003</v>
      </c>
      <c r="K304">
        <v>4289.9599999999991</v>
      </c>
    </row>
    <row r="305" spans="1:11" x14ac:dyDescent="0.35">
      <c r="A305">
        <v>3000000867</v>
      </c>
      <c r="B305">
        <v>9400011054</v>
      </c>
      <c r="C305" s="10">
        <v>46173</v>
      </c>
      <c r="D305" t="s">
        <v>2032</v>
      </c>
      <c r="E305" s="11">
        <v>18877032</v>
      </c>
      <c r="F305" t="s">
        <v>809</v>
      </c>
      <c r="G305" t="s">
        <v>810</v>
      </c>
      <c r="H305" s="10">
        <v>46218</v>
      </c>
      <c r="I305">
        <v>103757.4</v>
      </c>
      <c r="J305">
        <v>0</v>
      </c>
      <c r="K305">
        <v>103757.4</v>
      </c>
    </row>
    <row r="306" spans="1:11" x14ac:dyDescent="0.35">
      <c r="A306">
        <v>5100000674</v>
      </c>
      <c r="B306">
        <v>9400011053</v>
      </c>
      <c r="C306" s="10">
        <v>46173</v>
      </c>
      <c r="D306" t="s">
        <v>2032</v>
      </c>
      <c r="E306" s="11">
        <v>18877128</v>
      </c>
      <c r="F306" t="s">
        <v>298</v>
      </c>
      <c r="G306" t="s">
        <v>299</v>
      </c>
      <c r="H306" s="10">
        <v>46187</v>
      </c>
      <c r="I306">
        <v>46558.080000000002</v>
      </c>
      <c r="J306">
        <v>0</v>
      </c>
      <c r="K306">
        <v>46558.080000000002</v>
      </c>
    </row>
    <row r="307" spans="1:11" x14ac:dyDescent="0.35">
      <c r="A307">
        <v>9100000954</v>
      </c>
      <c r="B307">
        <v>9400011050</v>
      </c>
      <c r="C307" s="10">
        <v>46173</v>
      </c>
      <c r="D307" t="s">
        <v>2032</v>
      </c>
      <c r="E307" s="11">
        <v>0</v>
      </c>
      <c r="F307" t="s">
        <v>112</v>
      </c>
      <c r="G307" t="s">
        <v>113</v>
      </c>
      <c r="H307" s="10">
        <v>46187</v>
      </c>
      <c r="I307">
        <v>95544.6</v>
      </c>
      <c r="J307">
        <v>0</v>
      </c>
      <c r="K307">
        <v>95544.6</v>
      </c>
    </row>
    <row r="308" spans="1:11" x14ac:dyDescent="0.35">
      <c r="A308">
        <v>3000000865</v>
      </c>
      <c r="B308">
        <v>9400011049</v>
      </c>
      <c r="C308" s="10">
        <v>46173</v>
      </c>
      <c r="D308" t="s">
        <v>2032</v>
      </c>
      <c r="E308" s="11" t="s">
        <v>2033</v>
      </c>
      <c r="F308" t="s">
        <v>457</v>
      </c>
      <c r="G308" t="s">
        <v>458</v>
      </c>
      <c r="H308" s="10">
        <v>46173</v>
      </c>
      <c r="I308">
        <v>20.66</v>
      </c>
      <c r="J308">
        <v>0</v>
      </c>
      <c r="K308">
        <v>20.66</v>
      </c>
    </row>
    <row r="309" spans="1:11" x14ac:dyDescent="0.35">
      <c r="A309">
        <v>5100000673</v>
      </c>
      <c r="B309">
        <v>9400011048</v>
      </c>
      <c r="C309" s="10">
        <v>46173</v>
      </c>
      <c r="D309" t="s">
        <v>2032</v>
      </c>
      <c r="E309" s="11">
        <v>18877111</v>
      </c>
      <c r="F309" t="s">
        <v>3524</v>
      </c>
      <c r="G309" t="s">
        <v>3525</v>
      </c>
      <c r="H309" s="10">
        <v>46187</v>
      </c>
      <c r="I309">
        <v>95367.6</v>
      </c>
      <c r="J309">
        <v>0</v>
      </c>
      <c r="K309">
        <v>95367.6</v>
      </c>
    </row>
    <row r="310" spans="1:11" x14ac:dyDescent="0.35">
      <c r="A310">
        <v>3000000864</v>
      </c>
      <c r="B310">
        <v>9400011045</v>
      </c>
      <c r="C310" s="10">
        <v>46173</v>
      </c>
      <c r="D310" t="s">
        <v>2032</v>
      </c>
      <c r="E310" s="11">
        <v>18876982</v>
      </c>
      <c r="F310" t="s">
        <v>3549</v>
      </c>
      <c r="G310" t="s">
        <v>3550</v>
      </c>
      <c r="H310" s="10">
        <v>46173</v>
      </c>
      <c r="I310">
        <v>6311.96</v>
      </c>
      <c r="J310">
        <v>5474.58</v>
      </c>
      <c r="K310">
        <v>837.38000000000011</v>
      </c>
    </row>
    <row r="311" spans="1:11" x14ac:dyDescent="0.35">
      <c r="A311">
        <v>3000000863</v>
      </c>
      <c r="B311">
        <v>9400011044</v>
      </c>
      <c r="C311" s="10">
        <v>46173</v>
      </c>
      <c r="D311" t="s">
        <v>2032</v>
      </c>
      <c r="E311" s="11" t="s">
        <v>2033</v>
      </c>
      <c r="F311" t="s">
        <v>457</v>
      </c>
      <c r="G311" t="s">
        <v>458</v>
      </c>
      <c r="H311" s="10">
        <v>46173</v>
      </c>
      <c r="I311">
        <v>35.840000000000003</v>
      </c>
      <c r="J311">
        <v>0</v>
      </c>
      <c r="K311">
        <v>35.840000000000003</v>
      </c>
    </row>
    <row r="312" spans="1:11" x14ac:dyDescent="0.35">
      <c r="A312">
        <v>7000000521</v>
      </c>
      <c r="B312">
        <v>9400011038</v>
      </c>
      <c r="C312" s="10">
        <v>46173</v>
      </c>
      <c r="D312" t="s">
        <v>2032</v>
      </c>
      <c r="E312" s="11">
        <v>236541</v>
      </c>
      <c r="F312" t="s">
        <v>543</v>
      </c>
      <c r="G312" t="s">
        <v>544</v>
      </c>
      <c r="H312" s="10">
        <v>46218</v>
      </c>
      <c r="I312">
        <v>254289.68</v>
      </c>
      <c r="J312">
        <v>0</v>
      </c>
      <c r="K312">
        <v>254289.68</v>
      </c>
    </row>
    <row r="313" spans="1:11" x14ac:dyDescent="0.35">
      <c r="A313">
        <v>2730000521</v>
      </c>
      <c r="B313">
        <v>9400011035</v>
      </c>
      <c r="C313" s="10">
        <v>46173</v>
      </c>
      <c r="D313" t="s">
        <v>2032</v>
      </c>
      <c r="E313" s="11">
        <v>18877229</v>
      </c>
      <c r="F313" t="s">
        <v>3551</v>
      </c>
      <c r="G313" t="s">
        <v>3552</v>
      </c>
      <c r="H313" s="10">
        <v>46187</v>
      </c>
      <c r="I313">
        <v>120076.8</v>
      </c>
      <c r="J313">
        <v>0</v>
      </c>
      <c r="K313">
        <v>120076.8</v>
      </c>
    </row>
    <row r="314" spans="1:11" x14ac:dyDescent="0.35">
      <c r="A314">
        <v>9300000546</v>
      </c>
      <c r="B314">
        <v>9400011033</v>
      </c>
      <c r="C314" s="10">
        <v>46173</v>
      </c>
      <c r="D314" t="s">
        <v>2032</v>
      </c>
      <c r="E314" s="11">
        <v>18865605</v>
      </c>
      <c r="F314" t="s">
        <v>1127</v>
      </c>
      <c r="G314" t="s">
        <v>1128</v>
      </c>
      <c r="H314" s="10">
        <v>46218</v>
      </c>
      <c r="I314">
        <v>40695.839999999997</v>
      </c>
      <c r="J314">
        <v>0</v>
      </c>
      <c r="K314">
        <v>40695.839999999997</v>
      </c>
    </row>
    <row r="315" spans="1:11" x14ac:dyDescent="0.35">
      <c r="A315">
        <v>5200000343</v>
      </c>
      <c r="B315">
        <v>9400011032</v>
      </c>
      <c r="C315" s="10">
        <v>46173</v>
      </c>
      <c r="D315" t="s">
        <v>2032</v>
      </c>
      <c r="E315" s="11" t="s">
        <v>2036</v>
      </c>
      <c r="F315" t="s">
        <v>411</v>
      </c>
      <c r="G315" t="s">
        <v>412</v>
      </c>
      <c r="H315" s="10">
        <v>46187</v>
      </c>
      <c r="I315">
        <v>77.88</v>
      </c>
      <c r="J315">
        <v>0</v>
      </c>
      <c r="K315">
        <v>77.88</v>
      </c>
    </row>
    <row r="316" spans="1:11" x14ac:dyDescent="0.35">
      <c r="A316">
        <v>5100000671</v>
      </c>
      <c r="B316">
        <v>9400011031</v>
      </c>
      <c r="C316" s="10">
        <v>46173</v>
      </c>
      <c r="D316" t="s">
        <v>2032</v>
      </c>
      <c r="E316" s="11">
        <v>18853242</v>
      </c>
      <c r="F316" t="s">
        <v>333</v>
      </c>
      <c r="G316" t="s">
        <v>334</v>
      </c>
      <c r="H316" s="10">
        <v>46187</v>
      </c>
      <c r="I316">
        <v>294791.42</v>
      </c>
      <c r="J316">
        <v>0</v>
      </c>
      <c r="K316">
        <v>294791.42</v>
      </c>
    </row>
    <row r="317" spans="1:11" x14ac:dyDescent="0.35">
      <c r="A317">
        <v>7000000520</v>
      </c>
      <c r="B317">
        <v>9400011030</v>
      </c>
      <c r="C317" s="10">
        <v>46173</v>
      </c>
      <c r="D317" t="s">
        <v>2032</v>
      </c>
      <c r="E317" s="11">
        <v>126532</v>
      </c>
      <c r="F317" t="s">
        <v>3510</v>
      </c>
      <c r="G317" t="s">
        <v>3511</v>
      </c>
      <c r="H317" s="10">
        <v>46218</v>
      </c>
      <c r="I317">
        <v>324264</v>
      </c>
      <c r="J317">
        <v>0</v>
      </c>
      <c r="K317">
        <v>324264</v>
      </c>
    </row>
    <row r="318" spans="1:11" x14ac:dyDescent="0.35">
      <c r="A318">
        <v>7000000519</v>
      </c>
      <c r="B318">
        <v>9400011028</v>
      </c>
      <c r="C318" s="10">
        <v>46173</v>
      </c>
      <c r="D318" t="s">
        <v>2032</v>
      </c>
      <c r="E318" s="11">
        <v>123654</v>
      </c>
      <c r="F318" t="s">
        <v>351</v>
      </c>
      <c r="G318" t="s">
        <v>352</v>
      </c>
      <c r="H318" s="10">
        <v>46218</v>
      </c>
      <c r="I318">
        <v>12735.94</v>
      </c>
      <c r="J318">
        <v>0</v>
      </c>
      <c r="K318">
        <v>12735.94</v>
      </c>
    </row>
    <row r="319" spans="1:11" x14ac:dyDescent="0.35">
      <c r="A319">
        <v>9300000544</v>
      </c>
      <c r="B319">
        <v>9400011027</v>
      </c>
      <c r="C319" s="10">
        <v>46173</v>
      </c>
      <c r="D319" t="s">
        <v>2032</v>
      </c>
      <c r="E319" s="11">
        <v>18854843</v>
      </c>
      <c r="F319" t="s">
        <v>937</v>
      </c>
      <c r="G319" t="s">
        <v>938</v>
      </c>
      <c r="H319" s="10">
        <v>46218</v>
      </c>
      <c r="I319">
        <v>28489.919999999998</v>
      </c>
      <c r="J319">
        <v>0</v>
      </c>
      <c r="K319">
        <v>28489.919999999998</v>
      </c>
    </row>
    <row r="320" spans="1:11" x14ac:dyDescent="0.35">
      <c r="A320">
        <v>9300000543</v>
      </c>
      <c r="B320">
        <v>9400011019</v>
      </c>
      <c r="C320" s="10">
        <v>46173</v>
      </c>
      <c r="D320" t="s">
        <v>2032</v>
      </c>
      <c r="E320" s="11">
        <v>18855296</v>
      </c>
      <c r="F320" t="s">
        <v>20</v>
      </c>
      <c r="G320" t="s">
        <v>21</v>
      </c>
      <c r="H320" s="10">
        <v>46218</v>
      </c>
      <c r="I320">
        <v>187875.86</v>
      </c>
      <c r="J320">
        <v>0</v>
      </c>
      <c r="K320">
        <v>187875.86</v>
      </c>
    </row>
    <row r="321" spans="1:11" x14ac:dyDescent="0.35">
      <c r="A321">
        <v>5200000341</v>
      </c>
      <c r="B321">
        <v>9400011016</v>
      </c>
      <c r="C321" s="10">
        <v>46173</v>
      </c>
      <c r="D321" t="s">
        <v>2032</v>
      </c>
      <c r="E321" s="11" t="s">
        <v>2033</v>
      </c>
      <c r="F321" t="s">
        <v>1083</v>
      </c>
      <c r="G321" t="s">
        <v>1084</v>
      </c>
      <c r="H321" s="10">
        <v>46218</v>
      </c>
      <c r="I321">
        <v>116.03</v>
      </c>
      <c r="J321">
        <v>0</v>
      </c>
      <c r="K321">
        <v>116.03</v>
      </c>
    </row>
    <row r="322" spans="1:11" x14ac:dyDescent="0.35">
      <c r="A322">
        <v>7000000517</v>
      </c>
      <c r="B322">
        <v>9400011014</v>
      </c>
      <c r="C322" s="10">
        <v>46173</v>
      </c>
      <c r="D322" t="s">
        <v>2032</v>
      </c>
      <c r="E322" s="11">
        <v>123654</v>
      </c>
      <c r="F322" t="s">
        <v>3514</v>
      </c>
      <c r="G322" t="s">
        <v>3515</v>
      </c>
      <c r="H322" s="10">
        <v>46218</v>
      </c>
      <c r="I322">
        <v>44632.32</v>
      </c>
      <c r="J322">
        <v>0</v>
      </c>
      <c r="K322">
        <v>44632.32</v>
      </c>
    </row>
    <row r="323" spans="1:11" x14ac:dyDescent="0.35">
      <c r="A323">
        <v>9200000683</v>
      </c>
      <c r="B323">
        <v>9400011008</v>
      </c>
      <c r="C323" s="10">
        <v>46173</v>
      </c>
      <c r="D323" t="s">
        <v>2032</v>
      </c>
      <c r="E323" s="11">
        <v>18877033</v>
      </c>
      <c r="F323" t="s">
        <v>124</v>
      </c>
      <c r="G323" t="s">
        <v>125</v>
      </c>
      <c r="H323" s="10">
        <v>46218</v>
      </c>
      <c r="I323">
        <v>8364.32</v>
      </c>
      <c r="J323">
        <v>0</v>
      </c>
      <c r="K323">
        <v>8364.32</v>
      </c>
    </row>
    <row r="324" spans="1:11" x14ac:dyDescent="0.35">
      <c r="A324">
        <v>3000000861</v>
      </c>
      <c r="B324">
        <v>9400011007</v>
      </c>
      <c r="C324" s="10">
        <v>46173</v>
      </c>
      <c r="D324" t="s">
        <v>2032</v>
      </c>
      <c r="E324" s="11">
        <v>18877331</v>
      </c>
      <c r="F324" t="s">
        <v>1121</v>
      </c>
      <c r="G324" t="s">
        <v>1122</v>
      </c>
      <c r="H324" s="10">
        <v>46187</v>
      </c>
      <c r="I324">
        <v>37382.400000000001</v>
      </c>
      <c r="J324">
        <v>0</v>
      </c>
      <c r="K324">
        <v>37382.400000000001</v>
      </c>
    </row>
    <row r="325" spans="1:11" x14ac:dyDescent="0.35">
      <c r="A325">
        <v>5200000339</v>
      </c>
      <c r="B325">
        <v>9400010999</v>
      </c>
      <c r="C325" s="10">
        <v>46173</v>
      </c>
      <c r="D325" t="s">
        <v>2032</v>
      </c>
      <c r="E325" s="11">
        <v>18876209</v>
      </c>
      <c r="F325" t="s">
        <v>1083</v>
      </c>
      <c r="G325" t="s">
        <v>1084</v>
      </c>
      <c r="H325" s="10">
        <v>46218</v>
      </c>
      <c r="I325">
        <v>235823.7</v>
      </c>
      <c r="J325">
        <v>0</v>
      </c>
      <c r="K325">
        <v>235823.7</v>
      </c>
    </row>
    <row r="326" spans="1:11" x14ac:dyDescent="0.35">
      <c r="A326">
        <v>5200000338</v>
      </c>
      <c r="B326">
        <v>9400010998</v>
      </c>
      <c r="C326" s="10">
        <v>46173</v>
      </c>
      <c r="D326" t="s">
        <v>2032</v>
      </c>
      <c r="E326" s="11">
        <v>18855558</v>
      </c>
      <c r="F326" t="s">
        <v>1251</v>
      </c>
      <c r="G326" t="s">
        <v>1252</v>
      </c>
      <c r="H326" s="10">
        <v>46218</v>
      </c>
      <c r="I326">
        <v>52392</v>
      </c>
      <c r="J326">
        <v>0</v>
      </c>
      <c r="K326">
        <v>52392</v>
      </c>
    </row>
    <row r="327" spans="1:11" x14ac:dyDescent="0.35">
      <c r="A327">
        <v>5200000337</v>
      </c>
      <c r="B327">
        <v>9400010997</v>
      </c>
      <c r="C327" s="10">
        <v>46173</v>
      </c>
      <c r="D327" t="s">
        <v>2032</v>
      </c>
      <c r="E327" s="11">
        <v>18853576</v>
      </c>
      <c r="F327" t="s">
        <v>170</v>
      </c>
      <c r="G327" t="s">
        <v>171</v>
      </c>
      <c r="H327" s="10">
        <v>46218</v>
      </c>
      <c r="I327">
        <v>29041.1</v>
      </c>
      <c r="J327">
        <v>0</v>
      </c>
      <c r="K327">
        <v>29041.1</v>
      </c>
    </row>
    <row r="328" spans="1:11" x14ac:dyDescent="0.35">
      <c r="A328">
        <v>5200000335</v>
      </c>
      <c r="B328">
        <v>9400010995</v>
      </c>
      <c r="C328" s="10">
        <v>46173</v>
      </c>
      <c r="D328" t="s">
        <v>2032</v>
      </c>
      <c r="E328" s="11">
        <v>18877289</v>
      </c>
      <c r="F328" t="s">
        <v>779</v>
      </c>
      <c r="G328" t="s">
        <v>780</v>
      </c>
      <c r="H328" s="10">
        <v>46218</v>
      </c>
      <c r="I328">
        <v>20981</v>
      </c>
      <c r="J328">
        <v>0</v>
      </c>
      <c r="K328">
        <v>20981</v>
      </c>
    </row>
    <row r="329" spans="1:11" x14ac:dyDescent="0.35">
      <c r="A329">
        <v>5200000334</v>
      </c>
      <c r="B329">
        <v>9400010994</v>
      </c>
      <c r="C329" s="10">
        <v>46173</v>
      </c>
      <c r="D329" t="s">
        <v>2032</v>
      </c>
      <c r="E329" s="11">
        <v>18877274</v>
      </c>
      <c r="F329" t="s">
        <v>779</v>
      </c>
      <c r="G329" t="s">
        <v>780</v>
      </c>
      <c r="H329" s="10">
        <v>46187</v>
      </c>
      <c r="I329">
        <v>39778.28</v>
      </c>
      <c r="J329">
        <v>0</v>
      </c>
      <c r="K329">
        <v>39778.28</v>
      </c>
    </row>
    <row r="330" spans="1:11" x14ac:dyDescent="0.35">
      <c r="A330">
        <v>5200000333</v>
      </c>
      <c r="B330">
        <v>9400010993</v>
      </c>
      <c r="C330" s="10">
        <v>46173</v>
      </c>
      <c r="D330" t="s">
        <v>2032</v>
      </c>
      <c r="E330" s="11">
        <v>18876629</v>
      </c>
      <c r="F330" t="s">
        <v>769</v>
      </c>
      <c r="G330" t="s">
        <v>770</v>
      </c>
      <c r="H330" s="10">
        <v>46187</v>
      </c>
      <c r="I330">
        <v>947151.78</v>
      </c>
      <c r="J330">
        <v>0</v>
      </c>
      <c r="K330">
        <v>947151.78</v>
      </c>
    </row>
    <row r="331" spans="1:11" x14ac:dyDescent="0.35">
      <c r="A331">
        <v>5200000332</v>
      </c>
      <c r="B331">
        <v>9400010992</v>
      </c>
      <c r="C331" s="10">
        <v>46173</v>
      </c>
      <c r="D331" t="s">
        <v>2032</v>
      </c>
      <c r="E331" s="11">
        <v>18876619</v>
      </c>
      <c r="F331" t="s">
        <v>1101</v>
      </c>
      <c r="G331" t="s">
        <v>1102</v>
      </c>
      <c r="H331" s="10">
        <v>46173</v>
      </c>
      <c r="I331">
        <v>615733.27</v>
      </c>
      <c r="J331">
        <v>602553.63</v>
      </c>
      <c r="K331">
        <v>13179.640000000014</v>
      </c>
    </row>
    <row r="332" spans="1:11" x14ac:dyDescent="0.35">
      <c r="A332">
        <v>2710000796</v>
      </c>
      <c r="B332">
        <v>9400010990</v>
      </c>
      <c r="C332" s="10">
        <v>46173</v>
      </c>
      <c r="D332" t="s">
        <v>2032</v>
      </c>
      <c r="E332" s="11">
        <v>18877309</v>
      </c>
      <c r="F332" t="s">
        <v>134</v>
      </c>
      <c r="G332" t="s">
        <v>135</v>
      </c>
      <c r="H332" s="10">
        <v>46187</v>
      </c>
      <c r="I332">
        <v>49786.559999999998</v>
      </c>
      <c r="J332">
        <v>0</v>
      </c>
      <c r="K332">
        <v>49786.559999999998</v>
      </c>
    </row>
    <row r="333" spans="1:11" x14ac:dyDescent="0.35">
      <c r="A333">
        <v>2710000794</v>
      </c>
      <c r="B333">
        <v>9400010988</v>
      </c>
      <c r="C333" s="10">
        <v>46173</v>
      </c>
      <c r="D333" t="s">
        <v>2032</v>
      </c>
      <c r="E333" s="11">
        <v>18877307</v>
      </c>
      <c r="F333" t="s">
        <v>565</v>
      </c>
      <c r="G333" t="s">
        <v>566</v>
      </c>
      <c r="H333" s="10">
        <v>46187</v>
      </c>
      <c r="I333">
        <v>20390.400000000001</v>
      </c>
      <c r="J333">
        <v>0</v>
      </c>
      <c r="K333">
        <v>20390.400000000001</v>
      </c>
    </row>
    <row r="334" spans="1:11" x14ac:dyDescent="0.35">
      <c r="A334">
        <v>2710000793</v>
      </c>
      <c r="B334">
        <v>9400010987</v>
      </c>
      <c r="C334" s="10">
        <v>46173</v>
      </c>
      <c r="D334" t="s">
        <v>2032</v>
      </c>
      <c r="E334" s="11">
        <v>18877302</v>
      </c>
      <c r="F334" t="s">
        <v>28</v>
      </c>
      <c r="G334" t="s">
        <v>29</v>
      </c>
      <c r="H334" s="10">
        <v>46187</v>
      </c>
      <c r="I334">
        <v>45283.68</v>
      </c>
      <c r="J334">
        <v>0</v>
      </c>
      <c r="K334">
        <v>45283.68</v>
      </c>
    </row>
    <row r="335" spans="1:11" x14ac:dyDescent="0.35">
      <c r="A335">
        <v>2710000792</v>
      </c>
      <c r="B335">
        <v>9400010986</v>
      </c>
      <c r="C335" s="10">
        <v>46173</v>
      </c>
      <c r="D335" t="s">
        <v>2032</v>
      </c>
      <c r="E335" s="11">
        <v>18877293</v>
      </c>
      <c r="F335" t="s">
        <v>679</v>
      </c>
      <c r="G335" t="s">
        <v>680</v>
      </c>
      <c r="H335" s="10">
        <v>46187</v>
      </c>
      <c r="I335">
        <v>33984</v>
      </c>
      <c r="J335">
        <v>0</v>
      </c>
      <c r="K335">
        <v>33984</v>
      </c>
    </row>
    <row r="336" spans="1:11" x14ac:dyDescent="0.35">
      <c r="A336">
        <v>2710000791</v>
      </c>
      <c r="B336">
        <v>9400010985</v>
      </c>
      <c r="C336" s="10">
        <v>46173</v>
      </c>
      <c r="D336" t="s">
        <v>2032</v>
      </c>
      <c r="E336" s="11">
        <v>18877266</v>
      </c>
      <c r="F336" t="s">
        <v>491</v>
      </c>
      <c r="G336" t="s">
        <v>492</v>
      </c>
      <c r="H336" s="10">
        <v>46187</v>
      </c>
      <c r="I336">
        <v>217780.8</v>
      </c>
      <c r="J336">
        <v>0</v>
      </c>
      <c r="K336">
        <v>217780.8</v>
      </c>
    </row>
    <row r="337" spans="1:11" x14ac:dyDescent="0.35">
      <c r="A337">
        <v>2710000790</v>
      </c>
      <c r="B337">
        <v>9400010984</v>
      </c>
      <c r="C337" s="10">
        <v>46173</v>
      </c>
      <c r="D337" t="s">
        <v>2032</v>
      </c>
      <c r="E337" s="11">
        <v>18877251</v>
      </c>
      <c r="F337" t="s">
        <v>597</v>
      </c>
      <c r="G337" t="s">
        <v>598</v>
      </c>
      <c r="H337" s="10">
        <v>46187</v>
      </c>
      <c r="I337">
        <v>33984</v>
      </c>
      <c r="J337">
        <v>0</v>
      </c>
      <c r="K337">
        <v>33984</v>
      </c>
    </row>
    <row r="338" spans="1:11" x14ac:dyDescent="0.35">
      <c r="A338">
        <v>2710000789</v>
      </c>
      <c r="B338">
        <v>9400010983</v>
      </c>
      <c r="C338" s="10">
        <v>46173</v>
      </c>
      <c r="D338" t="s">
        <v>2032</v>
      </c>
      <c r="E338" s="11">
        <v>18877236</v>
      </c>
      <c r="F338" t="s">
        <v>144</v>
      </c>
      <c r="G338" t="s">
        <v>145</v>
      </c>
      <c r="H338" s="10">
        <v>46218</v>
      </c>
      <c r="I338">
        <v>4528.3599999999997</v>
      </c>
      <c r="J338">
        <v>0</v>
      </c>
      <c r="K338">
        <v>4528.3599999999997</v>
      </c>
    </row>
    <row r="339" spans="1:11" x14ac:dyDescent="0.35">
      <c r="A339">
        <v>2710000788</v>
      </c>
      <c r="B339">
        <v>9400010982</v>
      </c>
      <c r="C339" s="10">
        <v>46173</v>
      </c>
      <c r="D339" t="s">
        <v>2032</v>
      </c>
      <c r="E339" s="11">
        <v>18877192</v>
      </c>
      <c r="F339" t="s">
        <v>767</v>
      </c>
      <c r="G339" t="s">
        <v>768</v>
      </c>
      <c r="H339" s="10">
        <v>46187</v>
      </c>
      <c r="I339">
        <v>202865.6</v>
      </c>
      <c r="J339">
        <v>0</v>
      </c>
      <c r="K339">
        <v>202865.6</v>
      </c>
    </row>
    <row r="340" spans="1:11" x14ac:dyDescent="0.35">
      <c r="A340">
        <v>2710000787</v>
      </c>
      <c r="B340">
        <v>9400010981</v>
      </c>
      <c r="C340" s="10">
        <v>46173</v>
      </c>
      <c r="D340" t="s">
        <v>2032</v>
      </c>
      <c r="E340" s="11">
        <v>18877183</v>
      </c>
      <c r="F340" t="s">
        <v>579</v>
      </c>
      <c r="G340" t="s">
        <v>580</v>
      </c>
      <c r="H340" s="10">
        <v>46218</v>
      </c>
      <c r="I340">
        <v>26965.360000000001</v>
      </c>
      <c r="J340">
        <v>0</v>
      </c>
      <c r="K340">
        <v>26965.360000000001</v>
      </c>
    </row>
    <row r="341" spans="1:11" x14ac:dyDescent="0.35">
      <c r="A341">
        <v>2710000786</v>
      </c>
      <c r="B341">
        <v>9400010980</v>
      </c>
      <c r="C341" s="10">
        <v>46173</v>
      </c>
      <c r="D341" t="s">
        <v>2032</v>
      </c>
      <c r="E341" s="11">
        <v>18877183</v>
      </c>
      <c r="F341" t="s">
        <v>579</v>
      </c>
      <c r="G341" t="s">
        <v>580</v>
      </c>
      <c r="H341" s="10">
        <v>46187</v>
      </c>
      <c r="I341">
        <v>136360.79999999999</v>
      </c>
      <c r="J341">
        <v>0</v>
      </c>
      <c r="K341">
        <v>136360.79999999999</v>
      </c>
    </row>
    <row r="342" spans="1:11" x14ac:dyDescent="0.35">
      <c r="A342">
        <v>2710000785</v>
      </c>
      <c r="B342">
        <v>9400010979</v>
      </c>
      <c r="C342" s="10">
        <v>46173</v>
      </c>
      <c r="D342" t="s">
        <v>2032</v>
      </c>
      <c r="E342" s="11">
        <v>18877041</v>
      </c>
      <c r="F342" t="s">
        <v>353</v>
      </c>
      <c r="G342" t="s">
        <v>354</v>
      </c>
      <c r="H342" s="10">
        <v>46187</v>
      </c>
      <c r="I342">
        <v>254667.6</v>
      </c>
      <c r="J342">
        <v>0</v>
      </c>
      <c r="K342">
        <v>254667.6</v>
      </c>
    </row>
    <row r="343" spans="1:11" x14ac:dyDescent="0.35">
      <c r="A343">
        <v>2710000784</v>
      </c>
      <c r="B343">
        <v>9400010978</v>
      </c>
      <c r="C343" s="10">
        <v>46173</v>
      </c>
      <c r="D343" t="s">
        <v>2032</v>
      </c>
      <c r="E343" s="11">
        <v>18877030</v>
      </c>
      <c r="F343" t="s">
        <v>623</v>
      </c>
      <c r="G343" t="s">
        <v>624</v>
      </c>
      <c r="H343" s="10">
        <v>46218</v>
      </c>
      <c r="I343">
        <v>109857.18</v>
      </c>
      <c r="J343">
        <v>0</v>
      </c>
      <c r="K343">
        <v>109857.18</v>
      </c>
    </row>
    <row r="344" spans="1:11" x14ac:dyDescent="0.35">
      <c r="A344">
        <v>2710000783</v>
      </c>
      <c r="B344">
        <v>9400010977</v>
      </c>
      <c r="C344" s="10">
        <v>46173</v>
      </c>
      <c r="D344" t="s">
        <v>2032</v>
      </c>
      <c r="E344" s="11">
        <v>18877030</v>
      </c>
      <c r="F344" t="s">
        <v>623</v>
      </c>
      <c r="G344" t="s">
        <v>624</v>
      </c>
      <c r="H344" s="10">
        <v>46187</v>
      </c>
      <c r="I344">
        <v>822416.1</v>
      </c>
      <c r="J344">
        <v>0</v>
      </c>
      <c r="K344">
        <v>822416.1</v>
      </c>
    </row>
    <row r="345" spans="1:11" x14ac:dyDescent="0.35">
      <c r="A345">
        <v>2710000782</v>
      </c>
      <c r="B345">
        <v>9400010976</v>
      </c>
      <c r="C345" s="10">
        <v>46173</v>
      </c>
      <c r="D345" t="s">
        <v>2032</v>
      </c>
      <c r="E345" s="11">
        <v>18876934</v>
      </c>
      <c r="F345" t="s">
        <v>595</v>
      </c>
      <c r="G345" t="s">
        <v>596</v>
      </c>
      <c r="H345" s="10">
        <v>46187</v>
      </c>
      <c r="I345">
        <v>64527.12</v>
      </c>
      <c r="J345">
        <v>0</v>
      </c>
      <c r="K345">
        <v>64527.12</v>
      </c>
    </row>
    <row r="346" spans="1:11" x14ac:dyDescent="0.35">
      <c r="A346">
        <v>2710000781</v>
      </c>
      <c r="B346">
        <v>9400010975</v>
      </c>
      <c r="C346" s="10">
        <v>46173</v>
      </c>
      <c r="D346" t="s">
        <v>2032</v>
      </c>
      <c r="E346" s="11">
        <v>18876936</v>
      </c>
      <c r="F346" t="s">
        <v>791</v>
      </c>
      <c r="G346" t="s">
        <v>792</v>
      </c>
      <c r="H346" s="10">
        <v>46187</v>
      </c>
      <c r="I346">
        <v>37339.919999999998</v>
      </c>
      <c r="J346">
        <v>0</v>
      </c>
      <c r="K346">
        <v>37339.919999999998</v>
      </c>
    </row>
    <row r="347" spans="1:11" x14ac:dyDescent="0.35">
      <c r="A347">
        <v>2710000779</v>
      </c>
      <c r="B347">
        <v>9400010973</v>
      </c>
      <c r="C347" s="10">
        <v>46173</v>
      </c>
      <c r="D347" t="s">
        <v>2032</v>
      </c>
      <c r="E347" s="11">
        <v>18876833</v>
      </c>
      <c r="F347" t="s">
        <v>353</v>
      </c>
      <c r="G347" t="s">
        <v>354</v>
      </c>
      <c r="H347" s="10">
        <v>46187</v>
      </c>
      <c r="I347">
        <v>132436.12</v>
      </c>
      <c r="J347">
        <v>0</v>
      </c>
      <c r="K347">
        <v>132436.12</v>
      </c>
    </row>
    <row r="348" spans="1:11" x14ac:dyDescent="0.35">
      <c r="A348">
        <v>2710000778</v>
      </c>
      <c r="B348">
        <v>9400010972</v>
      </c>
      <c r="C348" s="10">
        <v>46173</v>
      </c>
      <c r="D348" t="s">
        <v>2032</v>
      </c>
      <c r="E348" s="11">
        <v>18876592</v>
      </c>
      <c r="F348" t="s">
        <v>773</v>
      </c>
      <c r="G348" t="s">
        <v>774</v>
      </c>
      <c r="H348" s="10">
        <v>46218</v>
      </c>
      <c r="I348">
        <v>31148.46</v>
      </c>
      <c r="J348">
        <v>0</v>
      </c>
      <c r="K348">
        <v>31148.46</v>
      </c>
    </row>
    <row r="349" spans="1:11" x14ac:dyDescent="0.35">
      <c r="A349">
        <v>2710000777</v>
      </c>
      <c r="B349">
        <v>9400010971</v>
      </c>
      <c r="C349" s="10">
        <v>46173</v>
      </c>
      <c r="D349" t="s">
        <v>2032</v>
      </c>
      <c r="E349" s="11">
        <v>18876499</v>
      </c>
      <c r="F349" t="s">
        <v>565</v>
      </c>
      <c r="G349" t="s">
        <v>566</v>
      </c>
      <c r="H349" s="10">
        <v>46218</v>
      </c>
      <c r="I349">
        <v>38208.92</v>
      </c>
      <c r="J349">
        <v>0</v>
      </c>
      <c r="K349">
        <v>38208.92</v>
      </c>
    </row>
    <row r="350" spans="1:11" x14ac:dyDescent="0.35">
      <c r="A350">
        <v>2710000776</v>
      </c>
      <c r="B350">
        <v>9400010970</v>
      </c>
      <c r="C350" s="10">
        <v>46173</v>
      </c>
      <c r="D350" t="s">
        <v>2032</v>
      </c>
      <c r="E350" s="11">
        <v>18876499</v>
      </c>
      <c r="F350" t="s">
        <v>565</v>
      </c>
      <c r="G350" t="s">
        <v>566</v>
      </c>
      <c r="H350" s="10">
        <v>46187</v>
      </c>
      <c r="I350">
        <v>273179.44</v>
      </c>
      <c r="J350">
        <v>0</v>
      </c>
      <c r="K350">
        <v>273179.44</v>
      </c>
    </row>
    <row r="351" spans="1:11" x14ac:dyDescent="0.35">
      <c r="A351">
        <v>2710000775</v>
      </c>
      <c r="B351">
        <v>9400010969</v>
      </c>
      <c r="C351" s="10">
        <v>46173</v>
      </c>
      <c r="D351" t="s">
        <v>2032</v>
      </c>
      <c r="E351" s="11">
        <v>18876458</v>
      </c>
      <c r="F351" t="s">
        <v>353</v>
      </c>
      <c r="G351" t="s">
        <v>354</v>
      </c>
      <c r="H351" s="10">
        <v>46218</v>
      </c>
      <c r="I351">
        <v>65952.42</v>
      </c>
      <c r="J351">
        <v>0</v>
      </c>
      <c r="K351">
        <v>65952.42</v>
      </c>
    </row>
    <row r="352" spans="1:11" x14ac:dyDescent="0.35">
      <c r="A352">
        <v>2710000774</v>
      </c>
      <c r="B352">
        <v>9400010968</v>
      </c>
      <c r="C352" s="10">
        <v>46173</v>
      </c>
      <c r="D352" t="s">
        <v>2032</v>
      </c>
      <c r="E352" s="11">
        <v>18876310</v>
      </c>
      <c r="F352" t="s">
        <v>757</v>
      </c>
      <c r="G352" t="s">
        <v>758</v>
      </c>
      <c r="H352" s="10">
        <v>46218</v>
      </c>
      <c r="I352">
        <v>91917.56</v>
      </c>
      <c r="J352">
        <v>0</v>
      </c>
      <c r="K352">
        <v>91917.56</v>
      </c>
    </row>
    <row r="353" spans="1:11" x14ac:dyDescent="0.35">
      <c r="A353">
        <v>2710000773</v>
      </c>
      <c r="B353">
        <v>9400010967</v>
      </c>
      <c r="C353" s="10">
        <v>46173</v>
      </c>
      <c r="D353" t="s">
        <v>2032</v>
      </c>
      <c r="E353" s="11">
        <v>18876310</v>
      </c>
      <c r="F353" t="s">
        <v>757</v>
      </c>
      <c r="G353" t="s">
        <v>758</v>
      </c>
      <c r="H353" s="10">
        <v>46187</v>
      </c>
      <c r="I353">
        <v>87050.02</v>
      </c>
      <c r="J353">
        <v>0</v>
      </c>
      <c r="K353">
        <v>87050.02</v>
      </c>
    </row>
    <row r="354" spans="1:11" x14ac:dyDescent="0.35">
      <c r="A354">
        <v>2710000772</v>
      </c>
      <c r="B354">
        <v>9400010966</v>
      </c>
      <c r="C354" s="10">
        <v>46173</v>
      </c>
      <c r="D354" t="s">
        <v>2032</v>
      </c>
      <c r="E354" s="11">
        <v>18876193</v>
      </c>
      <c r="F354" t="s">
        <v>28</v>
      </c>
      <c r="G354" t="s">
        <v>29</v>
      </c>
      <c r="H354" s="10">
        <v>46187</v>
      </c>
      <c r="I354">
        <v>169920</v>
      </c>
      <c r="J354">
        <v>0</v>
      </c>
      <c r="K354">
        <v>169920</v>
      </c>
    </row>
    <row r="355" spans="1:11" x14ac:dyDescent="0.35">
      <c r="A355">
        <v>2710000771</v>
      </c>
      <c r="B355">
        <v>9400010965</v>
      </c>
      <c r="C355" s="10">
        <v>46173</v>
      </c>
      <c r="D355" t="s">
        <v>2032</v>
      </c>
      <c r="E355" s="11">
        <v>18876118</v>
      </c>
      <c r="F355" t="s">
        <v>753</v>
      </c>
      <c r="G355" t="s">
        <v>754</v>
      </c>
      <c r="H355" s="10">
        <v>46218</v>
      </c>
      <c r="I355">
        <v>6583.69</v>
      </c>
      <c r="J355">
        <v>0</v>
      </c>
      <c r="K355">
        <v>6583.69</v>
      </c>
    </row>
    <row r="356" spans="1:11" x14ac:dyDescent="0.35">
      <c r="A356">
        <v>2300000490</v>
      </c>
      <c r="B356">
        <v>9400010962</v>
      </c>
      <c r="C356" s="10">
        <v>46173</v>
      </c>
      <c r="D356" t="s">
        <v>2032</v>
      </c>
      <c r="E356" s="11">
        <v>18877284</v>
      </c>
      <c r="F356" t="s">
        <v>627</v>
      </c>
      <c r="G356" t="s">
        <v>628</v>
      </c>
      <c r="H356" s="10">
        <v>46218</v>
      </c>
      <c r="I356">
        <v>119874.32</v>
      </c>
      <c r="J356">
        <v>0</v>
      </c>
      <c r="K356">
        <v>119874.32</v>
      </c>
    </row>
    <row r="357" spans="1:11" x14ac:dyDescent="0.35">
      <c r="A357">
        <v>2300000489</v>
      </c>
      <c r="B357">
        <v>9400010961</v>
      </c>
      <c r="C357" s="10">
        <v>46173</v>
      </c>
      <c r="D357" t="s">
        <v>2032</v>
      </c>
      <c r="E357" s="11">
        <v>18877240</v>
      </c>
      <c r="F357" t="s">
        <v>659</v>
      </c>
      <c r="G357" t="s">
        <v>660</v>
      </c>
      <c r="H357" s="10">
        <v>46218</v>
      </c>
      <c r="I357">
        <v>11187.1</v>
      </c>
      <c r="J357">
        <v>0</v>
      </c>
      <c r="K357">
        <v>11187.1</v>
      </c>
    </row>
    <row r="358" spans="1:11" x14ac:dyDescent="0.35">
      <c r="A358">
        <v>2300000488</v>
      </c>
      <c r="B358">
        <v>9400010960</v>
      </c>
      <c r="C358" s="10">
        <v>46173</v>
      </c>
      <c r="D358" t="s">
        <v>2032</v>
      </c>
      <c r="E358" s="11">
        <v>18877228</v>
      </c>
      <c r="F358" t="s">
        <v>659</v>
      </c>
      <c r="G358" t="s">
        <v>660</v>
      </c>
      <c r="H358" s="10">
        <v>46187</v>
      </c>
      <c r="I358">
        <v>46954.559999999998</v>
      </c>
      <c r="J358">
        <v>0</v>
      </c>
      <c r="K358">
        <v>46954.559999999998</v>
      </c>
    </row>
    <row r="359" spans="1:11" x14ac:dyDescent="0.35">
      <c r="B359">
        <v>1400007230</v>
      </c>
      <c r="C359" s="10">
        <v>46173</v>
      </c>
      <c r="D359" t="s">
        <v>2037</v>
      </c>
      <c r="E359" s="11">
        <v>10</v>
      </c>
      <c r="F359" t="s">
        <v>1213</v>
      </c>
      <c r="G359" t="s">
        <v>1214</v>
      </c>
      <c r="H359" s="10">
        <v>46173</v>
      </c>
      <c r="I359">
        <v>59</v>
      </c>
      <c r="J359">
        <v>0</v>
      </c>
      <c r="K359">
        <v>59</v>
      </c>
    </row>
    <row r="360" spans="1:11" x14ac:dyDescent="0.35">
      <c r="B360">
        <v>1400007229</v>
      </c>
      <c r="C360" s="10">
        <v>46173</v>
      </c>
      <c r="D360" t="s">
        <v>2037</v>
      </c>
      <c r="E360" s="11">
        <v>440874</v>
      </c>
      <c r="F360" t="s">
        <v>725</v>
      </c>
      <c r="G360" t="s">
        <v>726</v>
      </c>
      <c r="H360" s="10">
        <v>46173</v>
      </c>
      <c r="I360">
        <v>59</v>
      </c>
      <c r="J360">
        <v>0</v>
      </c>
      <c r="K360">
        <v>59</v>
      </c>
    </row>
    <row r="361" spans="1:11" x14ac:dyDescent="0.35">
      <c r="A361">
        <v>2000000192</v>
      </c>
      <c r="B361">
        <v>9400011335</v>
      </c>
      <c r="C361" s="10">
        <v>46172</v>
      </c>
      <c r="D361" t="s">
        <v>2032</v>
      </c>
      <c r="E361" s="11">
        <v>18853011</v>
      </c>
      <c r="F361" t="s">
        <v>857</v>
      </c>
      <c r="G361" t="s">
        <v>858</v>
      </c>
      <c r="H361" s="10">
        <v>46217</v>
      </c>
      <c r="I361">
        <v>117056.34</v>
      </c>
      <c r="J361">
        <v>0</v>
      </c>
      <c r="K361">
        <v>117056.34</v>
      </c>
    </row>
    <row r="362" spans="1:11" x14ac:dyDescent="0.35">
      <c r="A362">
        <v>3000000816</v>
      </c>
      <c r="B362">
        <v>9400011079</v>
      </c>
      <c r="C362" s="10">
        <v>46172</v>
      </c>
      <c r="D362" t="s">
        <v>2032</v>
      </c>
      <c r="E362" s="11">
        <v>18854879</v>
      </c>
      <c r="F362" t="s">
        <v>3553</v>
      </c>
      <c r="G362" t="s">
        <v>3554</v>
      </c>
      <c r="H362" s="10">
        <v>46217</v>
      </c>
      <c r="I362">
        <v>134389.72</v>
      </c>
      <c r="J362">
        <v>0</v>
      </c>
      <c r="K362">
        <v>134389.72</v>
      </c>
    </row>
    <row r="363" spans="1:11" x14ac:dyDescent="0.35">
      <c r="A363">
        <v>2710000770</v>
      </c>
      <c r="B363">
        <v>9400010964</v>
      </c>
      <c r="C363" s="10">
        <v>46172</v>
      </c>
      <c r="D363" t="s">
        <v>2032</v>
      </c>
      <c r="E363" s="11">
        <v>18876040</v>
      </c>
      <c r="F363" t="s">
        <v>597</v>
      </c>
      <c r="G363" t="s">
        <v>598</v>
      </c>
      <c r="H363" s="10">
        <v>46186</v>
      </c>
      <c r="I363">
        <v>13593.6</v>
      </c>
      <c r="J363">
        <v>0</v>
      </c>
      <c r="K363">
        <v>13593.6</v>
      </c>
    </row>
    <row r="364" spans="1:11" x14ac:dyDescent="0.35">
      <c r="A364">
        <v>2730000518</v>
      </c>
      <c r="B364">
        <v>9400010959</v>
      </c>
      <c r="C364" s="10">
        <v>46172</v>
      </c>
      <c r="D364" t="s">
        <v>2032</v>
      </c>
      <c r="E364" s="11">
        <v>18877466</v>
      </c>
      <c r="F364" t="s">
        <v>267</v>
      </c>
      <c r="G364" t="s">
        <v>268</v>
      </c>
      <c r="H364" s="10">
        <v>46186</v>
      </c>
      <c r="I364">
        <v>74262.12</v>
      </c>
      <c r="J364">
        <v>0</v>
      </c>
      <c r="K364">
        <v>74262.12</v>
      </c>
    </row>
    <row r="365" spans="1:11" x14ac:dyDescent="0.35">
      <c r="A365">
        <v>5200000331</v>
      </c>
      <c r="B365">
        <v>9400010958</v>
      </c>
      <c r="C365" s="10">
        <v>46172</v>
      </c>
      <c r="D365" t="s">
        <v>2032</v>
      </c>
      <c r="E365" s="11">
        <v>18853638</v>
      </c>
      <c r="F365" t="s">
        <v>787</v>
      </c>
      <c r="G365" t="s">
        <v>788</v>
      </c>
      <c r="H365" s="10">
        <v>46217</v>
      </c>
      <c r="I365">
        <v>49601.3</v>
      </c>
      <c r="J365">
        <v>0</v>
      </c>
      <c r="K365">
        <v>49601.3</v>
      </c>
    </row>
    <row r="366" spans="1:11" x14ac:dyDescent="0.35">
      <c r="A366">
        <v>2710000768</v>
      </c>
      <c r="B366">
        <v>9400010957</v>
      </c>
      <c r="C366" s="10">
        <v>46172</v>
      </c>
      <c r="D366" t="s">
        <v>2032</v>
      </c>
      <c r="E366" s="11">
        <v>18819938</v>
      </c>
      <c r="F366" t="s">
        <v>521</v>
      </c>
      <c r="G366" t="s">
        <v>522</v>
      </c>
      <c r="H366" s="10">
        <v>46217</v>
      </c>
      <c r="I366">
        <v>9995.4</v>
      </c>
      <c r="J366">
        <v>0</v>
      </c>
      <c r="K366">
        <v>9995.4</v>
      </c>
    </row>
    <row r="367" spans="1:11" x14ac:dyDescent="0.35">
      <c r="A367">
        <v>2710000767</v>
      </c>
      <c r="B367">
        <v>9400010956</v>
      </c>
      <c r="C367" s="10">
        <v>46172</v>
      </c>
      <c r="D367" t="s">
        <v>2032</v>
      </c>
      <c r="E367" s="11">
        <v>18819938</v>
      </c>
      <c r="F367" t="s">
        <v>521</v>
      </c>
      <c r="G367" t="s">
        <v>522</v>
      </c>
      <c r="H367" s="10">
        <v>46186</v>
      </c>
      <c r="I367">
        <v>86224.960000000006</v>
      </c>
      <c r="J367">
        <v>0</v>
      </c>
      <c r="K367">
        <v>86224.960000000006</v>
      </c>
    </row>
    <row r="368" spans="1:11" x14ac:dyDescent="0.35">
      <c r="A368">
        <v>2300000487</v>
      </c>
      <c r="B368">
        <v>9400010955</v>
      </c>
      <c r="C368" s="10">
        <v>46172</v>
      </c>
      <c r="D368" t="s">
        <v>2032</v>
      </c>
      <c r="E368" s="11">
        <v>18876730</v>
      </c>
      <c r="F368" t="s">
        <v>391</v>
      </c>
      <c r="G368" t="s">
        <v>392</v>
      </c>
      <c r="H368" s="10">
        <v>46217</v>
      </c>
      <c r="I368">
        <v>41484.080000000002</v>
      </c>
      <c r="J368">
        <v>0</v>
      </c>
      <c r="K368">
        <v>41484.080000000002</v>
      </c>
    </row>
    <row r="369" spans="1:11" x14ac:dyDescent="0.35">
      <c r="A369">
        <v>2730000517</v>
      </c>
      <c r="B369">
        <v>9400010954</v>
      </c>
      <c r="C369" s="10">
        <v>46172</v>
      </c>
      <c r="D369" t="s">
        <v>2032</v>
      </c>
      <c r="E369" s="11">
        <v>18877423</v>
      </c>
      <c r="F369" t="s">
        <v>3555</v>
      </c>
      <c r="G369" t="s">
        <v>3556</v>
      </c>
      <c r="H369" s="10">
        <v>46186</v>
      </c>
      <c r="I369">
        <v>80343.839999999997</v>
      </c>
      <c r="J369">
        <v>0</v>
      </c>
      <c r="K369">
        <v>80343.839999999997</v>
      </c>
    </row>
    <row r="370" spans="1:11" x14ac:dyDescent="0.35">
      <c r="A370">
        <v>2730000516</v>
      </c>
      <c r="B370">
        <v>9400010951</v>
      </c>
      <c r="C370" s="10">
        <v>46172</v>
      </c>
      <c r="D370" t="s">
        <v>2032</v>
      </c>
      <c r="E370" s="11">
        <v>18877343</v>
      </c>
      <c r="F370" t="s">
        <v>671</v>
      </c>
      <c r="G370" t="s">
        <v>672</v>
      </c>
      <c r="H370" s="10">
        <v>46186</v>
      </c>
      <c r="I370">
        <v>470600.52</v>
      </c>
      <c r="J370">
        <v>0</v>
      </c>
      <c r="K370">
        <v>470600.52</v>
      </c>
    </row>
    <row r="371" spans="1:11" x14ac:dyDescent="0.35">
      <c r="A371">
        <v>2730000515</v>
      </c>
      <c r="B371">
        <v>9400010949</v>
      </c>
      <c r="C371" s="10">
        <v>46172</v>
      </c>
      <c r="D371" t="s">
        <v>2032</v>
      </c>
      <c r="E371" s="11">
        <v>18877342</v>
      </c>
      <c r="F371" t="s">
        <v>3557</v>
      </c>
      <c r="G371" t="s">
        <v>3558</v>
      </c>
      <c r="H371" s="10">
        <v>46186</v>
      </c>
      <c r="I371">
        <v>113832.24</v>
      </c>
      <c r="J371">
        <v>0</v>
      </c>
      <c r="K371">
        <v>113832.24</v>
      </c>
    </row>
    <row r="372" spans="1:11" x14ac:dyDescent="0.35">
      <c r="A372">
        <v>2730000514</v>
      </c>
      <c r="B372">
        <v>9400010947</v>
      </c>
      <c r="C372" s="10">
        <v>46172</v>
      </c>
      <c r="D372" t="s">
        <v>2032</v>
      </c>
      <c r="E372" s="11">
        <v>18877244</v>
      </c>
      <c r="F372" t="s">
        <v>1047</v>
      </c>
      <c r="G372" t="s">
        <v>1048</v>
      </c>
      <c r="H372" s="10">
        <v>46186</v>
      </c>
      <c r="I372">
        <v>26904</v>
      </c>
      <c r="J372">
        <v>0</v>
      </c>
      <c r="K372">
        <v>26904</v>
      </c>
    </row>
    <row r="373" spans="1:11" x14ac:dyDescent="0.35">
      <c r="A373">
        <v>3000000860</v>
      </c>
      <c r="B373">
        <v>9400010946</v>
      </c>
      <c r="C373" s="10">
        <v>46172</v>
      </c>
      <c r="D373" t="s">
        <v>2032</v>
      </c>
      <c r="E373" s="11">
        <v>18877252</v>
      </c>
      <c r="F373" t="s">
        <v>1155</v>
      </c>
      <c r="G373" t="s">
        <v>1156</v>
      </c>
      <c r="H373" s="10">
        <v>46217</v>
      </c>
      <c r="I373">
        <v>15394.75</v>
      </c>
      <c r="J373">
        <v>0</v>
      </c>
      <c r="K373">
        <v>15394.75</v>
      </c>
    </row>
    <row r="374" spans="1:11" x14ac:dyDescent="0.35">
      <c r="A374">
        <v>2300000484</v>
      </c>
      <c r="B374">
        <v>9400010945</v>
      </c>
      <c r="C374" s="10">
        <v>46172</v>
      </c>
      <c r="D374" t="s">
        <v>2032</v>
      </c>
      <c r="E374" s="11">
        <v>18855332</v>
      </c>
      <c r="F374" t="s">
        <v>467</v>
      </c>
      <c r="G374" t="s">
        <v>468</v>
      </c>
      <c r="H374" s="10">
        <v>46217</v>
      </c>
      <c r="I374">
        <v>21553.66</v>
      </c>
      <c r="J374">
        <v>0</v>
      </c>
      <c r="K374">
        <v>21553.66</v>
      </c>
    </row>
    <row r="375" spans="1:11" x14ac:dyDescent="0.35">
      <c r="A375">
        <v>2300000483</v>
      </c>
      <c r="B375">
        <v>9400010943</v>
      </c>
      <c r="C375" s="10">
        <v>46172</v>
      </c>
      <c r="D375" t="s">
        <v>2032</v>
      </c>
      <c r="E375" s="11">
        <v>18876776</v>
      </c>
      <c r="F375" t="s">
        <v>629</v>
      </c>
      <c r="G375" t="s">
        <v>630</v>
      </c>
      <c r="H375" s="10">
        <v>46217</v>
      </c>
      <c r="I375">
        <v>70205.279999999999</v>
      </c>
      <c r="J375">
        <v>0</v>
      </c>
      <c r="K375">
        <v>70205.279999999999</v>
      </c>
    </row>
    <row r="376" spans="1:11" x14ac:dyDescent="0.35">
      <c r="A376">
        <v>2730000512</v>
      </c>
      <c r="B376">
        <v>9400010942</v>
      </c>
      <c r="C376" s="10">
        <v>46172</v>
      </c>
      <c r="D376" t="s">
        <v>2032</v>
      </c>
      <c r="E376" s="11">
        <v>18877115</v>
      </c>
      <c r="F376" t="s">
        <v>89</v>
      </c>
      <c r="G376" t="s">
        <v>90</v>
      </c>
      <c r="H376" s="10">
        <v>46186</v>
      </c>
      <c r="I376">
        <v>659856</v>
      </c>
      <c r="J376">
        <v>0</v>
      </c>
      <c r="K376">
        <v>659856</v>
      </c>
    </row>
    <row r="377" spans="1:11" x14ac:dyDescent="0.35">
      <c r="A377">
        <v>5200000330</v>
      </c>
      <c r="B377">
        <v>9400010941</v>
      </c>
      <c r="C377" s="10">
        <v>46172</v>
      </c>
      <c r="D377" t="s">
        <v>2032</v>
      </c>
      <c r="E377" s="11">
        <v>18876651</v>
      </c>
      <c r="F377" t="s">
        <v>3559</v>
      </c>
      <c r="G377" t="s">
        <v>3560</v>
      </c>
      <c r="H377" s="10">
        <v>46186</v>
      </c>
      <c r="I377">
        <v>12460.8</v>
      </c>
      <c r="J377">
        <v>0</v>
      </c>
      <c r="K377">
        <v>12460.8</v>
      </c>
    </row>
    <row r="378" spans="1:11" x14ac:dyDescent="0.35">
      <c r="A378">
        <v>2300000482</v>
      </c>
      <c r="B378">
        <v>9400010940</v>
      </c>
      <c r="C378" s="10">
        <v>46172</v>
      </c>
      <c r="D378" t="s">
        <v>2032</v>
      </c>
      <c r="E378" s="11">
        <v>18877151</v>
      </c>
      <c r="F378" t="s">
        <v>68</v>
      </c>
      <c r="G378" t="s">
        <v>69</v>
      </c>
      <c r="H378" s="10">
        <v>46217</v>
      </c>
      <c r="I378">
        <v>29158.28</v>
      </c>
      <c r="J378">
        <v>0</v>
      </c>
      <c r="K378">
        <v>29158.28</v>
      </c>
    </row>
    <row r="379" spans="1:11" x14ac:dyDescent="0.35">
      <c r="A379">
        <v>2300000481</v>
      </c>
      <c r="B379">
        <v>9400010939</v>
      </c>
      <c r="C379" s="10">
        <v>46172</v>
      </c>
      <c r="D379" t="s">
        <v>2032</v>
      </c>
      <c r="E379" s="11">
        <v>18877102</v>
      </c>
      <c r="F379" t="s">
        <v>176</v>
      </c>
      <c r="G379" t="s">
        <v>177</v>
      </c>
      <c r="H379" s="10">
        <v>46186</v>
      </c>
      <c r="I379">
        <v>67968</v>
      </c>
      <c r="J379">
        <v>0</v>
      </c>
      <c r="K379">
        <v>67968</v>
      </c>
    </row>
    <row r="380" spans="1:11" x14ac:dyDescent="0.35">
      <c r="A380">
        <v>2730000511</v>
      </c>
      <c r="B380">
        <v>9400010937</v>
      </c>
      <c r="C380" s="10">
        <v>46172</v>
      </c>
      <c r="D380" t="s">
        <v>2032</v>
      </c>
      <c r="E380" s="11">
        <v>18877054</v>
      </c>
      <c r="F380" t="s">
        <v>89</v>
      </c>
      <c r="G380" t="s">
        <v>90</v>
      </c>
      <c r="H380" s="10">
        <v>46217</v>
      </c>
      <c r="I380">
        <v>198405.2</v>
      </c>
      <c r="J380">
        <v>0</v>
      </c>
      <c r="K380">
        <v>198405.2</v>
      </c>
    </row>
    <row r="381" spans="1:11" x14ac:dyDescent="0.35">
      <c r="A381">
        <v>2730000510</v>
      </c>
      <c r="B381">
        <v>9400010936</v>
      </c>
      <c r="C381" s="10">
        <v>46172</v>
      </c>
      <c r="D381" t="s">
        <v>2032</v>
      </c>
      <c r="E381" s="11">
        <v>18877060</v>
      </c>
      <c r="F381" t="s">
        <v>483</v>
      </c>
      <c r="G381" t="s">
        <v>484</v>
      </c>
      <c r="H381" s="10">
        <v>46217</v>
      </c>
      <c r="I381">
        <v>59642.6</v>
      </c>
      <c r="J381">
        <v>0</v>
      </c>
      <c r="K381">
        <v>59642.6</v>
      </c>
    </row>
    <row r="382" spans="1:11" x14ac:dyDescent="0.35">
      <c r="A382">
        <v>2300000480</v>
      </c>
      <c r="B382">
        <v>9400010935</v>
      </c>
      <c r="C382" s="10">
        <v>46172</v>
      </c>
      <c r="D382" t="s">
        <v>2032</v>
      </c>
      <c r="E382" s="11">
        <v>18877085</v>
      </c>
      <c r="F382" t="s">
        <v>463</v>
      </c>
      <c r="G382" t="s">
        <v>464</v>
      </c>
      <c r="H382" s="10">
        <v>46217</v>
      </c>
      <c r="I382">
        <v>155742.29999999999</v>
      </c>
      <c r="J382">
        <v>0</v>
      </c>
      <c r="K382">
        <v>155742.29999999999</v>
      </c>
    </row>
    <row r="383" spans="1:11" x14ac:dyDescent="0.35">
      <c r="A383">
        <v>2300000479</v>
      </c>
      <c r="B383">
        <v>9400010934</v>
      </c>
      <c r="C383" s="10">
        <v>46172</v>
      </c>
      <c r="D383" t="s">
        <v>2032</v>
      </c>
      <c r="E383" s="11">
        <v>18877075</v>
      </c>
      <c r="F383" t="s">
        <v>647</v>
      </c>
      <c r="G383" t="s">
        <v>648</v>
      </c>
      <c r="H383" s="10">
        <v>46217</v>
      </c>
      <c r="I383">
        <v>21062.28</v>
      </c>
      <c r="J383">
        <v>0</v>
      </c>
      <c r="K383">
        <v>21062.28</v>
      </c>
    </row>
    <row r="384" spans="1:11" x14ac:dyDescent="0.35">
      <c r="A384">
        <v>2730000508</v>
      </c>
      <c r="B384">
        <v>9400010932</v>
      </c>
      <c r="C384" s="10">
        <v>46172</v>
      </c>
      <c r="D384" t="s">
        <v>2032</v>
      </c>
      <c r="E384" s="11">
        <v>18765984</v>
      </c>
      <c r="F384" t="s">
        <v>681</v>
      </c>
      <c r="G384" t="s">
        <v>682</v>
      </c>
      <c r="H384" s="10">
        <v>46217</v>
      </c>
      <c r="I384">
        <v>8863.02</v>
      </c>
      <c r="J384">
        <v>0</v>
      </c>
      <c r="K384">
        <v>8863.02</v>
      </c>
    </row>
    <row r="385" spans="1:11" x14ac:dyDescent="0.35">
      <c r="A385">
        <v>2730000507</v>
      </c>
      <c r="B385">
        <v>9400010930</v>
      </c>
      <c r="C385" s="10">
        <v>46172</v>
      </c>
      <c r="D385" t="s">
        <v>2032</v>
      </c>
      <c r="E385" s="11">
        <v>18877037</v>
      </c>
      <c r="F385" t="s">
        <v>483</v>
      </c>
      <c r="G385" t="s">
        <v>484</v>
      </c>
      <c r="H385" s="10">
        <v>46186</v>
      </c>
      <c r="I385">
        <v>186289.44</v>
      </c>
      <c r="J385">
        <v>0</v>
      </c>
      <c r="K385">
        <v>186289.44</v>
      </c>
    </row>
    <row r="386" spans="1:11" x14ac:dyDescent="0.35">
      <c r="A386">
        <v>2730000506</v>
      </c>
      <c r="B386">
        <v>9400010926</v>
      </c>
      <c r="C386" s="10">
        <v>46172</v>
      </c>
      <c r="D386" t="s">
        <v>2032</v>
      </c>
      <c r="E386" s="11">
        <v>18765961</v>
      </c>
      <c r="F386" t="s">
        <v>273</v>
      </c>
      <c r="G386" t="s">
        <v>274</v>
      </c>
      <c r="H386" s="10">
        <v>46217</v>
      </c>
      <c r="I386">
        <v>8863.02</v>
      </c>
      <c r="J386">
        <v>0</v>
      </c>
      <c r="K386">
        <v>8863.02</v>
      </c>
    </row>
    <row r="387" spans="1:11" x14ac:dyDescent="0.35">
      <c r="A387">
        <v>3000000858</v>
      </c>
      <c r="B387">
        <v>9400010925</v>
      </c>
      <c r="C387" s="10">
        <v>46172</v>
      </c>
      <c r="D387" t="s">
        <v>2032</v>
      </c>
      <c r="E387" s="11">
        <v>18877218</v>
      </c>
      <c r="F387" t="s">
        <v>447</v>
      </c>
      <c r="G387" t="s">
        <v>448</v>
      </c>
      <c r="H387" s="10">
        <v>46217</v>
      </c>
      <c r="I387">
        <v>18557.95</v>
      </c>
      <c r="J387">
        <v>0</v>
      </c>
      <c r="K387">
        <v>18557.95</v>
      </c>
    </row>
    <row r="388" spans="1:11" x14ac:dyDescent="0.35">
      <c r="A388">
        <v>5200000329</v>
      </c>
      <c r="B388">
        <v>9400010924</v>
      </c>
      <c r="C388" s="10">
        <v>46172</v>
      </c>
      <c r="D388" t="s">
        <v>2032</v>
      </c>
      <c r="E388" s="11">
        <v>18876033</v>
      </c>
      <c r="F388" t="s">
        <v>3561</v>
      </c>
      <c r="G388" t="s">
        <v>3562</v>
      </c>
      <c r="H388" s="10">
        <v>46186</v>
      </c>
      <c r="I388">
        <v>1090615</v>
      </c>
      <c r="J388">
        <v>0</v>
      </c>
      <c r="K388">
        <v>1090615</v>
      </c>
    </row>
    <row r="389" spans="1:11" x14ac:dyDescent="0.35">
      <c r="A389">
        <v>2730000505</v>
      </c>
      <c r="B389">
        <v>9400010922</v>
      </c>
      <c r="C389" s="10">
        <v>46172</v>
      </c>
      <c r="D389" t="s">
        <v>2032</v>
      </c>
      <c r="E389" s="11">
        <v>18876516</v>
      </c>
      <c r="F389" t="s">
        <v>841</v>
      </c>
      <c r="G389" t="s">
        <v>842</v>
      </c>
      <c r="H389" s="10">
        <v>46217</v>
      </c>
      <c r="I389">
        <v>20560.32</v>
      </c>
      <c r="J389">
        <v>0</v>
      </c>
      <c r="K389">
        <v>20560.32</v>
      </c>
    </row>
    <row r="390" spans="1:11" x14ac:dyDescent="0.35">
      <c r="A390">
        <v>2730000504</v>
      </c>
      <c r="B390">
        <v>9400010921</v>
      </c>
      <c r="C390" s="10">
        <v>46172</v>
      </c>
      <c r="D390" t="s">
        <v>2032</v>
      </c>
      <c r="E390" s="11">
        <v>18765895</v>
      </c>
      <c r="F390" t="s">
        <v>499</v>
      </c>
      <c r="G390" t="s">
        <v>500</v>
      </c>
      <c r="H390" s="10">
        <v>46217</v>
      </c>
      <c r="I390">
        <v>6598.84</v>
      </c>
      <c r="J390">
        <v>0</v>
      </c>
      <c r="K390">
        <v>6598.84</v>
      </c>
    </row>
    <row r="391" spans="1:11" x14ac:dyDescent="0.35">
      <c r="A391">
        <v>2730000503</v>
      </c>
      <c r="B391">
        <v>9400010920</v>
      </c>
      <c r="C391" s="10">
        <v>46172</v>
      </c>
      <c r="D391" t="s">
        <v>2032</v>
      </c>
      <c r="E391" s="11">
        <v>18876581</v>
      </c>
      <c r="F391" t="s">
        <v>239</v>
      </c>
      <c r="G391" t="s">
        <v>240</v>
      </c>
      <c r="H391" s="10">
        <v>46217</v>
      </c>
      <c r="I391">
        <v>27477.48</v>
      </c>
      <c r="J391">
        <v>0</v>
      </c>
      <c r="K391">
        <v>27477.48</v>
      </c>
    </row>
    <row r="392" spans="1:11" x14ac:dyDescent="0.35">
      <c r="A392">
        <v>3000000857</v>
      </c>
      <c r="B392">
        <v>9400010919</v>
      </c>
      <c r="C392" s="10">
        <v>46172</v>
      </c>
      <c r="D392" t="s">
        <v>2032</v>
      </c>
      <c r="E392" s="11">
        <v>18877331</v>
      </c>
      <c r="F392" t="s">
        <v>1121</v>
      </c>
      <c r="G392" t="s">
        <v>1122</v>
      </c>
      <c r="H392" s="10">
        <v>46217</v>
      </c>
      <c r="I392">
        <v>99847.61</v>
      </c>
      <c r="J392">
        <v>0</v>
      </c>
      <c r="K392">
        <v>99847.61</v>
      </c>
    </row>
    <row r="393" spans="1:11" x14ac:dyDescent="0.35">
      <c r="A393">
        <v>5200000328</v>
      </c>
      <c r="B393">
        <v>9400010918</v>
      </c>
      <c r="C393" s="10">
        <v>46172</v>
      </c>
      <c r="D393" t="s">
        <v>2032</v>
      </c>
      <c r="E393" s="11">
        <v>18855538</v>
      </c>
      <c r="F393" t="s">
        <v>441</v>
      </c>
      <c r="G393" t="s">
        <v>442</v>
      </c>
      <c r="H393" s="10">
        <v>46186</v>
      </c>
      <c r="I393">
        <v>192066.24</v>
      </c>
      <c r="J393">
        <v>0</v>
      </c>
      <c r="K393">
        <v>192066.24</v>
      </c>
    </row>
    <row r="394" spans="1:11" x14ac:dyDescent="0.35">
      <c r="A394">
        <v>5200000327</v>
      </c>
      <c r="B394">
        <v>9400010916</v>
      </c>
      <c r="C394" s="10">
        <v>46172</v>
      </c>
      <c r="D394" t="s">
        <v>2032</v>
      </c>
      <c r="E394" s="11">
        <v>18855558</v>
      </c>
      <c r="F394" t="s">
        <v>1251</v>
      </c>
      <c r="G394" t="s">
        <v>1252</v>
      </c>
      <c r="H394" s="10">
        <v>46217</v>
      </c>
      <c r="I394">
        <v>161834.64000000001</v>
      </c>
      <c r="J394">
        <v>0</v>
      </c>
      <c r="K394">
        <v>161834.64000000001</v>
      </c>
    </row>
    <row r="395" spans="1:11" x14ac:dyDescent="0.35">
      <c r="A395">
        <v>2300000475</v>
      </c>
      <c r="B395">
        <v>9400010915</v>
      </c>
      <c r="C395" s="10">
        <v>46172</v>
      </c>
      <c r="D395" t="s">
        <v>2032</v>
      </c>
      <c r="E395" s="11">
        <v>18876986</v>
      </c>
      <c r="F395" t="s">
        <v>717</v>
      </c>
      <c r="G395" t="s">
        <v>718</v>
      </c>
      <c r="H395" s="10">
        <v>46186</v>
      </c>
      <c r="I395">
        <v>217629.76</v>
      </c>
      <c r="J395">
        <v>0</v>
      </c>
      <c r="K395">
        <v>217629.76</v>
      </c>
    </row>
    <row r="396" spans="1:11" x14ac:dyDescent="0.35">
      <c r="A396">
        <v>2730000502</v>
      </c>
      <c r="B396">
        <v>9400010914</v>
      </c>
      <c r="C396" s="10">
        <v>46172</v>
      </c>
      <c r="D396" t="s">
        <v>2032</v>
      </c>
      <c r="E396" s="11">
        <v>18876581</v>
      </c>
      <c r="F396" t="s">
        <v>239</v>
      </c>
      <c r="G396" t="s">
        <v>240</v>
      </c>
      <c r="H396" s="10">
        <v>46186</v>
      </c>
      <c r="I396">
        <v>332476.79999999999</v>
      </c>
      <c r="J396">
        <v>0</v>
      </c>
      <c r="K396">
        <v>332476.79999999999</v>
      </c>
    </row>
    <row r="397" spans="1:11" x14ac:dyDescent="0.35">
      <c r="A397">
        <v>3000000856</v>
      </c>
      <c r="B397">
        <v>9400010910</v>
      </c>
      <c r="C397" s="10">
        <v>46172</v>
      </c>
      <c r="D397" t="s">
        <v>2032</v>
      </c>
      <c r="E397" s="11">
        <v>18877331</v>
      </c>
      <c r="F397" t="s">
        <v>1121</v>
      </c>
      <c r="G397" t="s">
        <v>1122</v>
      </c>
      <c r="H397" s="10">
        <v>46186</v>
      </c>
      <c r="I397">
        <v>1212847.42</v>
      </c>
      <c r="J397">
        <v>0</v>
      </c>
      <c r="K397">
        <v>1212847.42</v>
      </c>
    </row>
    <row r="398" spans="1:11" x14ac:dyDescent="0.35">
      <c r="A398">
        <v>3000000855</v>
      </c>
      <c r="B398">
        <v>9400010907</v>
      </c>
      <c r="C398" s="10">
        <v>46172</v>
      </c>
      <c r="D398" t="s">
        <v>2032</v>
      </c>
      <c r="E398" s="11">
        <v>18877144</v>
      </c>
      <c r="F398" t="s">
        <v>457</v>
      </c>
      <c r="G398" t="s">
        <v>458</v>
      </c>
      <c r="H398" s="10">
        <v>46186</v>
      </c>
      <c r="I398">
        <v>122908.8</v>
      </c>
      <c r="J398">
        <v>0</v>
      </c>
      <c r="K398">
        <v>122908.8</v>
      </c>
    </row>
    <row r="399" spans="1:11" x14ac:dyDescent="0.35">
      <c r="A399">
        <v>2300000471</v>
      </c>
      <c r="B399">
        <v>9400010905</v>
      </c>
      <c r="C399" s="10">
        <v>46172</v>
      </c>
      <c r="D399" t="s">
        <v>2032</v>
      </c>
      <c r="E399" s="11">
        <v>18876745</v>
      </c>
      <c r="F399" t="s">
        <v>37</v>
      </c>
      <c r="G399" t="s">
        <v>38</v>
      </c>
      <c r="H399" s="10">
        <v>46217</v>
      </c>
      <c r="I399">
        <v>103757.4</v>
      </c>
      <c r="J399">
        <v>0</v>
      </c>
      <c r="K399">
        <v>103757.4</v>
      </c>
    </row>
    <row r="400" spans="1:11" x14ac:dyDescent="0.35">
      <c r="A400">
        <v>3000000854</v>
      </c>
      <c r="B400">
        <v>9400010903</v>
      </c>
      <c r="C400" s="10">
        <v>46172</v>
      </c>
      <c r="D400" t="s">
        <v>2032</v>
      </c>
      <c r="E400" s="11">
        <v>18877142</v>
      </c>
      <c r="F400" t="s">
        <v>3520</v>
      </c>
      <c r="G400" t="s">
        <v>3521</v>
      </c>
      <c r="H400" s="10">
        <v>46186</v>
      </c>
      <c r="I400">
        <v>605127.6</v>
      </c>
      <c r="J400">
        <v>0</v>
      </c>
      <c r="K400">
        <v>605127.6</v>
      </c>
    </row>
    <row r="401" spans="1:11" x14ac:dyDescent="0.35">
      <c r="A401">
        <v>2720000359</v>
      </c>
      <c r="B401">
        <v>9400010896</v>
      </c>
      <c r="C401" s="10">
        <v>46172</v>
      </c>
      <c r="D401" t="s">
        <v>2032</v>
      </c>
      <c r="E401" s="11">
        <v>18853593</v>
      </c>
      <c r="F401" t="s">
        <v>833</v>
      </c>
      <c r="G401" t="s">
        <v>834</v>
      </c>
      <c r="H401" s="10">
        <v>46217</v>
      </c>
      <c r="I401">
        <v>34238.879999999997</v>
      </c>
      <c r="J401">
        <v>0</v>
      </c>
      <c r="K401">
        <v>34238.879999999997</v>
      </c>
    </row>
    <row r="402" spans="1:11" x14ac:dyDescent="0.35">
      <c r="A402">
        <v>9300000542</v>
      </c>
      <c r="B402">
        <v>9400010895</v>
      </c>
      <c r="C402" s="10">
        <v>46172</v>
      </c>
      <c r="D402" t="s">
        <v>2032</v>
      </c>
      <c r="E402" s="11">
        <v>18855296</v>
      </c>
      <c r="F402" t="s">
        <v>20</v>
      </c>
      <c r="G402" t="s">
        <v>21</v>
      </c>
      <c r="H402" s="10">
        <v>46186</v>
      </c>
      <c r="I402">
        <v>55507.199999999997</v>
      </c>
      <c r="J402">
        <v>0</v>
      </c>
      <c r="K402">
        <v>55507.199999999997</v>
      </c>
    </row>
    <row r="403" spans="1:11" x14ac:dyDescent="0.35">
      <c r="A403">
        <v>5100000670</v>
      </c>
      <c r="B403">
        <v>9400010893</v>
      </c>
      <c r="C403" s="10">
        <v>46172</v>
      </c>
      <c r="D403" t="s">
        <v>2032</v>
      </c>
      <c r="E403" s="11">
        <v>18876585</v>
      </c>
      <c r="F403" t="s">
        <v>298</v>
      </c>
      <c r="G403" t="s">
        <v>299</v>
      </c>
      <c r="H403" s="10">
        <v>46217</v>
      </c>
      <c r="I403">
        <v>59803.360000000001</v>
      </c>
      <c r="J403">
        <v>0</v>
      </c>
      <c r="K403">
        <v>59803.360000000001</v>
      </c>
    </row>
    <row r="404" spans="1:11" x14ac:dyDescent="0.35">
      <c r="A404">
        <v>2720000358</v>
      </c>
      <c r="B404">
        <v>9400010890</v>
      </c>
      <c r="C404" s="10">
        <v>46172</v>
      </c>
      <c r="D404" t="s">
        <v>2032</v>
      </c>
      <c r="E404" s="11">
        <v>18877027</v>
      </c>
      <c r="F404" t="s">
        <v>314</v>
      </c>
      <c r="G404" t="s">
        <v>315</v>
      </c>
      <c r="H404" s="10">
        <v>46217</v>
      </c>
      <c r="I404">
        <v>103183.92</v>
      </c>
      <c r="J404">
        <v>0</v>
      </c>
      <c r="K404">
        <v>103183.92</v>
      </c>
    </row>
    <row r="405" spans="1:11" x14ac:dyDescent="0.35">
      <c r="A405">
        <v>2730000501</v>
      </c>
      <c r="B405">
        <v>9400010889</v>
      </c>
      <c r="C405" s="10">
        <v>46172</v>
      </c>
      <c r="D405" t="s">
        <v>2032</v>
      </c>
      <c r="E405" s="11">
        <v>18876781</v>
      </c>
      <c r="F405" t="s">
        <v>437</v>
      </c>
      <c r="G405" t="s">
        <v>438</v>
      </c>
      <c r="H405" s="10">
        <v>46217</v>
      </c>
      <c r="I405">
        <v>118338.08</v>
      </c>
      <c r="J405">
        <v>0</v>
      </c>
      <c r="K405">
        <v>118338.08</v>
      </c>
    </row>
    <row r="406" spans="1:11" x14ac:dyDescent="0.35">
      <c r="A406">
        <v>5200000326</v>
      </c>
      <c r="B406">
        <v>9400010888</v>
      </c>
      <c r="C406" s="10">
        <v>46172</v>
      </c>
      <c r="D406" t="s">
        <v>2032</v>
      </c>
      <c r="E406" s="11">
        <v>18853684</v>
      </c>
      <c r="F406" t="s">
        <v>999</v>
      </c>
      <c r="G406" t="s">
        <v>1000</v>
      </c>
      <c r="H406" s="10">
        <v>46186</v>
      </c>
      <c r="I406">
        <v>347670.48</v>
      </c>
      <c r="J406">
        <v>0</v>
      </c>
      <c r="K406">
        <v>347670.48</v>
      </c>
    </row>
    <row r="407" spans="1:11" x14ac:dyDescent="0.35">
      <c r="A407">
        <v>5100000668</v>
      </c>
      <c r="B407">
        <v>9400010884</v>
      </c>
      <c r="C407" s="10">
        <v>46172</v>
      </c>
      <c r="D407" t="s">
        <v>2032</v>
      </c>
      <c r="E407" s="11">
        <v>18876585</v>
      </c>
      <c r="F407" t="s">
        <v>298</v>
      </c>
      <c r="G407" t="s">
        <v>299</v>
      </c>
      <c r="H407" s="10">
        <v>46186</v>
      </c>
      <c r="I407">
        <v>607921.84</v>
      </c>
      <c r="J407">
        <v>0</v>
      </c>
      <c r="K407">
        <v>607921.84</v>
      </c>
    </row>
    <row r="408" spans="1:11" x14ac:dyDescent="0.35">
      <c r="A408">
        <v>8000000595</v>
      </c>
      <c r="B408">
        <v>9400010882</v>
      </c>
      <c r="C408" s="10">
        <v>46172</v>
      </c>
      <c r="D408" t="s">
        <v>2032</v>
      </c>
      <c r="E408" s="11">
        <v>18877052</v>
      </c>
      <c r="F408" t="s">
        <v>689</v>
      </c>
      <c r="G408" t="s">
        <v>690</v>
      </c>
      <c r="H408" s="10">
        <v>46217</v>
      </c>
      <c r="I408">
        <v>61680.959999999999</v>
      </c>
      <c r="J408">
        <v>0</v>
      </c>
      <c r="K408">
        <v>61680.959999999999</v>
      </c>
    </row>
    <row r="409" spans="1:11" x14ac:dyDescent="0.35">
      <c r="A409">
        <v>2720000357</v>
      </c>
      <c r="B409">
        <v>9400010881</v>
      </c>
      <c r="C409" s="10">
        <v>46172</v>
      </c>
      <c r="D409" t="s">
        <v>2032</v>
      </c>
      <c r="E409" s="11">
        <v>18876962</v>
      </c>
      <c r="F409" t="s">
        <v>957</v>
      </c>
      <c r="G409" t="s">
        <v>958</v>
      </c>
      <c r="H409" s="10">
        <v>46217</v>
      </c>
      <c r="I409">
        <v>22256.84</v>
      </c>
      <c r="J409">
        <v>0</v>
      </c>
      <c r="K409">
        <v>22256.84</v>
      </c>
    </row>
    <row r="410" spans="1:11" x14ac:dyDescent="0.35">
      <c r="A410">
        <v>8000000594</v>
      </c>
      <c r="B410">
        <v>9400010879</v>
      </c>
      <c r="C410" s="10">
        <v>46172</v>
      </c>
      <c r="D410" t="s">
        <v>2032</v>
      </c>
      <c r="E410" s="11">
        <v>18877048</v>
      </c>
      <c r="F410" t="s">
        <v>721</v>
      </c>
      <c r="G410" t="s">
        <v>722</v>
      </c>
      <c r="H410" s="10">
        <v>46217</v>
      </c>
      <c r="I410">
        <v>20560.32</v>
      </c>
      <c r="J410">
        <v>0</v>
      </c>
      <c r="K410">
        <v>20560.32</v>
      </c>
    </row>
    <row r="411" spans="1:11" x14ac:dyDescent="0.35">
      <c r="A411">
        <v>9200000682</v>
      </c>
      <c r="B411">
        <v>9400010877</v>
      </c>
      <c r="C411" s="10">
        <v>46172</v>
      </c>
      <c r="D411" t="s">
        <v>2032</v>
      </c>
      <c r="E411" s="11">
        <v>18876234</v>
      </c>
      <c r="F411" t="s">
        <v>208</v>
      </c>
      <c r="G411" t="s">
        <v>209</v>
      </c>
      <c r="H411" s="10">
        <v>46217</v>
      </c>
      <c r="I411">
        <v>7218.06</v>
      </c>
      <c r="J411">
        <v>0</v>
      </c>
      <c r="K411">
        <v>7218.06</v>
      </c>
    </row>
    <row r="412" spans="1:11" x14ac:dyDescent="0.35">
      <c r="A412">
        <v>7000000508</v>
      </c>
      <c r="B412">
        <v>9400010876</v>
      </c>
      <c r="C412" s="10">
        <v>46172</v>
      </c>
      <c r="D412" t="s">
        <v>2032</v>
      </c>
      <c r="E412" s="11">
        <v>123654</v>
      </c>
      <c r="F412" t="s">
        <v>190</v>
      </c>
      <c r="G412" t="s">
        <v>191</v>
      </c>
      <c r="H412" s="10">
        <v>46186</v>
      </c>
      <c r="I412">
        <v>271588.8</v>
      </c>
      <c r="J412">
        <v>0</v>
      </c>
      <c r="K412">
        <v>271588.8</v>
      </c>
    </row>
    <row r="413" spans="1:11" x14ac:dyDescent="0.35">
      <c r="A413">
        <v>2300000468</v>
      </c>
      <c r="B413">
        <v>9400010875</v>
      </c>
      <c r="C413" s="10">
        <v>46172</v>
      </c>
      <c r="D413" t="s">
        <v>2032</v>
      </c>
      <c r="E413" s="11">
        <v>18855332</v>
      </c>
      <c r="F413" t="s">
        <v>467</v>
      </c>
      <c r="G413" t="s">
        <v>468</v>
      </c>
      <c r="H413" s="10">
        <v>46186</v>
      </c>
      <c r="I413">
        <v>33984</v>
      </c>
      <c r="J413">
        <v>0</v>
      </c>
      <c r="K413">
        <v>33984</v>
      </c>
    </row>
    <row r="414" spans="1:11" x14ac:dyDescent="0.35">
      <c r="A414">
        <v>2720000356</v>
      </c>
      <c r="B414">
        <v>9400010873</v>
      </c>
      <c r="C414" s="10">
        <v>46172</v>
      </c>
      <c r="D414" t="s">
        <v>2032</v>
      </c>
      <c r="E414" s="11">
        <v>18876962</v>
      </c>
      <c r="F414" t="s">
        <v>957</v>
      </c>
      <c r="G414" t="s">
        <v>958</v>
      </c>
      <c r="H414" s="10">
        <v>46186</v>
      </c>
      <c r="I414">
        <v>56826.44</v>
      </c>
      <c r="J414">
        <v>0</v>
      </c>
      <c r="K414">
        <v>56826.44</v>
      </c>
    </row>
    <row r="415" spans="1:11" x14ac:dyDescent="0.35">
      <c r="A415">
        <v>8000000593</v>
      </c>
      <c r="B415">
        <v>9400010872</v>
      </c>
      <c r="C415" s="10">
        <v>46172</v>
      </c>
      <c r="D415" t="s">
        <v>2032</v>
      </c>
      <c r="E415" s="11">
        <v>18877039</v>
      </c>
      <c r="F415" t="s">
        <v>42</v>
      </c>
      <c r="G415" t="s">
        <v>43</v>
      </c>
      <c r="H415" s="10">
        <v>46186</v>
      </c>
      <c r="I415">
        <v>67968</v>
      </c>
      <c r="J415">
        <v>0</v>
      </c>
      <c r="K415">
        <v>67968</v>
      </c>
    </row>
    <row r="416" spans="1:11" x14ac:dyDescent="0.35">
      <c r="A416">
        <v>8000000592</v>
      </c>
      <c r="B416">
        <v>9400010870</v>
      </c>
      <c r="C416" s="10">
        <v>46172</v>
      </c>
      <c r="D416" t="s">
        <v>2032</v>
      </c>
      <c r="E416" s="11">
        <v>18877023</v>
      </c>
      <c r="F416" t="s">
        <v>389</v>
      </c>
      <c r="G416" t="s">
        <v>390</v>
      </c>
      <c r="H416" s="10">
        <v>46186</v>
      </c>
      <c r="I416">
        <v>262243.20000000001</v>
      </c>
      <c r="J416">
        <v>0</v>
      </c>
      <c r="K416">
        <v>262243.20000000001</v>
      </c>
    </row>
    <row r="417" spans="1:11" x14ac:dyDescent="0.35">
      <c r="A417">
        <v>7000000507</v>
      </c>
      <c r="B417">
        <v>9400010868</v>
      </c>
      <c r="C417" s="10">
        <v>46172</v>
      </c>
      <c r="D417" t="s">
        <v>2032</v>
      </c>
      <c r="E417" s="11">
        <v>159684</v>
      </c>
      <c r="F417" t="s">
        <v>3526</v>
      </c>
      <c r="G417" t="s">
        <v>3527</v>
      </c>
      <c r="H417" s="10">
        <v>46186</v>
      </c>
      <c r="I417">
        <v>170712.95999999999</v>
      </c>
      <c r="J417">
        <v>0</v>
      </c>
      <c r="K417">
        <v>170712.95999999999</v>
      </c>
    </row>
    <row r="418" spans="1:11" x14ac:dyDescent="0.35">
      <c r="A418">
        <v>8000000591</v>
      </c>
      <c r="B418">
        <v>9400010867</v>
      </c>
      <c r="C418" s="10">
        <v>46172</v>
      </c>
      <c r="D418" t="s">
        <v>2032</v>
      </c>
      <c r="E418" s="11">
        <v>18877019</v>
      </c>
      <c r="F418" t="s">
        <v>693</v>
      </c>
      <c r="G418" t="s">
        <v>694</v>
      </c>
      <c r="H418" s="10">
        <v>46186</v>
      </c>
      <c r="I418">
        <v>130555.2</v>
      </c>
      <c r="J418">
        <v>0</v>
      </c>
      <c r="K418">
        <v>130555.2</v>
      </c>
    </row>
    <row r="419" spans="1:11" x14ac:dyDescent="0.35">
      <c r="A419">
        <v>9100000952</v>
      </c>
      <c r="B419">
        <v>9400010865</v>
      </c>
      <c r="C419" s="10">
        <v>46172</v>
      </c>
      <c r="D419" t="s">
        <v>2032</v>
      </c>
      <c r="E419" s="11">
        <v>18854291</v>
      </c>
      <c r="F419" t="s">
        <v>86</v>
      </c>
      <c r="G419" t="s">
        <v>87</v>
      </c>
      <c r="H419" s="10">
        <v>46217</v>
      </c>
      <c r="I419">
        <v>4980.92</v>
      </c>
      <c r="J419">
        <v>0</v>
      </c>
      <c r="K419">
        <v>4980.92</v>
      </c>
    </row>
    <row r="420" spans="1:11" x14ac:dyDescent="0.35">
      <c r="A420">
        <v>9200000680</v>
      </c>
      <c r="B420">
        <v>9400010864</v>
      </c>
      <c r="C420" s="10">
        <v>46172</v>
      </c>
      <c r="D420" t="s">
        <v>2032</v>
      </c>
      <c r="E420" s="11">
        <v>18855129</v>
      </c>
      <c r="F420" t="s">
        <v>206</v>
      </c>
      <c r="G420" t="s">
        <v>207</v>
      </c>
      <c r="H420" s="10">
        <v>46217</v>
      </c>
      <c r="I420">
        <v>82441.08</v>
      </c>
      <c r="J420">
        <v>0</v>
      </c>
      <c r="K420">
        <v>82441.08</v>
      </c>
    </row>
    <row r="421" spans="1:11" x14ac:dyDescent="0.35">
      <c r="A421">
        <v>9300000540</v>
      </c>
      <c r="B421">
        <v>9400010863</v>
      </c>
      <c r="C421" s="10">
        <v>46172</v>
      </c>
      <c r="D421" t="s">
        <v>2032</v>
      </c>
      <c r="E421" s="11">
        <v>18822083</v>
      </c>
      <c r="F421" t="s">
        <v>286</v>
      </c>
      <c r="G421" t="s">
        <v>287</v>
      </c>
      <c r="H421" s="10">
        <v>46217</v>
      </c>
      <c r="I421">
        <v>105818.86</v>
      </c>
      <c r="J421">
        <v>0</v>
      </c>
      <c r="K421">
        <v>105818.86</v>
      </c>
    </row>
    <row r="422" spans="1:11" x14ac:dyDescent="0.35">
      <c r="A422">
        <v>9100000951</v>
      </c>
      <c r="B422">
        <v>9400010862</v>
      </c>
      <c r="C422" s="10">
        <v>46172</v>
      </c>
      <c r="D422" t="s">
        <v>2032</v>
      </c>
      <c r="E422" s="11">
        <v>18854291</v>
      </c>
      <c r="F422" t="s">
        <v>86</v>
      </c>
      <c r="G422" t="s">
        <v>87</v>
      </c>
      <c r="H422" s="10">
        <v>46186</v>
      </c>
      <c r="I422">
        <v>67854.720000000001</v>
      </c>
      <c r="J422">
        <v>0</v>
      </c>
      <c r="K422">
        <v>67854.720000000001</v>
      </c>
    </row>
    <row r="423" spans="1:11" x14ac:dyDescent="0.35">
      <c r="A423">
        <v>9200000679</v>
      </c>
      <c r="B423">
        <v>9400010861</v>
      </c>
      <c r="C423" s="10">
        <v>46172</v>
      </c>
      <c r="D423" t="s">
        <v>2032</v>
      </c>
      <c r="E423" s="11">
        <v>18876861</v>
      </c>
      <c r="F423" t="s">
        <v>158</v>
      </c>
      <c r="G423" t="s">
        <v>159</v>
      </c>
      <c r="H423" s="10">
        <v>46217</v>
      </c>
      <c r="I423">
        <v>30840.48</v>
      </c>
      <c r="J423">
        <v>0</v>
      </c>
      <c r="K423">
        <v>30840.48</v>
      </c>
    </row>
    <row r="424" spans="1:11" x14ac:dyDescent="0.35">
      <c r="A424">
        <v>2730000499</v>
      </c>
      <c r="B424">
        <v>9400010860</v>
      </c>
      <c r="C424" s="10">
        <v>46172</v>
      </c>
      <c r="D424" t="s">
        <v>2032</v>
      </c>
      <c r="E424" s="11">
        <v>18876866</v>
      </c>
      <c r="F424" t="s">
        <v>437</v>
      </c>
      <c r="G424" t="s">
        <v>438</v>
      </c>
      <c r="H424" s="10">
        <v>46186</v>
      </c>
      <c r="I424">
        <v>507636</v>
      </c>
      <c r="J424">
        <v>0</v>
      </c>
      <c r="K424">
        <v>507636</v>
      </c>
    </row>
    <row r="425" spans="1:11" x14ac:dyDescent="0.35">
      <c r="A425">
        <v>2300000467</v>
      </c>
      <c r="B425">
        <v>9400010859</v>
      </c>
      <c r="C425" s="10">
        <v>46172</v>
      </c>
      <c r="D425" t="s">
        <v>2032</v>
      </c>
      <c r="E425" s="11">
        <v>18876759</v>
      </c>
      <c r="F425" t="s">
        <v>1053</v>
      </c>
      <c r="G425" t="s">
        <v>1054</v>
      </c>
      <c r="H425" s="10">
        <v>46217</v>
      </c>
      <c r="I425">
        <v>127121.88</v>
      </c>
      <c r="J425">
        <v>0</v>
      </c>
      <c r="K425">
        <v>127121.88</v>
      </c>
    </row>
    <row r="426" spans="1:11" x14ac:dyDescent="0.35">
      <c r="A426">
        <v>8000000590</v>
      </c>
      <c r="B426">
        <v>9400010856</v>
      </c>
      <c r="C426" s="10">
        <v>46172</v>
      </c>
      <c r="D426" t="s">
        <v>2032</v>
      </c>
      <c r="E426" s="11">
        <v>18876348</v>
      </c>
      <c r="F426" t="s">
        <v>42</v>
      </c>
      <c r="G426" t="s">
        <v>43</v>
      </c>
      <c r="H426" s="10">
        <v>46186</v>
      </c>
      <c r="I426">
        <v>231657.60000000001</v>
      </c>
      <c r="J426">
        <v>0</v>
      </c>
      <c r="K426">
        <v>231657.60000000001</v>
      </c>
    </row>
    <row r="427" spans="1:11" x14ac:dyDescent="0.35">
      <c r="A427">
        <v>9200000678</v>
      </c>
      <c r="B427">
        <v>9400010855</v>
      </c>
      <c r="C427" s="10">
        <v>46172</v>
      </c>
      <c r="D427" t="s">
        <v>2032</v>
      </c>
      <c r="E427" s="11">
        <v>18875903</v>
      </c>
      <c r="F427" t="s">
        <v>208</v>
      </c>
      <c r="G427" t="s">
        <v>209</v>
      </c>
      <c r="H427" s="10">
        <v>46217</v>
      </c>
      <c r="I427">
        <v>16924.740000000002</v>
      </c>
      <c r="J427">
        <v>0</v>
      </c>
      <c r="K427">
        <v>16924.740000000002</v>
      </c>
    </row>
    <row r="428" spans="1:11" x14ac:dyDescent="0.35">
      <c r="A428">
        <v>9200000677</v>
      </c>
      <c r="B428">
        <v>9400010854</v>
      </c>
      <c r="C428" s="10">
        <v>46172</v>
      </c>
      <c r="D428" t="s">
        <v>2032</v>
      </c>
      <c r="E428" s="11">
        <v>18875903</v>
      </c>
      <c r="F428" t="s">
        <v>208</v>
      </c>
      <c r="G428" t="s">
        <v>209</v>
      </c>
      <c r="H428" s="10">
        <v>46186</v>
      </c>
      <c r="I428">
        <v>7316</v>
      </c>
      <c r="J428">
        <v>0</v>
      </c>
      <c r="K428">
        <v>7316</v>
      </c>
    </row>
    <row r="429" spans="1:11" x14ac:dyDescent="0.35">
      <c r="A429">
        <v>5100000666</v>
      </c>
      <c r="B429">
        <v>9400010853</v>
      </c>
      <c r="C429" s="10">
        <v>46172</v>
      </c>
      <c r="D429" t="s">
        <v>2032</v>
      </c>
      <c r="E429" s="11">
        <v>18855103</v>
      </c>
      <c r="F429" t="s">
        <v>473</v>
      </c>
      <c r="G429" t="s">
        <v>474</v>
      </c>
      <c r="H429" s="10">
        <v>46217</v>
      </c>
      <c r="I429">
        <v>10127.36</v>
      </c>
      <c r="J429">
        <v>0</v>
      </c>
      <c r="K429">
        <v>10127.36</v>
      </c>
    </row>
    <row r="430" spans="1:11" x14ac:dyDescent="0.35">
      <c r="A430">
        <v>8000000589</v>
      </c>
      <c r="B430">
        <v>9400010852</v>
      </c>
      <c r="C430" s="10">
        <v>46172</v>
      </c>
      <c r="D430" t="s">
        <v>2032</v>
      </c>
      <c r="E430" s="11">
        <v>18877005</v>
      </c>
      <c r="F430" t="s">
        <v>719</v>
      </c>
      <c r="G430" t="s">
        <v>720</v>
      </c>
      <c r="H430" s="10">
        <v>46186</v>
      </c>
      <c r="I430">
        <v>166804.79999999999</v>
      </c>
      <c r="J430">
        <v>0</v>
      </c>
      <c r="K430">
        <v>166804.79999999999</v>
      </c>
    </row>
    <row r="431" spans="1:11" x14ac:dyDescent="0.35">
      <c r="A431">
        <v>2300000466</v>
      </c>
      <c r="B431">
        <v>9400010850</v>
      </c>
      <c r="C431" s="10">
        <v>46172</v>
      </c>
      <c r="D431" t="s">
        <v>2032</v>
      </c>
      <c r="E431" s="11">
        <v>18876759</v>
      </c>
      <c r="F431" t="s">
        <v>1053</v>
      </c>
      <c r="G431" t="s">
        <v>1054</v>
      </c>
      <c r="H431" s="10">
        <v>46217</v>
      </c>
      <c r="I431">
        <v>4131.1000000000004</v>
      </c>
      <c r="J431">
        <v>0</v>
      </c>
      <c r="K431">
        <v>4131.1000000000004</v>
      </c>
    </row>
    <row r="432" spans="1:11" x14ac:dyDescent="0.35">
      <c r="A432">
        <v>5100000665</v>
      </c>
      <c r="B432">
        <v>9400010849</v>
      </c>
      <c r="C432" s="10">
        <v>46172</v>
      </c>
      <c r="D432" t="s">
        <v>2032</v>
      </c>
      <c r="E432" s="11">
        <v>18854578</v>
      </c>
      <c r="F432" t="s">
        <v>331</v>
      </c>
      <c r="G432" t="s">
        <v>332</v>
      </c>
      <c r="H432" s="10">
        <v>46217</v>
      </c>
      <c r="I432">
        <v>92309.86</v>
      </c>
      <c r="J432">
        <v>0</v>
      </c>
      <c r="K432">
        <v>92309.86</v>
      </c>
    </row>
    <row r="433" spans="1:11" x14ac:dyDescent="0.35">
      <c r="A433">
        <v>8000000588</v>
      </c>
      <c r="B433">
        <v>9400010847</v>
      </c>
      <c r="C433" s="10">
        <v>46172</v>
      </c>
      <c r="D433" t="s">
        <v>2032</v>
      </c>
      <c r="E433" s="11">
        <v>18877000</v>
      </c>
      <c r="F433" t="s">
        <v>263</v>
      </c>
      <c r="G433" t="s">
        <v>264</v>
      </c>
      <c r="H433" s="10">
        <v>46186</v>
      </c>
      <c r="I433">
        <v>166804.79999999999</v>
      </c>
      <c r="J433">
        <v>0</v>
      </c>
      <c r="K433">
        <v>166804.79999999999</v>
      </c>
    </row>
    <row r="434" spans="1:11" x14ac:dyDescent="0.35">
      <c r="A434">
        <v>9100000949</v>
      </c>
      <c r="B434">
        <v>9400010845</v>
      </c>
      <c r="C434" s="10">
        <v>46172</v>
      </c>
      <c r="D434" t="s">
        <v>2032</v>
      </c>
      <c r="E434" s="11">
        <v>18876615</v>
      </c>
      <c r="F434" t="s">
        <v>3545</v>
      </c>
      <c r="G434" t="s">
        <v>3546</v>
      </c>
      <c r="H434" s="10">
        <v>46217</v>
      </c>
      <c r="I434">
        <v>29509.57</v>
      </c>
      <c r="J434">
        <v>0</v>
      </c>
      <c r="K434">
        <v>29509.57</v>
      </c>
    </row>
    <row r="435" spans="1:11" x14ac:dyDescent="0.35">
      <c r="A435">
        <v>2730000497</v>
      </c>
      <c r="B435">
        <v>9400010844</v>
      </c>
      <c r="C435" s="10">
        <v>46172</v>
      </c>
      <c r="D435" t="s">
        <v>2032</v>
      </c>
      <c r="E435" s="11">
        <v>18876825</v>
      </c>
      <c r="F435" t="s">
        <v>437</v>
      </c>
      <c r="G435" t="s">
        <v>438</v>
      </c>
      <c r="H435" s="10">
        <v>46186</v>
      </c>
      <c r="I435">
        <v>498177.12</v>
      </c>
      <c r="J435">
        <v>0</v>
      </c>
      <c r="K435">
        <v>498177.12</v>
      </c>
    </row>
    <row r="436" spans="1:11" x14ac:dyDescent="0.35">
      <c r="A436">
        <v>5100000664</v>
      </c>
      <c r="B436">
        <v>9400010843</v>
      </c>
      <c r="C436" s="10">
        <v>46172</v>
      </c>
      <c r="D436" t="s">
        <v>2032</v>
      </c>
      <c r="E436" s="11">
        <v>18855103</v>
      </c>
      <c r="F436" t="s">
        <v>473</v>
      </c>
      <c r="G436" t="s">
        <v>474</v>
      </c>
      <c r="H436" s="10">
        <v>46186</v>
      </c>
      <c r="I436">
        <v>108748.8</v>
      </c>
      <c r="J436">
        <v>0</v>
      </c>
      <c r="K436">
        <v>108748.8</v>
      </c>
    </row>
    <row r="437" spans="1:11" x14ac:dyDescent="0.35">
      <c r="A437">
        <v>5100000663</v>
      </c>
      <c r="B437">
        <v>9400010842</v>
      </c>
      <c r="C437" s="10">
        <v>46172</v>
      </c>
      <c r="D437" t="s">
        <v>2032</v>
      </c>
      <c r="E437" s="11">
        <v>18875914</v>
      </c>
      <c r="F437" t="s">
        <v>331</v>
      </c>
      <c r="G437" t="s">
        <v>332</v>
      </c>
      <c r="H437" s="10">
        <v>46186</v>
      </c>
      <c r="I437">
        <v>40157.760000000002</v>
      </c>
      <c r="J437">
        <v>0</v>
      </c>
      <c r="K437">
        <v>40157.760000000002</v>
      </c>
    </row>
    <row r="438" spans="1:11" x14ac:dyDescent="0.35">
      <c r="A438">
        <v>5200000324</v>
      </c>
      <c r="B438">
        <v>9400010841</v>
      </c>
      <c r="C438" s="10">
        <v>46172</v>
      </c>
      <c r="D438" t="s">
        <v>2032</v>
      </c>
      <c r="E438" s="11">
        <v>18853281</v>
      </c>
      <c r="F438" t="s">
        <v>613</v>
      </c>
      <c r="G438" t="s">
        <v>614</v>
      </c>
      <c r="H438" s="10">
        <v>46186</v>
      </c>
      <c r="I438">
        <v>5187.88</v>
      </c>
      <c r="J438">
        <v>0</v>
      </c>
      <c r="K438">
        <v>5187.88</v>
      </c>
    </row>
    <row r="439" spans="1:11" x14ac:dyDescent="0.35">
      <c r="A439">
        <v>9200000676</v>
      </c>
      <c r="B439">
        <v>9400010840</v>
      </c>
      <c r="C439" s="10">
        <v>46172</v>
      </c>
      <c r="D439" t="s">
        <v>2032</v>
      </c>
      <c r="E439" s="11">
        <v>18875975</v>
      </c>
      <c r="F439" t="s">
        <v>124</v>
      </c>
      <c r="G439" t="s">
        <v>125</v>
      </c>
      <c r="H439" s="10">
        <v>46217</v>
      </c>
      <c r="I439">
        <v>78605.7</v>
      </c>
      <c r="J439">
        <v>0</v>
      </c>
      <c r="K439">
        <v>78605.7</v>
      </c>
    </row>
    <row r="440" spans="1:11" x14ac:dyDescent="0.35">
      <c r="A440">
        <v>9200000675</v>
      </c>
      <c r="B440">
        <v>9400010837</v>
      </c>
      <c r="C440" s="10">
        <v>46172</v>
      </c>
      <c r="D440" t="s">
        <v>2032</v>
      </c>
      <c r="E440" s="11">
        <v>18876896</v>
      </c>
      <c r="F440" t="s">
        <v>1277</v>
      </c>
      <c r="G440" t="s">
        <v>1278</v>
      </c>
      <c r="H440" s="10">
        <v>46217</v>
      </c>
      <c r="I440">
        <v>41913.599999999999</v>
      </c>
      <c r="J440">
        <v>0</v>
      </c>
      <c r="K440">
        <v>41913.599999999999</v>
      </c>
    </row>
    <row r="441" spans="1:11" x14ac:dyDescent="0.35">
      <c r="A441">
        <v>9200000674</v>
      </c>
      <c r="B441">
        <v>9400010835</v>
      </c>
      <c r="C441" s="10">
        <v>46172</v>
      </c>
      <c r="D441" t="s">
        <v>2032</v>
      </c>
      <c r="E441" s="11">
        <v>18876476</v>
      </c>
      <c r="F441" t="s">
        <v>859</v>
      </c>
      <c r="G441" t="s">
        <v>860</v>
      </c>
      <c r="H441" s="10">
        <v>46217</v>
      </c>
      <c r="I441">
        <v>69856</v>
      </c>
      <c r="J441">
        <v>0</v>
      </c>
      <c r="K441">
        <v>69856</v>
      </c>
    </row>
    <row r="442" spans="1:11" x14ac:dyDescent="0.35">
      <c r="A442">
        <v>7000000504</v>
      </c>
      <c r="B442">
        <v>9400010834</v>
      </c>
      <c r="C442" s="10">
        <v>46172</v>
      </c>
      <c r="D442" t="s">
        <v>2032</v>
      </c>
      <c r="E442" s="11">
        <v>2569874</v>
      </c>
      <c r="F442" t="s">
        <v>165</v>
      </c>
      <c r="G442" t="s">
        <v>166</v>
      </c>
      <c r="H442" s="10">
        <v>46186</v>
      </c>
      <c r="I442">
        <v>129988.8</v>
      </c>
      <c r="J442">
        <v>0</v>
      </c>
      <c r="K442">
        <v>129988.8</v>
      </c>
    </row>
    <row r="443" spans="1:11" x14ac:dyDescent="0.35">
      <c r="A443">
        <v>2300000465</v>
      </c>
      <c r="B443">
        <v>9400010833</v>
      </c>
      <c r="C443" s="10">
        <v>46172</v>
      </c>
      <c r="D443" t="s">
        <v>2032</v>
      </c>
      <c r="E443" s="11">
        <v>18876759</v>
      </c>
      <c r="F443" t="s">
        <v>1053</v>
      </c>
      <c r="G443" t="s">
        <v>1054</v>
      </c>
      <c r="H443" s="10">
        <v>46186</v>
      </c>
      <c r="I443">
        <v>70044.800000000003</v>
      </c>
      <c r="J443">
        <v>0</v>
      </c>
      <c r="K443">
        <v>70044.800000000003</v>
      </c>
    </row>
    <row r="444" spans="1:11" x14ac:dyDescent="0.35">
      <c r="A444">
        <v>5200000323</v>
      </c>
      <c r="B444">
        <v>9400010832</v>
      </c>
      <c r="C444" s="10">
        <v>46172</v>
      </c>
      <c r="D444" t="s">
        <v>2032</v>
      </c>
      <c r="E444" s="11">
        <v>18853770</v>
      </c>
      <c r="F444" t="s">
        <v>889</v>
      </c>
      <c r="G444" t="s">
        <v>890</v>
      </c>
      <c r="H444" s="10">
        <v>46217</v>
      </c>
      <c r="I444">
        <v>17477.34</v>
      </c>
      <c r="J444">
        <v>0</v>
      </c>
      <c r="K444">
        <v>17477.34</v>
      </c>
    </row>
    <row r="445" spans="1:11" x14ac:dyDescent="0.35">
      <c r="A445">
        <v>9300000539</v>
      </c>
      <c r="B445">
        <v>9400010831</v>
      </c>
      <c r="C445" s="10">
        <v>46172</v>
      </c>
      <c r="D445" t="s">
        <v>2032</v>
      </c>
      <c r="E445" s="11">
        <v>18854930</v>
      </c>
      <c r="F445" t="s">
        <v>182</v>
      </c>
      <c r="G445" t="s">
        <v>183</v>
      </c>
      <c r="H445" s="10">
        <v>46186</v>
      </c>
      <c r="I445">
        <v>417139.44</v>
      </c>
      <c r="J445">
        <v>0</v>
      </c>
      <c r="K445">
        <v>417139.44</v>
      </c>
    </row>
    <row r="446" spans="1:11" x14ac:dyDescent="0.35">
      <c r="A446">
        <v>2300000464</v>
      </c>
      <c r="B446">
        <v>9400010828</v>
      </c>
      <c r="C446" s="10">
        <v>46172</v>
      </c>
      <c r="D446" t="s">
        <v>2032</v>
      </c>
      <c r="E446" s="11">
        <v>18876730</v>
      </c>
      <c r="F446" t="s">
        <v>391</v>
      </c>
      <c r="G446" t="s">
        <v>392</v>
      </c>
      <c r="H446" s="10">
        <v>46217</v>
      </c>
      <c r="I446">
        <v>129414.14</v>
      </c>
      <c r="J446">
        <v>0</v>
      </c>
      <c r="K446">
        <v>129414.14</v>
      </c>
    </row>
    <row r="447" spans="1:11" x14ac:dyDescent="0.35">
      <c r="A447">
        <v>9200000673</v>
      </c>
      <c r="B447">
        <v>9400010826</v>
      </c>
      <c r="C447" s="10">
        <v>46172</v>
      </c>
      <c r="D447" t="s">
        <v>2032</v>
      </c>
      <c r="E447" s="11">
        <v>18875970</v>
      </c>
      <c r="F447" t="s">
        <v>103</v>
      </c>
      <c r="G447" t="s">
        <v>104</v>
      </c>
      <c r="H447" s="10">
        <v>46217</v>
      </c>
      <c r="I447">
        <v>126800.92</v>
      </c>
      <c r="J447">
        <v>0</v>
      </c>
      <c r="K447">
        <v>126800.92</v>
      </c>
    </row>
    <row r="448" spans="1:11" x14ac:dyDescent="0.35">
      <c r="A448">
        <v>2720000355</v>
      </c>
      <c r="B448">
        <v>9400010825</v>
      </c>
      <c r="C448" s="10">
        <v>46172</v>
      </c>
      <c r="D448" t="s">
        <v>2032</v>
      </c>
      <c r="E448" s="11">
        <v>18876824</v>
      </c>
      <c r="F448" t="s">
        <v>146</v>
      </c>
      <c r="G448" t="s">
        <v>147</v>
      </c>
      <c r="H448" s="10">
        <v>46217</v>
      </c>
      <c r="I448">
        <v>409973.3</v>
      </c>
      <c r="J448">
        <v>0</v>
      </c>
      <c r="K448">
        <v>409973.3</v>
      </c>
    </row>
    <row r="449" spans="1:11" x14ac:dyDescent="0.35">
      <c r="A449">
        <v>5200000322</v>
      </c>
      <c r="B449">
        <v>9400010824</v>
      </c>
      <c r="C449" s="10">
        <v>46172</v>
      </c>
      <c r="D449" t="s">
        <v>2032</v>
      </c>
      <c r="E449" s="11">
        <v>18865682</v>
      </c>
      <c r="F449" t="s">
        <v>889</v>
      </c>
      <c r="G449" t="s">
        <v>890</v>
      </c>
      <c r="H449" s="10">
        <v>46186</v>
      </c>
      <c r="I449">
        <v>241003.2</v>
      </c>
      <c r="J449">
        <v>0</v>
      </c>
      <c r="K449">
        <v>241003.2</v>
      </c>
    </row>
    <row r="450" spans="1:11" x14ac:dyDescent="0.35">
      <c r="A450">
        <v>9300000538</v>
      </c>
      <c r="B450">
        <v>9400010823</v>
      </c>
      <c r="C450" s="10">
        <v>46172</v>
      </c>
      <c r="D450" t="s">
        <v>2032</v>
      </c>
      <c r="E450" s="11">
        <v>18821886</v>
      </c>
      <c r="F450" t="s">
        <v>701</v>
      </c>
      <c r="G450" t="s">
        <v>702</v>
      </c>
      <c r="H450" s="10">
        <v>46217</v>
      </c>
      <c r="I450">
        <v>65731.38</v>
      </c>
      <c r="J450">
        <v>0</v>
      </c>
      <c r="K450">
        <v>65731.38</v>
      </c>
    </row>
    <row r="451" spans="1:11" x14ac:dyDescent="0.35">
      <c r="A451">
        <v>7000000503</v>
      </c>
      <c r="B451">
        <v>9400010822</v>
      </c>
      <c r="C451" s="10">
        <v>46172</v>
      </c>
      <c r="D451" t="s">
        <v>2032</v>
      </c>
      <c r="E451" s="11">
        <v>123654</v>
      </c>
      <c r="F451" t="s">
        <v>3563</v>
      </c>
      <c r="G451" t="s">
        <v>3564</v>
      </c>
      <c r="H451" s="10">
        <v>46186</v>
      </c>
      <c r="I451">
        <v>170712.95999999999</v>
      </c>
      <c r="J451">
        <v>0</v>
      </c>
      <c r="K451">
        <v>170712.95999999999</v>
      </c>
    </row>
    <row r="452" spans="1:11" x14ac:dyDescent="0.35">
      <c r="A452">
        <v>3000000847</v>
      </c>
      <c r="B452">
        <v>9400010820</v>
      </c>
      <c r="C452" s="10">
        <v>46172</v>
      </c>
      <c r="D452" t="s">
        <v>2032</v>
      </c>
      <c r="E452" s="11">
        <v>18876753</v>
      </c>
      <c r="F452" t="s">
        <v>511</v>
      </c>
      <c r="G452" t="s">
        <v>512</v>
      </c>
      <c r="H452" s="10">
        <v>46187</v>
      </c>
      <c r="I452">
        <v>27187.200000000001</v>
      </c>
      <c r="J452">
        <v>0</v>
      </c>
      <c r="K452">
        <v>27187.200000000001</v>
      </c>
    </row>
    <row r="453" spans="1:11" x14ac:dyDescent="0.35">
      <c r="A453">
        <v>5300000108</v>
      </c>
      <c r="B453">
        <v>9400010819</v>
      </c>
      <c r="C453" s="10">
        <v>46172</v>
      </c>
      <c r="D453" t="s">
        <v>2032</v>
      </c>
      <c r="E453" s="11">
        <v>18876543</v>
      </c>
      <c r="F453" t="s">
        <v>851</v>
      </c>
      <c r="G453" t="s">
        <v>852</v>
      </c>
      <c r="H453" s="10">
        <v>46217</v>
      </c>
      <c r="I453">
        <v>87300.42</v>
      </c>
      <c r="J453">
        <v>0</v>
      </c>
      <c r="K453">
        <v>87300.42</v>
      </c>
    </row>
    <row r="454" spans="1:11" x14ac:dyDescent="0.35">
      <c r="A454">
        <v>9200000672</v>
      </c>
      <c r="B454">
        <v>9400010817</v>
      </c>
      <c r="C454" s="10">
        <v>46172</v>
      </c>
      <c r="D454" t="s">
        <v>2032</v>
      </c>
      <c r="E454" s="11">
        <v>18875877</v>
      </c>
      <c r="F454" t="s">
        <v>3565</v>
      </c>
      <c r="G454" t="s">
        <v>3566</v>
      </c>
      <c r="H454" s="10">
        <v>46217</v>
      </c>
      <c r="I454">
        <v>57628.62</v>
      </c>
      <c r="J454">
        <v>0</v>
      </c>
      <c r="K454">
        <v>57628.62</v>
      </c>
    </row>
    <row r="455" spans="1:11" x14ac:dyDescent="0.35">
      <c r="A455">
        <v>7000000502</v>
      </c>
      <c r="B455">
        <v>9400010816</v>
      </c>
      <c r="C455" s="10">
        <v>46172</v>
      </c>
      <c r="D455" t="s">
        <v>2032</v>
      </c>
      <c r="E455" s="11">
        <v>256987</v>
      </c>
      <c r="F455" t="s">
        <v>3563</v>
      </c>
      <c r="G455" t="s">
        <v>3564</v>
      </c>
      <c r="H455" s="10">
        <v>46186</v>
      </c>
      <c r="I455">
        <v>212147.96</v>
      </c>
      <c r="J455">
        <v>0</v>
      </c>
      <c r="K455">
        <v>212147.96</v>
      </c>
    </row>
    <row r="456" spans="1:11" x14ac:dyDescent="0.35">
      <c r="A456">
        <v>5200000321</v>
      </c>
      <c r="B456">
        <v>9400010815</v>
      </c>
      <c r="C456" s="10">
        <v>46172</v>
      </c>
      <c r="D456" t="s">
        <v>2032</v>
      </c>
      <c r="E456" s="11">
        <v>18855150</v>
      </c>
      <c r="F456" t="s">
        <v>779</v>
      </c>
      <c r="G456" t="s">
        <v>780</v>
      </c>
      <c r="H456" s="10">
        <v>46186</v>
      </c>
      <c r="I456">
        <v>104026.44</v>
      </c>
      <c r="J456">
        <v>0</v>
      </c>
      <c r="K456">
        <v>104026.44</v>
      </c>
    </row>
    <row r="457" spans="1:11" x14ac:dyDescent="0.35">
      <c r="A457">
        <v>9200000671</v>
      </c>
      <c r="B457">
        <v>9400010814</v>
      </c>
      <c r="C457" s="10">
        <v>46172</v>
      </c>
      <c r="D457" t="s">
        <v>2032</v>
      </c>
      <c r="E457" s="11">
        <v>18855250</v>
      </c>
      <c r="F457" t="s">
        <v>425</v>
      </c>
      <c r="G457" t="s">
        <v>426</v>
      </c>
      <c r="H457" s="10">
        <v>46217</v>
      </c>
      <c r="I457">
        <v>122058.5</v>
      </c>
      <c r="J457">
        <v>0</v>
      </c>
      <c r="K457">
        <v>122058.5</v>
      </c>
    </row>
    <row r="458" spans="1:11" x14ac:dyDescent="0.35">
      <c r="A458">
        <v>9200000670</v>
      </c>
      <c r="B458">
        <v>9400010812</v>
      </c>
      <c r="C458" s="10">
        <v>46172</v>
      </c>
      <c r="D458" t="s">
        <v>2032</v>
      </c>
      <c r="E458" s="11">
        <v>18842886</v>
      </c>
      <c r="F458" t="s">
        <v>835</v>
      </c>
      <c r="G458" t="s">
        <v>836</v>
      </c>
      <c r="H458" s="10">
        <v>46217</v>
      </c>
      <c r="I458">
        <v>33435.300000000003</v>
      </c>
      <c r="J458">
        <v>0</v>
      </c>
      <c r="K458">
        <v>33435.300000000003</v>
      </c>
    </row>
    <row r="459" spans="1:11" x14ac:dyDescent="0.35">
      <c r="A459">
        <v>2300000463</v>
      </c>
      <c r="B459">
        <v>9400010811</v>
      </c>
      <c r="C459" s="10">
        <v>46172</v>
      </c>
      <c r="D459" t="s">
        <v>2032</v>
      </c>
      <c r="E459" s="11">
        <v>18876745</v>
      </c>
      <c r="F459" t="s">
        <v>37</v>
      </c>
      <c r="G459" t="s">
        <v>38</v>
      </c>
      <c r="H459" s="10">
        <v>46186</v>
      </c>
      <c r="I459">
        <v>67968</v>
      </c>
      <c r="J459">
        <v>0</v>
      </c>
      <c r="K459">
        <v>67968</v>
      </c>
    </row>
    <row r="460" spans="1:11" x14ac:dyDescent="0.35">
      <c r="A460">
        <v>5100000662</v>
      </c>
      <c r="B460">
        <v>9400010810</v>
      </c>
      <c r="C460" s="10">
        <v>46172</v>
      </c>
      <c r="D460" t="s">
        <v>2032</v>
      </c>
      <c r="E460" s="11">
        <v>18854448</v>
      </c>
      <c r="F460" t="s">
        <v>455</v>
      </c>
      <c r="G460" t="s">
        <v>456</v>
      </c>
      <c r="H460" s="10">
        <v>46217</v>
      </c>
      <c r="I460">
        <v>215058.88</v>
      </c>
      <c r="J460">
        <v>0</v>
      </c>
      <c r="K460">
        <v>215058.88</v>
      </c>
    </row>
    <row r="461" spans="1:11" x14ac:dyDescent="0.35">
      <c r="A461">
        <v>9200000669</v>
      </c>
      <c r="B461">
        <v>9400010808</v>
      </c>
      <c r="C461" s="10">
        <v>46172</v>
      </c>
      <c r="D461" t="s">
        <v>2032</v>
      </c>
      <c r="E461" s="11">
        <v>18822661</v>
      </c>
      <c r="F461" t="s">
        <v>381</v>
      </c>
      <c r="G461" t="s">
        <v>382</v>
      </c>
      <c r="H461" s="10">
        <v>46217</v>
      </c>
      <c r="I461">
        <v>41502.959999999999</v>
      </c>
      <c r="J461">
        <v>0</v>
      </c>
      <c r="K461">
        <v>41502.959999999999</v>
      </c>
    </row>
    <row r="462" spans="1:11" x14ac:dyDescent="0.35">
      <c r="A462">
        <v>5200000320</v>
      </c>
      <c r="B462">
        <v>9400010806</v>
      </c>
      <c r="C462" s="10">
        <v>46172</v>
      </c>
      <c r="D462" t="s">
        <v>2032</v>
      </c>
      <c r="E462" s="11">
        <v>18822562</v>
      </c>
      <c r="F462" t="s">
        <v>779</v>
      </c>
      <c r="G462" t="s">
        <v>780</v>
      </c>
      <c r="H462" s="10">
        <v>46217</v>
      </c>
      <c r="I462">
        <v>83024.06</v>
      </c>
      <c r="J462">
        <v>0</v>
      </c>
      <c r="K462">
        <v>83024.06</v>
      </c>
    </row>
    <row r="463" spans="1:11" x14ac:dyDescent="0.35">
      <c r="A463">
        <v>5300000107</v>
      </c>
      <c r="B463">
        <v>9400010804</v>
      </c>
      <c r="C463" s="10">
        <v>46172</v>
      </c>
      <c r="D463" t="s">
        <v>2032</v>
      </c>
      <c r="E463" s="11">
        <v>18876543</v>
      </c>
      <c r="F463" t="s">
        <v>851</v>
      </c>
      <c r="G463" t="s">
        <v>852</v>
      </c>
      <c r="H463" s="10">
        <v>46217</v>
      </c>
      <c r="I463">
        <v>37471.14</v>
      </c>
      <c r="J463">
        <v>0</v>
      </c>
      <c r="K463">
        <v>37471.14</v>
      </c>
    </row>
    <row r="464" spans="1:11" x14ac:dyDescent="0.35">
      <c r="A464">
        <v>9300000537</v>
      </c>
      <c r="B464">
        <v>9400010803</v>
      </c>
      <c r="C464" s="10">
        <v>46172</v>
      </c>
      <c r="D464" t="s">
        <v>2032</v>
      </c>
      <c r="E464" s="11">
        <v>18842882</v>
      </c>
      <c r="F464" t="s">
        <v>701</v>
      </c>
      <c r="G464" t="s">
        <v>702</v>
      </c>
      <c r="H464" s="10">
        <v>46186</v>
      </c>
      <c r="I464">
        <v>334445.03999999998</v>
      </c>
      <c r="J464">
        <v>0</v>
      </c>
      <c r="K464">
        <v>334445.03999999998</v>
      </c>
    </row>
    <row r="465" spans="1:11" x14ac:dyDescent="0.35">
      <c r="A465">
        <v>5300000106</v>
      </c>
      <c r="B465">
        <v>9400010802</v>
      </c>
      <c r="C465" s="10">
        <v>46172</v>
      </c>
      <c r="D465" t="s">
        <v>2032</v>
      </c>
      <c r="E465" s="11">
        <v>18876543</v>
      </c>
      <c r="F465" t="s">
        <v>851</v>
      </c>
      <c r="G465" t="s">
        <v>852</v>
      </c>
      <c r="H465" s="10">
        <v>46186</v>
      </c>
      <c r="I465">
        <v>217667.52</v>
      </c>
      <c r="J465">
        <v>0</v>
      </c>
      <c r="K465">
        <v>217667.52</v>
      </c>
    </row>
    <row r="466" spans="1:11" x14ac:dyDescent="0.35">
      <c r="A466">
        <v>3000000845</v>
      </c>
      <c r="B466">
        <v>9400010801</v>
      </c>
      <c r="C466" s="10">
        <v>46172</v>
      </c>
      <c r="D466" t="s">
        <v>2032</v>
      </c>
      <c r="E466" s="11">
        <v>18875838</v>
      </c>
      <c r="F466" t="s">
        <v>487</v>
      </c>
      <c r="G466" t="s">
        <v>488</v>
      </c>
      <c r="H466" s="10">
        <v>46187</v>
      </c>
      <c r="I466">
        <v>86013.5</v>
      </c>
      <c r="J466">
        <v>0</v>
      </c>
      <c r="K466">
        <v>86013.5</v>
      </c>
    </row>
    <row r="467" spans="1:11" x14ac:dyDescent="0.35">
      <c r="A467">
        <v>2300000462</v>
      </c>
      <c r="B467">
        <v>9400010799</v>
      </c>
      <c r="C467" s="10">
        <v>46172</v>
      </c>
      <c r="D467" t="s">
        <v>2032</v>
      </c>
      <c r="E467" s="11" t="s">
        <v>3679</v>
      </c>
      <c r="F467" t="s">
        <v>310</v>
      </c>
      <c r="G467" t="s">
        <v>311</v>
      </c>
      <c r="H467" s="10">
        <v>46217</v>
      </c>
      <c r="I467">
        <v>245134.74</v>
      </c>
      <c r="J467">
        <v>0</v>
      </c>
      <c r="K467">
        <v>245134.74</v>
      </c>
    </row>
    <row r="468" spans="1:11" x14ac:dyDescent="0.35">
      <c r="A468">
        <v>9100000945</v>
      </c>
      <c r="B468">
        <v>9400010797</v>
      </c>
      <c r="C468" s="10">
        <v>46172</v>
      </c>
      <c r="D468" t="s">
        <v>2032</v>
      </c>
      <c r="E468" s="11">
        <v>18854373</v>
      </c>
      <c r="F468" t="s">
        <v>130</v>
      </c>
      <c r="G468" t="s">
        <v>131</v>
      </c>
      <c r="H468" s="10">
        <v>46217</v>
      </c>
      <c r="I468">
        <v>38210.76</v>
      </c>
      <c r="J468">
        <v>0</v>
      </c>
      <c r="K468">
        <v>38210.76</v>
      </c>
    </row>
    <row r="469" spans="1:11" x14ac:dyDescent="0.35">
      <c r="A469">
        <v>7000000499</v>
      </c>
      <c r="B469">
        <v>9400010796</v>
      </c>
      <c r="C469" s="10">
        <v>46172</v>
      </c>
      <c r="D469" t="s">
        <v>2032</v>
      </c>
      <c r="E469" s="11">
        <v>2365412</v>
      </c>
      <c r="F469" t="s">
        <v>707</v>
      </c>
      <c r="G469" t="s">
        <v>708</v>
      </c>
      <c r="H469" s="10">
        <v>46186</v>
      </c>
      <c r="I469">
        <v>100271.67999999999</v>
      </c>
      <c r="J469">
        <v>0</v>
      </c>
      <c r="K469">
        <v>100271.67999999999</v>
      </c>
    </row>
    <row r="470" spans="1:11" x14ac:dyDescent="0.35">
      <c r="A470">
        <v>2730000495</v>
      </c>
      <c r="B470">
        <v>9400010795</v>
      </c>
      <c r="C470" s="10">
        <v>46172</v>
      </c>
      <c r="D470" t="s">
        <v>2032</v>
      </c>
      <c r="E470" s="11">
        <v>18876516</v>
      </c>
      <c r="F470" t="s">
        <v>841</v>
      </c>
      <c r="G470" t="s">
        <v>842</v>
      </c>
      <c r="H470" s="10">
        <v>46186</v>
      </c>
      <c r="I470">
        <v>96361.16</v>
      </c>
      <c r="J470">
        <v>0</v>
      </c>
      <c r="K470">
        <v>96361.16</v>
      </c>
    </row>
    <row r="471" spans="1:11" x14ac:dyDescent="0.35">
      <c r="A471">
        <v>5100000660</v>
      </c>
      <c r="B471">
        <v>9400010794</v>
      </c>
      <c r="C471" s="10">
        <v>46172</v>
      </c>
      <c r="D471" t="s">
        <v>2032</v>
      </c>
      <c r="E471" s="11">
        <v>18854448</v>
      </c>
      <c r="F471" t="s">
        <v>455</v>
      </c>
      <c r="G471" t="s">
        <v>456</v>
      </c>
      <c r="H471" s="10">
        <v>46186</v>
      </c>
      <c r="I471">
        <v>673055.48</v>
      </c>
      <c r="J471">
        <v>0</v>
      </c>
      <c r="K471">
        <v>673055.48</v>
      </c>
    </row>
    <row r="472" spans="1:11" x14ac:dyDescent="0.35">
      <c r="A472">
        <v>2300000461</v>
      </c>
      <c r="B472">
        <v>9400010792</v>
      </c>
      <c r="C472" s="10">
        <v>46172</v>
      </c>
      <c r="D472" t="s">
        <v>2032</v>
      </c>
      <c r="E472" s="11">
        <v>18876730</v>
      </c>
      <c r="F472" t="s">
        <v>391</v>
      </c>
      <c r="G472" t="s">
        <v>392</v>
      </c>
      <c r="H472" s="10">
        <v>46186</v>
      </c>
      <c r="I472">
        <v>1008188.32</v>
      </c>
      <c r="J472">
        <v>0</v>
      </c>
      <c r="K472">
        <v>1008188.32</v>
      </c>
    </row>
    <row r="473" spans="1:11" x14ac:dyDescent="0.35">
      <c r="A473">
        <v>9200000667</v>
      </c>
      <c r="B473">
        <v>9400010790</v>
      </c>
      <c r="C473" s="10">
        <v>46172</v>
      </c>
      <c r="D473" t="s">
        <v>2032</v>
      </c>
      <c r="E473" s="11">
        <v>18876778</v>
      </c>
      <c r="F473" t="s">
        <v>1277</v>
      </c>
      <c r="G473" t="s">
        <v>1278</v>
      </c>
      <c r="H473" s="10">
        <v>46217</v>
      </c>
      <c r="I473">
        <v>72854.02</v>
      </c>
      <c r="J473">
        <v>0</v>
      </c>
      <c r="K473">
        <v>72854.02</v>
      </c>
    </row>
    <row r="474" spans="1:11" x14ac:dyDescent="0.35">
      <c r="A474">
        <v>3000000843</v>
      </c>
      <c r="B474">
        <v>9400010789</v>
      </c>
      <c r="C474" s="10">
        <v>46172</v>
      </c>
      <c r="D474" t="s">
        <v>2032</v>
      </c>
      <c r="E474" s="11">
        <v>18876614</v>
      </c>
      <c r="F474" t="s">
        <v>643</v>
      </c>
      <c r="G474" t="s">
        <v>644</v>
      </c>
      <c r="H474" s="10">
        <v>46217</v>
      </c>
      <c r="I474">
        <v>103757.4</v>
      </c>
      <c r="J474">
        <v>0</v>
      </c>
      <c r="K474">
        <v>103757.4</v>
      </c>
    </row>
    <row r="475" spans="1:11" x14ac:dyDescent="0.35">
      <c r="A475">
        <v>2300000460</v>
      </c>
      <c r="B475">
        <v>9400010785</v>
      </c>
      <c r="C475" s="10">
        <v>46172</v>
      </c>
      <c r="D475" t="s">
        <v>2032</v>
      </c>
      <c r="E475" s="11">
        <v>18876692</v>
      </c>
      <c r="F475" t="s">
        <v>459</v>
      </c>
      <c r="G475" t="s">
        <v>460</v>
      </c>
      <c r="H475" s="10">
        <v>46186</v>
      </c>
      <c r="I475">
        <v>67968</v>
      </c>
      <c r="J475">
        <v>0</v>
      </c>
      <c r="K475">
        <v>67968</v>
      </c>
    </row>
    <row r="476" spans="1:11" x14ac:dyDescent="0.35">
      <c r="A476">
        <v>9100000944</v>
      </c>
      <c r="B476">
        <v>9400010783</v>
      </c>
      <c r="C476" s="10">
        <v>46172</v>
      </c>
      <c r="D476" t="s">
        <v>2032</v>
      </c>
      <c r="E476" s="11">
        <v>125355462</v>
      </c>
      <c r="F476" t="s">
        <v>3567</v>
      </c>
      <c r="G476" t="s">
        <v>3568</v>
      </c>
      <c r="H476" s="10">
        <v>46172</v>
      </c>
      <c r="I476">
        <v>8897.9500000000007</v>
      </c>
      <c r="J476">
        <v>8848.6299999999992</v>
      </c>
      <c r="K476">
        <v>49.320000000001528</v>
      </c>
    </row>
    <row r="477" spans="1:11" x14ac:dyDescent="0.35">
      <c r="A477">
        <v>5200000319</v>
      </c>
      <c r="B477">
        <v>9400010782</v>
      </c>
      <c r="C477" s="10">
        <v>46172</v>
      </c>
      <c r="D477" t="s">
        <v>2032</v>
      </c>
      <c r="E477" s="11">
        <v>18855558</v>
      </c>
      <c r="F477" t="s">
        <v>1251</v>
      </c>
      <c r="G477" t="s">
        <v>1252</v>
      </c>
      <c r="H477" s="10">
        <v>46217</v>
      </c>
      <c r="I477">
        <v>34338</v>
      </c>
      <c r="J477">
        <v>0</v>
      </c>
      <c r="K477">
        <v>34338</v>
      </c>
    </row>
    <row r="478" spans="1:11" x14ac:dyDescent="0.35">
      <c r="A478">
        <v>7000000496</v>
      </c>
      <c r="B478">
        <v>9400010781</v>
      </c>
      <c r="C478" s="10">
        <v>46172</v>
      </c>
      <c r="D478" t="s">
        <v>2032</v>
      </c>
      <c r="E478" s="11">
        <v>256987</v>
      </c>
      <c r="F478" t="s">
        <v>633</v>
      </c>
      <c r="G478" t="s">
        <v>634</v>
      </c>
      <c r="H478" s="10">
        <v>46186</v>
      </c>
      <c r="I478">
        <v>259128</v>
      </c>
      <c r="J478">
        <v>0</v>
      </c>
      <c r="K478">
        <v>259128</v>
      </c>
    </row>
    <row r="479" spans="1:11" x14ac:dyDescent="0.35">
      <c r="A479">
        <v>8000000587</v>
      </c>
      <c r="B479">
        <v>9400010780</v>
      </c>
      <c r="C479" s="10">
        <v>46172</v>
      </c>
      <c r="D479" t="s">
        <v>2032</v>
      </c>
      <c r="E479" s="11">
        <v>18876257</v>
      </c>
      <c r="F479" t="s">
        <v>893</v>
      </c>
      <c r="G479" t="s">
        <v>894</v>
      </c>
      <c r="H479" s="10">
        <v>46217</v>
      </c>
      <c r="I479">
        <v>25939.360000000001</v>
      </c>
      <c r="J479">
        <v>0</v>
      </c>
      <c r="K479">
        <v>25939.360000000001</v>
      </c>
    </row>
    <row r="480" spans="1:11" x14ac:dyDescent="0.35">
      <c r="A480">
        <v>8000000586</v>
      </c>
      <c r="B480">
        <v>9400010778</v>
      </c>
      <c r="C480" s="10">
        <v>46172</v>
      </c>
      <c r="D480" t="s">
        <v>2032</v>
      </c>
      <c r="E480" s="11">
        <v>18876549</v>
      </c>
      <c r="F480" t="s">
        <v>743</v>
      </c>
      <c r="G480" t="s">
        <v>744</v>
      </c>
      <c r="H480" s="10">
        <v>46186</v>
      </c>
      <c r="I480">
        <v>149529.60000000001</v>
      </c>
      <c r="J480">
        <v>0</v>
      </c>
      <c r="K480">
        <v>149529.60000000001</v>
      </c>
    </row>
    <row r="481" spans="1:11" x14ac:dyDescent="0.35">
      <c r="A481">
        <v>5100000659</v>
      </c>
      <c r="B481">
        <v>9400010777</v>
      </c>
      <c r="C481" s="10">
        <v>46172</v>
      </c>
      <c r="D481" t="s">
        <v>2032</v>
      </c>
      <c r="E481" s="11">
        <v>18865767</v>
      </c>
      <c r="F481" t="s">
        <v>211</v>
      </c>
      <c r="G481" t="s">
        <v>212</v>
      </c>
      <c r="H481" s="10">
        <v>46217</v>
      </c>
      <c r="I481">
        <v>59274.94</v>
      </c>
      <c r="J481">
        <v>0</v>
      </c>
      <c r="K481">
        <v>59274.94</v>
      </c>
    </row>
    <row r="482" spans="1:11" x14ac:dyDescent="0.35">
      <c r="A482">
        <v>2720000354</v>
      </c>
      <c r="B482">
        <v>9400010776</v>
      </c>
      <c r="C482" s="10">
        <v>46172</v>
      </c>
      <c r="D482" t="s">
        <v>2032</v>
      </c>
      <c r="E482" s="11">
        <v>18853772</v>
      </c>
      <c r="F482" t="s">
        <v>318</v>
      </c>
      <c r="G482" t="s">
        <v>319</v>
      </c>
      <c r="H482" s="10">
        <v>46186</v>
      </c>
      <c r="I482">
        <v>33397.54</v>
      </c>
      <c r="J482">
        <v>0</v>
      </c>
      <c r="K482">
        <v>33397.54</v>
      </c>
    </row>
    <row r="483" spans="1:11" x14ac:dyDescent="0.35">
      <c r="A483">
        <v>9100000943</v>
      </c>
      <c r="B483">
        <v>9400010772</v>
      </c>
      <c r="C483" s="10">
        <v>46172</v>
      </c>
      <c r="D483" t="s">
        <v>2032</v>
      </c>
      <c r="E483" s="11">
        <v>0</v>
      </c>
      <c r="F483" t="s">
        <v>347</v>
      </c>
      <c r="G483" t="s">
        <v>348</v>
      </c>
      <c r="H483" s="10">
        <v>46172</v>
      </c>
      <c r="I483">
        <v>112.62</v>
      </c>
      <c r="J483">
        <v>0</v>
      </c>
      <c r="K483">
        <v>112.62</v>
      </c>
    </row>
    <row r="484" spans="1:11" x14ac:dyDescent="0.35">
      <c r="A484">
        <v>5100000658</v>
      </c>
      <c r="B484">
        <v>9400010771</v>
      </c>
      <c r="C484" s="10">
        <v>46172</v>
      </c>
      <c r="D484" t="s">
        <v>2032</v>
      </c>
      <c r="E484" s="11">
        <v>18865718</v>
      </c>
      <c r="F484" t="s">
        <v>3569</v>
      </c>
      <c r="G484" t="s">
        <v>3570</v>
      </c>
      <c r="H484" s="10">
        <v>46172</v>
      </c>
      <c r="I484">
        <v>20537.66</v>
      </c>
      <c r="J484">
        <v>20346.78</v>
      </c>
      <c r="K484">
        <v>190.88000000000102</v>
      </c>
    </row>
    <row r="485" spans="1:11" x14ac:dyDescent="0.35">
      <c r="A485">
        <v>5100000657</v>
      </c>
      <c r="B485">
        <v>9400010768</v>
      </c>
      <c r="C485" s="10">
        <v>46172</v>
      </c>
      <c r="D485" t="s">
        <v>2032</v>
      </c>
      <c r="E485" s="11">
        <v>18855428</v>
      </c>
      <c r="F485" t="s">
        <v>911</v>
      </c>
      <c r="G485" t="s">
        <v>912</v>
      </c>
      <c r="H485" s="10">
        <v>46217</v>
      </c>
      <c r="I485">
        <v>37261.72</v>
      </c>
      <c r="J485">
        <v>0</v>
      </c>
      <c r="K485">
        <v>37261.72</v>
      </c>
    </row>
    <row r="486" spans="1:11" x14ac:dyDescent="0.35">
      <c r="A486">
        <v>9100000942</v>
      </c>
      <c r="B486">
        <v>9400010767</v>
      </c>
      <c r="C486" s="10">
        <v>46172</v>
      </c>
      <c r="D486" t="s">
        <v>2032</v>
      </c>
      <c r="E486" s="11">
        <v>123</v>
      </c>
      <c r="F486" t="s">
        <v>469</v>
      </c>
      <c r="G486" t="s">
        <v>470</v>
      </c>
      <c r="H486" s="10">
        <v>46217</v>
      </c>
      <c r="I486">
        <v>7218.06</v>
      </c>
      <c r="J486">
        <v>0</v>
      </c>
      <c r="K486">
        <v>7218.06</v>
      </c>
    </row>
    <row r="487" spans="1:11" x14ac:dyDescent="0.35">
      <c r="A487">
        <v>5100000656</v>
      </c>
      <c r="B487">
        <v>9400010759</v>
      </c>
      <c r="C487" s="10">
        <v>46172</v>
      </c>
      <c r="D487" t="s">
        <v>2032</v>
      </c>
      <c r="E487" s="11">
        <v>18855315</v>
      </c>
      <c r="F487" t="s">
        <v>306</v>
      </c>
      <c r="G487" t="s">
        <v>307</v>
      </c>
      <c r="H487" s="10">
        <v>46217</v>
      </c>
      <c r="I487">
        <v>15174.08</v>
      </c>
      <c r="J487">
        <v>0</v>
      </c>
      <c r="K487">
        <v>15174.08</v>
      </c>
    </row>
    <row r="488" spans="1:11" x14ac:dyDescent="0.35">
      <c r="A488">
        <v>2720000353</v>
      </c>
      <c r="B488">
        <v>9400010758</v>
      </c>
      <c r="C488" s="10">
        <v>46172</v>
      </c>
      <c r="D488" t="s">
        <v>2032</v>
      </c>
      <c r="E488" s="11">
        <v>18865617</v>
      </c>
      <c r="F488" t="s">
        <v>53</v>
      </c>
      <c r="G488" t="s">
        <v>54</v>
      </c>
      <c r="H488" s="10">
        <v>46217</v>
      </c>
      <c r="I488">
        <v>141545.96</v>
      </c>
      <c r="J488">
        <v>0</v>
      </c>
      <c r="K488">
        <v>141545.96</v>
      </c>
    </row>
    <row r="489" spans="1:11" x14ac:dyDescent="0.35">
      <c r="A489">
        <v>5100000655</v>
      </c>
      <c r="B489">
        <v>9400010757</v>
      </c>
      <c r="C489" s="10">
        <v>46172</v>
      </c>
      <c r="D489" t="s">
        <v>2032</v>
      </c>
      <c r="E489" s="11">
        <v>18855315</v>
      </c>
      <c r="F489" t="s">
        <v>306</v>
      </c>
      <c r="G489" t="s">
        <v>307</v>
      </c>
      <c r="H489" s="10">
        <v>46186</v>
      </c>
      <c r="I489">
        <v>74553.62</v>
      </c>
      <c r="J489">
        <v>0</v>
      </c>
      <c r="K489">
        <v>74553.62</v>
      </c>
    </row>
    <row r="490" spans="1:11" x14ac:dyDescent="0.35">
      <c r="A490">
        <v>5100000654</v>
      </c>
      <c r="B490">
        <v>9400010750</v>
      </c>
      <c r="C490" s="10">
        <v>46172</v>
      </c>
      <c r="D490" t="s">
        <v>2032</v>
      </c>
      <c r="E490" s="11">
        <v>18865571</v>
      </c>
      <c r="F490" t="s">
        <v>943</v>
      </c>
      <c r="G490" t="s">
        <v>944</v>
      </c>
      <c r="H490" s="10">
        <v>46172</v>
      </c>
      <c r="I490">
        <v>250959.05</v>
      </c>
      <c r="J490">
        <v>249946.58</v>
      </c>
      <c r="K490">
        <v>1012.4700000000012</v>
      </c>
    </row>
    <row r="491" spans="1:11" x14ac:dyDescent="0.35">
      <c r="A491">
        <v>9300000535</v>
      </c>
      <c r="B491">
        <v>9400010749</v>
      </c>
      <c r="C491" s="10">
        <v>46172</v>
      </c>
      <c r="D491" t="s">
        <v>2032</v>
      </c>
      <c r="E491" s="11">
        <v>18821886</v>
      </c>
      <c r="F491" t="s">
        <v>1009</v>
      </c>
      <c r="G491" t="s">
        <v>1010</v>
      </c>
      <c r="H491" s="10">
        <v>46217</v>
      </c>
      <c r="I491">
        <v>45892.72</v>
      </c>
      <c r="J491">
        <v>0</v>
      </c>
      <c r="K491">
        <v>45892.72</v>
      </c>
    </row>
    <row r="492" spans="1:11" x14ac:dyDescent="0.35">
      <c r="A492">
        <v>9100000940</v>
      </c>
      <c r="B492">
        <v>9400010748</v>
      </c>
      <c r="C492" s="10">
        <v>46172</v>
      </c>
      <c r="D492" t="s">
        <v>2032</v>
      </c>
      <c r="E492" s="11">
        <v>123</v>
      </c>
      <c r="F492" t="s">
        <v>777</v>
      </c>
      <c r="G492" t="s">
        <v>778</v>
      </c>
      <c r="H492" s="10">
        <v>46186</v>
      </c>
      <c r="I492">
        <v>1143231.2</v>
      </c>
      <c r="J492">
        <v>0</v>
      </c>
      <c r="K492">
        <v>1143231.2</v>
      </c>
    </row>
    <row r="493" spans="1:11" x14ac:dyDescent="0.35">
      <c r="A493">
        <v>9200000663</v>
      </c>
      <c r="B493">
        <v>9400010747</v>
      </c>
      <c r="C493" s="10">
        <v>46172</v>
      </c>
      <c r="D493" t="s">
        <v>2032</v>
      </c>
      <c r="E493" s="11">
        <v>18876514</v>
      </c>
      <c r="F493" t="s">
        <v>967</v>
      </c>
      <c r="G493" t="s">
        <v>968</v>
      </c>
      <c r="H493" s="10">
        <v>46217</v>
      </c>
      <c r="I493">
        <v>69856</v>
      </c>
      <c r="J493">
        <v>0</v>
      </c>
      <c r="K493">
        <v>69856</v>
      </c>
    </row>
    <row r="494" spans="1:11" x14ac:dyDescent="0.35">
      <c r="A494">
        <v>5100000653</v>
      </c>
      <c r="B494">
        <v>9400010746</v>
      </c>
      <c r="C494" s="10">
        <v>46172</v>
      </c>
      <c r="D494" t="s">
        <v>2032</v>
      </c>
      <c r="E494" s="11">
        <v>5100000647</v>
      </c>
      <c r="F494" t="s">
        <v>715</v>
      </c>
      <c r="G494" t="s">
        <v>716</v>
      </c>
      <c r="H494" s="10">
        <v>46172</v>
      </c>
      <c r="I494">
        <v>5928.8</v>
      </c>
      <c r="J494">
        <v>287.45999999999998</v>
      </c>
      <c r="K494">
        <v>5641.34</v>
      </c>
    </row>
    <row r="495" spans="1:11" x14ac:dyDescent="0.35">
      <c r="A495">
        <v>9100000939</v>
      </c>
      <c r="B495">
        <v>9400010743</v>
      </c>
      <c r="C495" s="10">
        <v>46172</v>
      </c>
      <c r="D495" t="s">
        <v>2032</v>
      </c>
      <c r="E495" s="11">
        <v>18876021</v>
      </c>
      <c r="F495" t="s">
        <v>419</v>
      </c>
      <c r="G495" t="s">
        <v>420</v>
      </c>
      <c r="H495" s="10">
        <v>46217</v>
      </c>
      <c r="I495">
        <v>10375.74</v>
      </c>
      <c r="J495">
        <v>0</v>
      </c>
      <c r="K495">
        <v>10375.74</v>
      </c>
    </row>
    <row r="496" spans="1:11" x14ac:dyDescent="0.35">
      <c r="A496">
        <v>7000000491</v>
      </c>
      <c r="B496">
        <v>9400010742</v>
      </c>
      <c r="C496" s="10">
        <v>46172</v>
      </c>
      <c r="D496" t="s">
        <v>2032</v>
      </c>
      <c r="E496" s="11">
        <v>126548</v>
      </c>
      <c r="F496" t="s">
        <v>165</v>
      </c>
      <c r="G496" t="s">
        <v>166</v>
      </c>
      <c r="H496" s="10">
        <v>46172</v>
      </c>
      <c r="I496">
        <v>32363.65</v>
      </c>
      <c r="J496">
        <v>29325.25</v>
      </c>
      <c r="K496">
        <v>3038.4000000000015</v>
      </c>
    </row>
    <row r="497" spans="1:11" x14ac:dyDescent="0.35">
      <c r="A497">
        <v>9100000938</v>
      </c>
      <c r="B497">
        <v>9400010740</v>
      </c>
      <c r="C497" s="10">
        <v>46172</v>
      </c>
      <c r="D497" t="s">
        <v>2032</v>
      </c>
      <c r="E497" s="11">
        <v>18876021</v>
      </c>
      <c r="F497" t="s">
        <v>419</v>
      </c>
      <c r="G497" t="s">
        <v>420</v>
      </c>
      <c r="H497" s="10">
        <v>46186</v>
      </c>
      <c r="I497">
        <v>20390.400000000001</v>
      </c>
      <c r="J497">
        <v>0</v>
      </c>
      <c r="K497">
        <v>20390.400000000001</v>
      </c>
    </row>
    <row r="498" spans="1:11" x14ac:dyDescent="0.35">
      <c r="A498">
        <v>2720000352</v>
      </c>
      <c r="B498">
        <v>9400010738</v>
      </c>
      <c r="C498" s="10">
        <v>46172</v>
      </c>
      <c r="D498" t="s">
        <v>2032</v>
      </c>
      <c r="E498" s="11">
        <v>18876152</v>
      </c>
      <c r="F498" t="s">
        <v>1057</v>
      </c>
      <c r="G498" t="s">
        <v>1058</v>
      </c>
      <c r="H498" s="10">
        <v>46186</v>
      </c>
      <c r="I498">
        <v>65560.800000000003</v>
      </c>
      <c r="J498">
        <v>0</v>
      </c>
      <c r="K498">
        <v>65560.800000000003</v>
      </c>
    </row>
    <row r="499" spans="1:11" x14ac:dyDescent="0.35">
      <c r="A499">
        <v>5200000318</v>
      </c>
      <c r="B499">
        <v>9400010735</v>
      </c>
      <c r="C499" s="10">
        <v>46172</v>
      </c>
      <c r="D499" t="s">
        <v>2032</v>
      </c>
      <c r="E499" s="11">
        <v>18865739</v>
      </c>
      <c r="F499" t="s">
        <v>1011</v>
      </c>
      <c r="G499" t="s">
        <v>1012</v>
      </c>
      <c r="H499" s="10">
        <v>46186</v>
      </c>
      <c r="I499">
        <v>252713.52</v>
      </c>
      <c r="J499">
        <v>0</v>
      </c>
      <c r="K499">
        <v>252713.52</v>
      </c>
    </row>
    <row r="500" spans="1:11" x14ac:dyDescent="0.35">
      <c r="A500">
        <v>9300000534</v>
      </c>
      <c r="B500">
        <v>9400010734</v>
      </c>
      <c r="C500" s="10">
        <v>46172</v>
      </c>
      <c r="D500" t="s">
        <v>2032</v>
      </c>
      <c r="E500" s="11">
        <v>18854379</v>
      </c>
      <c r="F500" t="s">
        <v>555</v>
      </c>
      <c r="G500" t="s">
        <v>556</v>
      </c>
      <c r="H500" s="10">
        <v>46217</v>
      </c>
      <c r="I500">
        <v>48131.58</v>
      </c>
      <c r="J500">
        <v>0</v>
      </c>
      <c r="K500">
        <v>48131.58</v>
      </c>
    </row>
    <row r="501" spans="1:11" x14ac:dyDescent="0.35">
      <c r="A501">
        <v>5100000651</v>
      </c>
      <c r="B501">
        <v>9400010730</v>
      </c>
      <c r="C501" s="10">
        <v>46172</v>
      </c>
      <c r="D501" t="s">
        <v>2032</v>
      </c>
      <c r="E501" s="11">
        <v>18854975</v>
      </c>
      <c r="F501" t="s">
        <v>987</v>
      </c>
      <c r="G501" t="s">
        <v>988</v>
      </c>
      <c r="H501" s="10">
        <v>46217</v>
      </c>
      <c r="I501">
        <v>21774.68</v>
      </c>
      <c r="J501">
        <v>0</v>
      </c>
      <c r="K501">
        <v>21774.68</v>
      </c>
    </row>
    <row r="502" spans="1:11" x14ac:dyDescent="0.35">
      <c r="A502">
        <v>5100000650</v>
      </c>
      <c r="B502">
        <v>9400010729</v>
      </c>
      <c r="C502" s="10">
        <v>46172</v>
      </c>
      <c r="D502" t="s">
        <v>2032</v>
      </c>
      <c r="E502" s="11">
        <v>18855283</v>
      </c>
      <c r="F502" t="s">
        <v>213</v>
      </c>
      <c r="G502" t="s">
        <v>214</v>
      </c>
      <c r="H502" s="10">
        <v>46217</v>
      </c>
      <c r="I502">
        <v>11283.16</v>
      </c>
      <c r="J502">
        <v>0</v>
      </c>
      <c r="K502">
        <v>11283.16</v>
      </c>
    </row>
    <row r="503" spans="1:11" x14ac:dyDescent="0.35">
      <c r="A503">
        <v>9100000937</v>
      </c>
      <c r="B503">
        <v>9400010728</v>
      </c>
      <c r="C503" s="10">
        <v>46172</v>
      </c>
      <c r="D503" t="s">
        <v>2032</v>
      </c>
      <c r="E503" s="11">
        <v>18875907</v>
      </c>
      <c r="F503" t="s">
        <v>91</v>
      </c>
      <c r="G503" t="s">
        <v>92</v>
      </c>
      <c r="H503" s="10">
        <v>46186</v>
      </c>
      <c r="I503">
        <v>311963.68</v>
      </c>
      <c r="J503">
        <v>0</v>
      </c>
      <c r="K503">
        <v>311963.68</v>
      </c>
    </row>
    <row r="504" spans="1:11" x14ac:dyDescent="0.35">
      <c r="A504">
        <v>3000000837</v>
      </c>
      <c r="B504">
        <v>9400010726</v>
      </c>
      <c r="C504" s="10">
        <v>46172</v>
      </c>
      <c r="D504" t="s">
        <v>2032</v>
      </c>
      <c r="E504" s="11">
        <v>18876493</v>
      </c>
      <c r="F504" t="s">
        <v>180</v>
      </c>
      <c r="G504" t="s">
        <v>181</v>
      </c>
      <c r="H504" s="10">
        <v>46217</v>
      </c>
      <c r="I504">
        <v>69171.600000000006</v>
      </c>
      <c r="J504">
        <v>0</v>
      </c>
      <c r="K504">
        <v>69171.600000000006</v>
      </c>
    </row>
    <row r="505" spans="1:11" x14ac:dyDescent="0.35">
      <c r="A505">
        <v>7000000490</v>
      </c>
      <c r="B505">
        <v>9400010723</v>
      </c>
      <c r="C505" s="10">
        <v>46172</v>
      </c>
      <c r="D505" t="s">
        <v>2032</v>
      </c>
      <c r="E505" s="11">
        <v>236541</v>
      </c>
      <c r="F505" t="s">
        <v>341</v>
      </c>
      <c r="G505" t="s">
        <v>342</v>
      </c>
      <c r="H505" s="10">
        <v>46186</v>
      </c>
      <c r="I505">
        <v>142732.79999999999</v>
      </c>
      <c r="J505">
        <v>0</v>
      </c>
      <c r="K505">
        <v>142732.79999999999</v>
      </c>
    </row>
    <row r="506" spans="1:11" x14ac:dyDescent="0.35">
      <c r="A506">
        <v>9100000936</v>
      </c>
      <c r="B506">
        <v>9400010721</v>
      </c>
      <c r="C506" s="10">
        <v>46172</v>
      </c>
      <c r="D506" t="s">
        <v>2032</v>
      </c>
      <c r="E506" s="11">
        <v>18876495</v>
      </c>
      <c r="F506" t="s">
        <v>731</v>
      </c>
      <c r="G506" t="s">
        <v>732</v>
      </c>
      <c r="H506" s="10">
        <v>46217</v>
      </c>
      <c r="I506">
        <v>10375.74</v>
      </c>
      <c r="J506">
        <v>0</v>
      </c>
      <c r="K506">
        <v>10375.74</v>
      </c>
    </row>
    <row r="507" spans="1:11" x14ac:dyDescent="0.35">
      <c r="A507">
        <v>5100000648</v>
      </c>
      <c r="B507">
        <v>9400010720</v>
      </c>
      <c r="C507" s="10">
        <v>46172</v>
      </c>
      <c r="D507" t="s">
        <v>2032</v>
      </c>
      <c r="E507" s="11">
        <v>18854975</v>
      </c>
      <c r="F507" t="s">
        <v>987</v>
      </c>
      <c r="G507" t="s">
        <v>988</v>
      </c>
      <c r="H507" s="10">
        <v>46186</v>
      </c>
      <c r="I507">
        <v>247120.32</v>
      </c>
      <c r="J507">
        <v>0</v>
      </c>
      <c r="K507">
        <v>247120.32</v>
      </c>
    </row>
    <row r="508" spans="1:11" x14ac:dyDescent="0.35">
      <c r="A508">
        <v>2730000490</v>
      </c>
      <c r="B508">
        <v>9400010719</v>
      </c>
      <c r="C508" s="10">
        <v>46172</v>
      </c>
      <c r="D508" t="s">
        <v>2032</v>
      </c>
      <c r="E508" s="11">
        <v>18876395</v>
      </c>
      <c r="F508" t="s">
        <v>1209</v>
      </c>
      <c r="G508" t="s">
        <v>1210</v>
      </c>
      <c r="H508" s="10">
        <v>46186</v>
      </c>
      <c r="I508">
        <v>33063.599999999999</v>
      </c>
      <c r="J508">
        <v>0</v>
      </c>
      <c r="K508">
        <v>33063.599999999999</v>
      </c>
    </row>
    <row r="509" spans="1:11" x14ac:dyDescent="0.35">
      <c r="A509">
        <v>3000000836</v>
      </c>
      <c r="B509">
        <v>9400010718</v>
      </c>
      <c r="C509" s="10">
        <v>46172</v>
      </c>
      <c r="D509" t="s">
        <v>2032</v>
      </c>
      <c r="E509" s="11">
        <v>18855460</v>
      </c>
      <c r="F509" t="s">
        <v>3571</v>
      </c>
      <c r="G509" t="s">
        <v>3572</v>
      </c>
      <c r="H509" s="10">
        <v>46217</v>
      </c>
      <c r="I509">
        <v>53040.05</v>
      </c>
      <c r="J509">
        <v>0</v>
      </c>
      <c r="K509">
        <v>53040.05</v>
      </c>
    </row>
    <row r="510" spans="1:11" x14ac:dyDescent="0.35">
      <c r="A510">
        <v>9100000935</v>
      </c>
      <c r="B510">
        <v>9400010717</v>
      </c>
      <c r="C510" s="10">
        <v>46172</v>
      </c>
      <c r="D510" t="s">
        <v>2032</v>
      </c>
      <c r="E510" s="11">
        <v>18876495</v>
      </c>
      <c r="F510" t="s">
        <v>731</v>
      </c>
      <c r="G510" t="s">
        <v>732</v>
      </c>
      <c r="H510" s="10">
        <v>46186</v>
      </c>
      <c r="I510">
        <v>339840</v>
      </c>
      <c r="J510">
        <v>0</v>
      </c>
      <c r="K510">
        <v>339840</v>
      </c>
    </row>
    <row r="511" spans="1:11" x14ac:dyDescent="0.35">
      <c r="A511">
        <v>8000000583</v>
      </c>
      <c r="B511">
        <v>9400010714</v>
      </c>
      <c r="C511" s="10">
        <v>46172</v>
      </c>
      <c r="D511" t="s">
        <v>2032</v>
      </c>
      <c r="E511" s="11">
        <v>18855509</v>
      </c>
      <c r="F511" t="s">
        <v>42</v>
      </c>
      <c r="G511" t="s">
        <v>43</v>
      </c>
      <c r="H511" s="10">
        <v>46217</v>
      </c>
      <c r="I511">
        <v>105653.66</v>
      </c>
      <c r="J511">
        <v>0</v>
      </c>
      <c r="K511">
        <v>105653.66</v>
      </c>
    </row>
    <row r="512" spans="1:11" x14ac:dyDescent="0.35">
      <c r="A512">
        <v>9300000533</v>
      </c>
      <c r="B512">
        <v>9400010713</v>
      </c>
      <c r="C512" s="10">
        <v>46172</v>
      </c>
      <c r="D512" t="s">
        <v>2032</v>
      </c>
      <c r="E512" s="11">
        <v>18853086</v>
      </c>
      <c r="F512" t="s">
        <v>3573</v>
      </c>
      <c r="G512" t="s">
        <v>3574</v>
      </c>
      <c r="H512" s="10">
        <v>46217</v>
      </c>
      <c r="I512">
        <v>34355.279999999999</v>
      </c>
      <c r="J512">
        <v>0</v>
      </c>
      <c r="K512">
        <v>34355.279999999999</v>
      </c>
    </row>
    <row r="513" spans="1:11" x14ac:dyDescent="0.35">
      <c r="A513">
        <v>9300000532</v>
      </c>
      <c r="B513">
        <v>9400010712</v>
      </c>
      <c r="C513" s="10">
        <v>46172</v>
      </c>
      <c r="D513" t="s">
        <v>2032</v>
      </c>
      <c r="E513" s="11">
        <v>18854379</v>
      </c>
      <c r="F513" t="s">
        <v>555</v>
      </c>
      <c r="G513" t="s">
        <v>556</v>
      </c>
      <c r="H513" s="10">
        <v>46217</v>
      </c>
      <c r="I513">
        <v>32568</v>
      </c>
      <c r="J513">
        <v>0</v>
      </c>
      <c r="K513">
        <v>32568</v>
      </c>
    </row>
    <row r="514" spans="1:11" x14ac:dyDescent="0.35">
      <c r="A514">
        <v>7000000489</v>
      </c>
      <c r="B514">
        <v>9400010710</v>
      </c>
      <c r="C514" s="10">
        <v>46172</v>
      </c>
      <c r="D514" t="s">
        <v>2032</v>
      </c>
      <c r="E514" s="11">
        <v>126548</v>
      </c>
      <c r="F514" t="s">
        <v>735</v>
      </c>
      <c r="G514" t="s">
        <v>736</v>
      </c>
      <c r="H514" s="10">
        <v>46186</v>
      </c>
      <c r="I514">
        <v>110164.8</v>
      </c>
      <c r="J514">
        <v>0</v>
      </c>
      <c r="K514">
        <v>110164.8</v>
      </c>
    </row>
    <row r="515" spans="1:11" x14ac:dyDescent="0.35">
      <c r="A515">
        <v>9100000934</v>
      </c>
      <c r="B515">
        <v>9400010709</v>
      </c>
      <c r="C515" s="10">
        <v>46172</v>
      </c>
      <c r="D515" t="s">
        <v>2032</v>
      </c>
      <c r="E515" s="11">
        <v>18854275</v>
      </c>
      <c r="F515" t="s">
        <v>200</v>
      </c>
      <c r="G515" t="s">
        <v>201</v>
      </c>
      <c r="H515" s="10">
        <v>46186</v>
      </c>
      <c r="I515">
        <v>335623.86</v>
      </c>
      <c r="J515">
        <v>0</v>
      </c>
      <c r="K515">
        <v>335623.86</v>
      </c>
    </row>
    <row r="516" spans="1:11" x14ac:dyDescent="0.35">
      <c r="A516">
        <v>5200000317</v>
      </c>
      <c r="B516">
        <v>9400010708</v>
      </c>
      <c r="C516" s="10">
        <v>46172</v>
      </c>
      <c r="D516" t="s">
        <v>2032</v>
      </c>
      <c r="E516" s="11">
        <v>18855527</v>
      </c>
      <c r="F516" t="s">
        <v>326</v>
      </c>
      <c r="G516" t="s">
        <v>327</v>
      </c>
      <c r="H516" s="10">
        <v>46186</v>
      </c>
      <c r="I516">
        <v>54827.519999999997</v>
      </c>
      <c r="J516">
        <v>0</v>
      </c>
      <c r="K516">
        <v>54827.519999999997</v>
      </c>
    </row>
    <row r="517" spans="1:11" x14ac:dyDescent="0.35">
      <c r="A517">
        <v>8000000582</v>
      </c>
      <c r="B517">
        <v>9400010707</v>
      </c>
      <c r="C517" s="10">
        <v>46172</v>
      </c>
      <c r="D517" t="s">
        <v>2032</v>
      </c>
      <c r="E517" s="11">
        <v>18876297</v>
      </c>
      <c r="F517" t="s">
        <v>269</v>
      </c>
      <c r="G517" t="s">
        <v>270</v>
      </c>
      <c r="H517" s="10">
        <v>46217</v>
      </c>
      <c r="I517">
        <v>123361.92</v>
      </c>
      <c r="J517">
        <v>0</v>
      </c>
      <c r="K517">
        <v>123361.92</v>
      </c>
    </row>
    <row r="518" spans="1:11" x14ac:dyDescent="0.35">
      <c r="A518">
        <v>3000000835</v>
      </c>
      <c r="B518">
        <v>9400010706</v>
      </c>
      <c r="C518" s="10">
        <v>46172</v>
      </c>
      <c r="D518" t="s">
        <v>2032</v>
      </c>
      <c r="E518" s="11">
        <v>18876230</v>
      </c>
      <c r="F518" t="s">
        <v>881</v>
      </c>
      <c r="G518" t="s">
        <v>882</v>
      </c>
      <c r="H518" s="10">
        <v>46217</v>
      </c>
      <c r="I518">
        <v>55234.5</v>
      </c>
      <c r="J518">
        <v>0</v>
      </c>
      <c r="K518">
        <v>55234.5</v>
      </c>
    </row>
    <row r="519" spans="1:11" x14ac:dyDescent="0.35">
      <c r="A519">
        <v>9100000933</v>
      </c>
      <c r="B519">
        <v>9400010704</v>
      </c>
      <c r="C519" s="10">
        <v>46172</v>
      </c>
      <c r="D519" t="s">
        <v>2032</v>
      </c>
      <c r="E519" s="11">
        <v>18875907</v>
      </c>
      <c r="F519" t="s">
        <v>91</v>
      </c>
      <c r="G519" t="s">
        <v>92</v>
      </c>
      <c r="H519" s="10">
        <v>46217</v>
      </c>
      <c r="I519">
        <v>24367.38</v>
      </c>
      <c r="J519">
        <v>0</v>
      </c>
      <c r="K519">
        <v>24367.38</v>
      </c>
    </row>
    <row r="520" spans="1:11" x14ac:dyDescent="0.35">
      <c r="A520">
        <v>8000000581</v>
      </c>
      <c r="B520">
        <v>9400010703</v>
      </c>
      <c r="C520" s="10">
        <v>46172</v>
      </c>
      <c r="D520" t="s">
        <v>2032</v>
      </c>
      <c r="E520" s="11">
        <v>18876415</v>
      </c>
      <c r="F520" t="s">
        <v>691</v>
      </c>
      <c r="G520" t="s">
        <v>692</v>
      </c>
      <c r="H520" s="10">
        <v>46186</v>
      </c>
      <c r="I520">
        <v>67968</v>
      </c>
      <c r="J520">
        <v>0</v>
      </c>
      <c r="K520">
        <v>67968</v>
      </c>
    </row>
    <row r="521" spans="1:11" x14ac:dyDescent="0.35">
      <c r="A521">
        <v>5100000647</v>
      </c>
      <c r="B521">
        <v>9400010701</v>
      </c>
      <c r="C521" s="10">
        <v>46172</v>
      </c>
      <c r="D521" t="s">
        <v>2032</v>
      </c>
      <c r="E521" s="11">
        <v>18855143</v>
      </c>
      <c r="F521" t="s">
        <v>715</v>
      </c>
      <c r="G521" t="s">
        <v>716</v>
      </c>
      <c r="H521" s="10">
        <v>46217</v>
      </c>
      <c r="I521">
        <v>8677.7199999999993</v>
      </c>
      <c r="J521">
        <v>0</v>
      </c>
      <c r="K521">
        <v>8677.7199999999993</v>
      </c>
    </row>
    <row r="522" spans="1:11" x14ac:dyDescent="0.35">
      <c r="A522">
        <v>9100000932</v>
      </c>
      <c r="B522">
        <v>9400010700</v>
      </c>
      <c r="C522" s="10">
        <v>46172</v>
      </c>
      <c r="D522" t="s">
        <v>2032</v>
      </c>
      <c r="E522" s="11">
        <v>18876502</v>
      </c>
      <c r="F522" t="s">
        <v>196</v>
      </c>
      <c r="G522" t="s">
        <v>197</v>
      </c>
      <c r="H522" s="10">
        <v>46186</v>
      </c>
      <c r="I522">
        <v>621907.19999999995</v>
      </c>
      <c r="J522">
        <v>0</v>
      </c>
      <c r="K522">
        <v>621907.19999999995</v>
      </c>
    </row>
    <row r="523" spans="1:11" x14ac:dyDescent="0.35">
      <c r="A523">
        <v>2730000489</v>
      </c>
      <c r="B523">
        <v>9400010699</v>
      </c>
      <c r="C523" s="10">
        <v>46172</v>
      </c>
      <c r="D523" t="s">
        <v>2032</v>
      </c>
      <c r="E523" s="11">
        <v>18853292</v>
      </c>
      <c r="F523" t="s">
        <v>523</v>
      </c>
      <c r="G523" t="s">
        <v>524</v>
      </c>
      <c r="H523" s="10">
        <v>46217</v>
      </c>
      <c r="I523">
        <v>271244.02</v>
      </c>
      <c r="J523">
        <v>0</v>
      </c>
      <c r="K523">
        <v>271244.02</v>
      </c>
    </row>
    <row r="524" spans="1:11" x14ac:dyDescent="0.35">
      <c r="A524">
        <v>8000000580</v>
      </c>
      <c r="B524">
        <v>9400010697</v>
      </c>
      <c r="C524" s="10">
        <v>46172</v>
      </c>
      <c r="D524" t="s">
        <v>2032</v>
      </c>
      <c r="E524" s="11">
        <v>18876407</v>
      </c>
      <c r="F524" t="s">
        <v>689</v>
      </c>
      <c r="G524" t="s">
        <v>690</v>
      </c>
      <c r="H524" s="10">
        <v>46186</v>
      </c>
      <c r="I524">
        <v>67968</v>
      </c>
      <c r="J524">
        <v>0</v>
      </c>
      <c r="K524">
        <v>67968</v>
      </c>
    </row>
    <row r="525" spans="1:11" x14ac:dyDescent="0.35">
      <c r="A525">
        <v>8000000579</v>
      </c>
      <c r="B525">
        <v>9400010694</v>
      </c>
      <c r="C525" s="10">
        <v>46172</v>
      </c>
      <c r="D525" t="s">
        <v>2032</v>
      </c>
      <c r="E525" s="11">
        <v>18876399</v>
      </c>
      <c r="F525" t="s">
        <v>797</v>
      </c>
      <c r="G525" t="s">
        <v>798</v>
      </c>
      <c r="H525" s="10">
        <v>46217</v>
      </c>
      <c r="I525">
        <v>61680.959999999999</v>
      </c>
      <c r="J525">
        <v>0</v>
      </c>
      <c r="K525">
        <v>61680.959999999999</v>
      </c>
    </row>
    <row r="526" spans="1:11" x14ac:dyDescent="0.35">
      <c r="A526">
        <v>9200000661</v>
      </c>
      <c r="B526">
        <v>9400010693</v>
      </c>
      <c r="C526" s="10">
        <v>46172</v>
      </c>
      <c r="D526" t="s">
        <v>2032</v>
      </c>
      <c r="E526" s="11">
        <v>18876287</v>
      </c>
      <c r="F526" t="s">
        <v>603</v>
      </c>
      <c r="G526" t="s">
        <v>604</v>
      </c>
      <c r="H526" s="10">
        <v>46217</v>
      </c>
      <c r="I526">
        <v>52491.12</v>
      </c>
      <c r="J526">
        <v>0</v>
      </c>
      <c r="K526">
        <v>52491.12</v>
      </c>
    </row>
    <row r="527" spans="1:11" x14ac:dyDescent="0.35">
      <c r="A527">
        <v>2720000351</v>
      </c>
      <c r="B527">
        <v>9400010690</v>
      </c>
      <c r="C527" s="10">
        <v>46172</v>
      </c>
      <c r="D527" t="s">
        <v>2032</v>
      </c>
      <c r="E527" s="11">
        <v>18876066</v>
      </c>
      <c r="F527" t="s">
        <v>74</v>
      </c>
      <c r="G527" t="s">
        <v>75</v>
      </c>
      <c r="H527" s="10">
        <v>46217</v>
      </c>
      <c r="I527">
        <v>70784.84</v>
      </c>
      <c r="J527">
        <v>0</v>
      </c>
      <c r="K527">
        <v>70784.84</v>
      </c>
    </row>
    <row r="528" spans="1:11" x14ac:dyDescent="0.35">
      <c r="A528">
        <v>9100000931</v>
      </c>
      <c r="B528">
        <v>9400010689</v>
      </c>
      <c r="C528" s="10">
        <v>46172</v>
      </c>
      <c r="D528" t="s">
        <v>2032</v>
      </c>
      <c r="E528" s="11">
        <v>18855340</v>
      </c>
      <c r="F528" t="s">
        <v>174</v>
      </c>
      <c r="G528" t="s">
        <v>175</v>
      </c>
      <c r="H528" s="10">
        <v>46186</v>
      </c>
      <c r="I528">
        <v>677393.16</v>
      </c>
      <c r="J528">
        <v>0</v>
      </c>
      <c r="K528">
        <v>677393.16</v>
      </c>
    </row>
    <row r="529" spans="1:11" x14ac:dyDescent="0.35">
      <c r="A529">
        <v>5200000316</v>
      </c>
      <c r="B529">
        <v>9400010688</v>
      </c>
      <c r="C529" s="10">
        <v>46172</v>
      </c>
      <c r="D529" t="s">
        <v>2032</v>
      </c>
      <c r="E529" s="11">
        <v>18865746</v>
      </c>
      <c r="F529" t="s">
        <v>3575</v>
      </c>
      <c r="G529" t="s">
        <v>3576</v>
      </c>
      <c r="H529" s="10">
        <v>46217</v>
      </c>
      <c r="I529">
        <v>268506.64</v>
      </c>
      <c r="J529">
        <v>0</v>
      </c>
      <c r="K529">
        <v>268506.64</v>
      </c>
    </row>
    <row r="530" spans="1:11" x14ac:dyDescent="0.35">
      <c r="A530">
        <v>8000000578</v>
      </c>
      <c r="B530">
        <v>9400010687</v>
      </c>
      <c r="C530" s="10">
        <v>46172</v>
      </c>
      <c r="D530" t="s">
        <v>2032</v>
      </c>
      <c r="E530" s="11">
        <v>18876377</v>
      </c>
      <c r="F530" t="s">
        <v>1017</v>
      </c>
      <c r="G530" t="s">
        <v>1018</v>
      </c>
      <c r="H530" s="10">
        <v>46217</v>
      </c>
      <c r="I530">
        <v>52236.1</v>
      </c>
      <c r="J530">
        <v>0</v>
      </c>
      <c r="K530">
        <v>52236.1</v>
      </c>
    </row>
    <row r="531" spans="1:11" x14ac:dyDescent="0.35">
      <c r="A531">
        <v>5100000646</v>
      </c>
      <c r="B531">
        <v>9400010685</v>
      </c>
      <c r="C531" s="10">
        <v>46172</v>
      </c>
      <c r="D531" t="s">
        <v>2032</v>
      </c>
      <c r="E531" s="11">
        <v>18855098</v>
      </c>
      <c r="F531" t="s">
        <v>213</v>
      </c>
      <c r="G531" t="s">
        <v>214</v>
      </c>
      <c r="H531" s="10">
        <v>46217</v>
      </c>
      <c r="I531">
        <v>9961.84</v>
      </c>
      <c r="J531">
        <v>0</v>
      </c>
      <c r="K531">
        <v>9961.84</v>
      </c>
    </row>
    <row r="532" spans="1:11" x14ac:dyDescent="0.35">
      <c r="A532">
        <v>5100000645</v>
      </c>
      <c r="B532">
        <v>9400010680</v>
      </c>
      <c r="C532" s="10">
        <v>46172</v>
      </c>
      <c r="D532" t="s">
        <v>2032</v>
      </c>
      <c r="E532" s="11">
        <v>18855098</v>
      </c>
      <c r="F532" t="s">
        <v>213</v>
      </c>
      <c r="G532" t="s">
        <v>214</v>
      </c>
      <c r="H532" s="10">
        <v>46186</v>
      </c>
      <c r="I532">
        <v>144148.79999999999</v>
      </c>
      <c r="J532">
        <v>0</v>
      </c>
      <c r="K532">
        <v>144148.79999999999</v>
      </c>
    </row>
    <row r="533" spans="1:11" x14ac:dyDescent="0.35">
      <c r="A533">
        <v>9100000930</v>
      </c>
      <c r="B533">
        <v>9400010678</v>
      </c>
      <c r="C533" s="10">
        <v>46172</v>
      </c>
      <c r="D533" t="s">
        <v>2032</v>
      </c>
      <c r="E533" s="11">
        <v>18855340</v>
      </c>
      <c r="F533" t="s">
        <v>174</v>
      </c>
      <c r="G533" t="s">
        <v>175</v>
      </c>
      <c r="H533" s="10">
        <v>46172</v>
      </c>
      <c r="I533">
        <v>25143.22</v>
      </c>
      <c r="J533">
        <v>51.56</v>
      </c>
      <c r="K533">
        <v>25091.66</v>
      </c>
    </row>
    <row r="534" spans="1:11" x14ac:dyDescent="0.35">
      <c r="A534">
        <v>9300000531</v>
      </c>
      <c r="B534">
        <v>9400010677</v>
      </c>
      <c r="C534" s="10">
        <v>46172</v>
      </c>
      <c r="D534" t="s">
        <v>2032</v>
      </c>
      <c r="E534" s="11">
        <v>18853086</v>
      </c>
      <c r="F534" t="s">
        <v>3573</v>
      </c>
      <c r="G534" t="s">
        <v>3574</v>
      </c>
      <c r="H534" s="10">
        <v>46186</v>
      </c>
      <c r="I534">
        <v>70894.399999999994</v>
      </c>
      <c r="J534">
        <v>0</v>
      </c>
      <c r="K534">
        <v>70894.399999999994</v>
      </c>
    </row>
    <row r="535" spans="1:11" x14ac:dyDescent="0.35">
      <c r="A535">
        <v>9200000658</v>
      </c>
      <c r="B535">
        <v>9400010676</v>
      </c>
      <c r="C535" s="10">
        <v>46172</v>
      </c>
      <c r="D535" t="s">
        <v>2032</v>
      </c>
      <c r="E535" s="11">
        <v>18876476</v>
      </c>
      <c r="F535" t="s">
        <v>859</v>
      </c>
      <c r="G535" t="s">
        <v>860</v>
      </c>
      <c r="H535" s="10">
        <v>46217</v>
      </c>
      <c r="I535">
        <v>21051.200000000001</v>
      </c>
      <c r="J535">
        <v>0</v>
      </c>
      <c r="K535">
        <v>21051.200000000001</v>
      </c>
    </row>
    <row r="536" spans="1:11" x14ac:dyDescent="0.35">
      <c r="A536">
        <v>5100000644</v>
      </c>
      <c r="B536">
        <v>9400010675</v>
      </c>
      <c r="C536" s="10">
        <v>46172</v>
      </c>
      <c r="D536" t="s">
        <v>2032</v>
      </c>
      <c r="E536" s="11">
        <v>18855169</v>
      </c>
      <c r="F536" t="s">
        <v>571</v>
      </c>
      <c r="G536" t="s">
        <v>572</v>
      </c>
      <c r="H536" s="10">
        <v>46217</v>
      </c>
      <c r="I536">
        <v>24709.3</v>
      </c>
      <c r="J536">
        <v>0</v>
      </c>
      <c r="K536">
        <v>24709.3</v>
      </c>
    </row>
    <row r="537" spans="1:11" x14ac:dyDescent="0.35">
      <c r="A537">
        <v>5200000315</v>
      </c>
      <c r="B537">
        <v>9400010674</v>
      </c>
      <c r="C537" s="10">
        <v>46172</v>
      </c>
      <c r="D537" t="s">
        <v>2032</v>
      </c>
      <c r="E537" s="11">
        <v>18855144</v>
      </c>
      <c r="F537" t="s">
        <v>849</v>
      </c>
      <c r="G537" t="s">
        <v>850</v>
      </c>
      <c r="H537" s="10">
        <v>46186</v>
      </c>
      <c r="I537">
        <v>151408.16</v>
      </c>
      <c r="J537">
        <v>0</v>
      </c>
      <c r="K537">
        <v>151408.16</v>
      </c>
    </row>
    <row r="538" spans="1:11" x14ac:dyDescent="0.35">
      <c r="A538">
        <v>9100000929</v>
      </c>
      <c r="B538">
        <v>9400010673</v>
      </c>
      <c r="C538" s="10">
        <v>46172</v>
      </c>
      <c r="D538" t="s">
        <v>2032</v>
      </c>
      <c r="E538" s="11">
        <v>18876027</v>
      </c>
      <c r="F538" t="s">
        <v>559</v>
      </c>
      <c r="G538" t="s">
        <v>560</v>
      </c>
      <c r="H538" s="10">
        <v>46186</v>
      </c>
      <c r="I538">
        <v>40780.800000000003</v>
      </c>
      <c r="J538">
        <v>0</v>
      </c>
      <c r="K538">
        <v>40780.800000000003</v>
      </c>
    </row>
    <row r="539" spans="1:11" x14ac:dyDescent="0.35">
      <c r="A539">
        <v>9100000928</v>
      </c>
      <c r="B539">
        <v>9400010671</v>
      </c>
      <c r="C539" s="10">
        <v>46172</v>
      </c>
      <c r="D539" t="s">
        <v>2032</v>
      </c>
      <c r="E539" s="11">
        <v>18855219</v>
      </c>
      <c r="F539" t="s">
        <v>142</v>
      </c>
      <c r="G539" t="s">
        <v>143</v>
      </c>
      <c r="H539" s="10">
        <v>46186</v>
      </c>
      <c r="I539">
        <v>20390.400000000001</v>
      </c>
      <c r="J539">
        <v>0</v>
      </c>
      <c r="K539">
        <v>20390.400000000001</v>
      </c>
    </row>
    <row r="540" spans="1:11" x14ac:dyDescent="0.35">
      <c r="A540">
        <v>8000000577</v>
      </c>
      <c r="B540">
        <v>9400010670</v>
      </c>
      <c r="C540" s="10">
        <v>46172</v>
      </c>
      <c r="D540" t="s">
        <v>2032</v>
      </c>
      <c r="E540" s="11">
        <v>18876257</v>
      </c>
      <c r="F540" t="s">
        <v>893</v>
      </c>
      <c r="G540" t="s">
        <v>894</v>
      </c>
      <c r="H540" s="10">
        <v>46186</v>
      </c>
      <c r="I540">
        <v>32737.919999999998</v>
      </c>
      <c r="J540">
        <v>0</v>
      </c>
      <c r="K540">
        <v>32737.919999999998</v>
      </c>
    </row>
    <row r="541" spans="1:11" x14ac:dyDescent="0.35">
      <c r="A541">
        <v>9300000530</v>
      </c>
      <c r="B541">
        <v>9400010668</v>
      </c>
      <c r="C541" s="10">
        <v>46172</v>
      </c>
      <c r="D541" t="s">
        <v>2032</v>
      </c>
      <c r="E541" s="11">
        <v>18855038</v>
      </c>
      <c r="F541" t="s">
        <v>339</v>
      </c>
      <c r="G541" t="s">
        <v>340</v>
      </c>
      <c r="H541" s="10">
        <v>46217</v>
      </c>
      <c r="I541">
        <v>31504.3</v>
      </c>
      <c r="J541">
        <v>0</v>
      </c>
      <c r="K541">
        <v>31504.3</v>
      </c>
    </row>
    <row r="542" spans="1:11" x14ac:dyDescent="0.35">
      <c r="A542">
        <v>7000000488</v>
      </c>
      <c r="B542">
        <v>9400010667</v>
      </c>
      <c r="C542" s="10">
        <v>46172</v>
      </c>
      <c r="D542" t="s">
        <v>2032</v>
      </c>
      <c r="E542" s="11">
        <v>123654</v>
      </c>
      <c r="F542" t="s">
        <v>351</v>
      </c>
      <c r="G542" t="s">
        <v>352</v>
      </c>
      <c r="H542" s="10">
        <v>46186</v>
      </c>
      <c r="I542">
        <v>77596.800000000003</v>
      </c>
      <c r="J542">
        <v>0</v>
      </c>
      <c r="K542">
        <v>77596.800000000003</v>
      </c>
    </row>
    <row r="543" spans="1:11" x14ac:dyDescent="0.35">
      <c r="A543">
        <v>3000000830</v>
      </c>
      <c r="B543">
        <v>9400010664</v>
      </c>
      <c r="C543" s="10">
        <v>46172</v>
      </c>
      <c r="D543" t="s">
        <v>2032</v>
      </c>
      <c r="E543" s="11">
        <v>18876230</v>
      </c>
      <c r="F543" t="s">
        <v>881</v>
      </c>
      <c r="G543" t="s">
        <v>882</v>
      </c>
      <c r="H543" s="10">
        <v>46172</v>
      </c>
      <c r="I543">
        <v>192562.58</v>
      </c>
      <c r="J543">
        <v>191429.97</v>
      </c>
      <c r="K543">
        <v>1132.609999999986</v>
      </c>
    </row>
    <row r="544" spans="1:11" x14ac:dyDescent="0.35">
      <c r="A544">
        <v>9300000529</v>
      </c>
      <c r="B544">
        <v>9400010662</v>
      </c>
      <c r="C544" s="10">
        <v>46172</v>
      </c>
      <c r="D544" t="s">
        <v>2032</v>
      </c>
      <c r="E544" s="11">
        <v>18821971</v>
      </c>
      <c r="F544" t="s">
        <v>871</v>
      </c>
      <c r="G544" t="s">
        <v>872</v>
      </c>
      <c r="H544" s="10">
        <v>46217</v>
      </c>
      <c r="I544">
        <v>24862.2</v>
      </c>
      <c r="J544">
        <v>0</v>
      </c>
      <c r="K544">
        <v>24862.2</v>
      </c>
    </row>
    <row r="545" spans="1:11" x14ac:dyDescent="0.35">
      <c r="A545">
        <v>5200000313</v>
      </c>
      <c r="B545">
        <v>9400010651</v>
      </c>
      <c r="C545" s="10">
        <v>46172</v>
      </c>
      <c r="D545" t="s">
        <v>2032</v>
      </c>
      <c r="E545" s="11">
        <v>18853201</v>
      </c>
      <c r="F545" t="s">
        <v>613</v>
      </c>
      <c r="G545" t="s">
        <v>614</v>
      </c>
      <c r="H545" s="10">
        <v>46186</v>
      </c>
      <c r="I545">
        <v>186628.8</v>
      </c>
      <c r="J545">
        <v>0</v>
      </c>
      <c r="K545">
        <v>186628.8</v>
      </c>
    </row>
    <row r="546" spans="1:11" x14ac:dyDescent="0.35">
      <c r="A546">
        <v>2710000763</v>
      </c>
      <c r="B546">
        <v>9400010648</v>
      </c>
      <c r="C546" s="10">
        <v>46172</v>
      </c>
      <c r="D546" t="s">
        <v>2032</v>
      </c>
      <c r="E546" s="11">
        <v>18875920</v>
      </c>
      <c r="F546" t="s">
        <v>597</v>
      </c>
      <c r="G546" t="s">
        <v>598</v>
      </c>
      <c r="H546" s="10">
        <v>46186</v>
      </c>
      <c r="I546">
        <v>67344.960000000006</v>
      </c>
      <c r="J546">
        <v>0</v>
      </c>
      <c r="K546">
        <v>67344.960000000006</v>
      </c>
    </row>
    <row r="547" spans="1:11" x14ac:dyDescent="0.35">
      <c r="A547">
        <v>2720000348</v>
      </c>
      <c r="B547">
        <v>9400010644</v>
      </c>
      <c r="C547" s="10">
        <v>46172</v>
      </c>
      <c r="D547" t="s">
        <v>2032</v>
      </c>
      <c r="E547" s="11">
        <v>18822650</v>
      </c>
      <c r="F547" t="s">
        <v>245</v>
      </c>
      <c r="G547" t="s">
        <v>246</v>
      </c>
      <c r="H547" s="10">
        <v>46217</v>
      </c>
      <c r="I547">
        <v>11187.1</v>
      </c>
      <c r="J547">
        <v>0</v>
      </c>
      <c r="K547">
        <v>11187.1</v>
      </c>
    </row>
    <row r="548" spans="1:11" x14ac:dyDescent="0.35">
      <c r="A548">
        <v>2710000762</v>
      </c>
      <c r="B548">
        <v>9400010643</v>
      </c>
      <c r="C548" s="10">
        <v>46172</v>
      </c>
      <c r="D548" t="s">
        <v>2032</v>
      </c>
      <c r="E548" s="11">
        <v>18875869</v>
      </c>
      <c r="F548" t="s">
        <v>579</v>
      </c>
      <c r="G548" t="s">
        <v>580</v>
      </c>
      <c r="H548" s="10">
        <v>46217</v>
      </c>
      <c r="I548">
        <v>3003.34</v>
      </c>
      <c r="J548">
        <v>0</v>
      </c>
      <c r="K548">
        <v>3003.34</v>
      </c>
    </row>
    <row r="549" spans="1:11" x14ac:dyDescent="0.35">
      <c r="A549">
        <v>2710000761</v>
      </c>
      <c r="B549">
        <v>9400010640</v>
      </c>
      <c r="C549" s="10">
        <v>46172</v>
      </c>
      <c r="D549" t="s">
        <v>2032</v>
      </c>
      <c r="E549" s="11">
        <v>18875869</v>
      </c>
      <c r="F549" t="s">
        <v>579</v>
      </c>
      <c r="G549" t="s">
        <v>580</v>
      </c>
      <c r="H549" s="10">
        <v>46186</v>
      </c>
      <c r="I549">
        <v>77087.039999999994</v>
      </c>
      <c r="J549">
        <v>0</v>
      </c>
      <c r="K549">
        <v>77087.039999999994</v>
      </c>
    </row>
    <row r="550" spans="1:11" x14ac:dyDescent="0.35">
      <c r="A550">
        <v>9200000656</v>
      </c>
      <c r="B550">
        <v>9400010636</v>
      </c>
      <c r="C550" s="10">
        <v>46172</v>
      </c>
      <c r="D550" t="s">
        <v>2032</v>
      </c>
      <c r="E550" s="11">
        <v>18865670</v>
      </c>
      <c r="F550" t="s">
        <v>229</v>
      </c>
      <c r="G550" t="s">
        <v>230</v>
      </c>
      <c r="H550" s="10">
        <v>46186</v>
      </c>
      <c r="I550">
        <v>33984</v>
      </c>
      <c r="J550">
        <v>0</v>
      </c>
      <c r="K550">
        <v>33984</v>
      </c>
    </row>
    <row r="551" spans="1:11" x14ac:dyDescent="0.35">
      <c r="A551">
        <v>2710000758</v>
      </c>
      <c r="B551">
        <v>9400010635</v>
      </c>
      <c r="C551" s="10">
        <v>46172</v>
      </c>
      <c r="D551" t="s">
        <v>2032</v>
      </c>
      <c r="E551" s="11">
        <v>18865808</v>
      </c>
      <c r="F551" t="s">
        <v>791</v>
      </c>
      <c r="G551" t="s">
        <v>792</v>
      </c>
      <c r="H551" s="10">
        <v>46217</v>
      </c>
      <c r="I551">
        <v>57514.02</v>
      </c>
      <c r="J551">
        <v>0</v>
      </c>
      <c r="K551">
        <v>57514.02</v>
      </c>
    </row>
    <row r="552" spans="1:11" x14ac:dyDescent="0.35">
      <c r="A552">
        <v>5100000641</v>
      </c>
      <c r="B552">
        <v>9400010632</v>
      </c>
      <c r="C552" s="10">
        <v>46172</v>
      </c>
      <c r="D552" t="s">
        <v>2032</v>
      </c>
      <c r="E552" s="11">
        <v>18854578</v>
      </c>
      <c r="F552" t="s">
        <v>331</v>
      </c>
      <c r="G552" t="s">
        <v>332</v>
      </c>
      <c r="H552" s="10">
        <v>46186</v>
      </c>
      <c r="I552">
        <v>252048</v>
      </c>
      <c r="J552">
        <v>0</v>
      </c>
      <c r="K552">
        <v>252048</v>
      </c>
    </row>
    <row r="553" spans="1:11" x14ac:dyDescent="0.35">
      <c r="A553">
        <v>3000000829</v>
      </c>
      <c r="B553">
        <v>9400010631</v>
      </c>
      <c r="C553" s="10">
        <v>46172</v>
      </c>
      <c r="D553" t="s">
        <v>2032</v>
      </c>
      <c r="E553" s="11">
        <v>18876274</v>
      </c>
      <c r="F553" t="s">
        <v>447</v>
      </c>
      <c r="G553" t="s">
        <v>448</v>
      </c>
      <c r="H553" s="10">
        <v>46217</v>
      </c>
      <c r="I553">
        <v>150402.54999999999</v>
      </c>
      <c r="J553">
        <v>0</v>
      </c>
      <c r="K553">
        <v>150402.54999999999</v>
      </c>
    </row>
    <row r="554" spans="1:11" x14ac:dyDescent="0.35">
      <c r="A554">
        <v>2710000757</v>
      </c>
      <c r="B554">
        <v>9400010630</v>
      </c>
      <c r="C554" s="10">
        <v>46172</v>
      </c>
      <c r="D554" t="s">
        <v>2032</v>
      </c>
      <c r="E554" s="11">
        <v>18865808</v>
      </c>
      <c r="F554" t="s">
        <v>791</v>
      </c>
      <c r="G554" t="s">
        <v>792</v>
      </c>
      <c r="H554" s="10">
        <v>46186</v>
      </c>
      <c r="I554">
        <v>100148.96</v>
      </c>
      <c r="J554">
        <v>0</v>
      </c>
      <c r="K554">
        <v>100148.96</v>
      </c>
    </row>
    <row r="555" spans="1:11" x14ac:dyDescent="0.35">
      <c r="A555">
        <v>7000000487</v>
      </c>
      <c r="B555">
        <v>9400010629</v>
      </c>
      <c r="C555" s="10">
        <v>46172</v>
      </c>
      <c r="D555" t="s">
        <v>2032</v>
      </c>
      <c r="E555" s="11">
        <v>256987</v>
      </c>
      <c r="F555" t="s">
        <v>513</v>
      </c>
      <c r="G555" t="s">
        <v>514</v>
      </c>
      <c r="H555" s="10">
        <v>46217</v>
      </c>
      <c r="I555">
        <v>26043.08</v>
      </c>
      <c r="J555">
        <v>0</v>
      </c>
      <c r="K555">
        <v>26043.08</v>
      </c>
    </row>
    <row r="556" spans="1:11" x14ac:dyDescent="0.35">
      <c r="A556">
        <v>2730000487</v>
      </c>
      <c r="B556">
        <v>9400010627</v>
      </c>
      <c r="C556" s="10">
        <v>46172</v>
      </c>
      <c r="D556" t="s">
        <v>2032</v>
      </c>
      <c r="E556" s="11">
        <v>18876048</v>
      </c>
      <c r="F556" t="s">
        <v>89</v>
      </c>
      <c r="G556" t="s">
        <v>90</v>
      </c>
      <c r="H556" s="10">
        <v>46186</v>
      </c>
      <c r="I556">
        <v>174734.4</v>
      </c>
      <c r="J556">
        <v>0</v>
      </c>
      <c r="K556">
        <v>174734.4</v>
      </c>
    </row>
    <row r="557" spans="1:11" x14ac:dyDescent="0.35">
      <c r="A557">
        <v>2710000756</v>
      </c>
      <c r="B557">
        <v>9400010626</v>
      </c>
      <c r="C557" s="10">
        <v>46172</v>
      </c>
      <c r="D557" t="s">
        <v>2032</v>
      </c>
      <c r="E557" s="11">
        <v>18865764</v>
      </c>
      <c r="F557" t="s">
        <v>767</v>
      </c>
      <c r="G557" t="s">
        <v>768</v>
      </c>
      <c r="H557" s="10">
        <v>46217</v>
      </c>
      <c r="I557">
        <v>19414.78</v>
      </c>
      <c r="J557">
        <v>0</v>
      </c>
      <c r="K557">
        <v>19414.78</v>
      </c>
    </row>
    <row r="558" spans="1:11" x14ac:dyDescent="0.35">
      <c r="A558">
        <v>9200000655</v>
      </c>
      <c r="B558">
        <v>9400010624</v>
      </c>
      <c r="C558" s="10">
        <v>46172</v>
      </c>
      <c r="D558" t="s">
        <v>2032</v>
      </c>
      <c r="E558" s="11">
        <v>18865749</v>
      </c>
      <c r="F558" t="s">
        <v>51</v>
      </c>
      <c r="G558" t="s">
        <v>52</v>
      </c>
      <c r="H558" s="10">
        <v>46217</v>
      </c>
      <c r="I558">
        <v>25055.42</v>
      </c>
      <c r="J558">
        <v>0</v>
      </c>
      <c r="K558">
        <v>25055.42</v>
      </c>
    </row>
    <row r="559" spans="1:11" x14ac:dyDescent="0.35">
      <c r="A559">
        <v>9200000654</v>
      </c>
      <c r="B559">
        <v>9400010623</v>
      </c>
      <c r="C559" s="10">
        <v>46172</v>
      </c>
      <c r="D559" t="s">
        <v>2032</v>
      </c>
      <c r="E559" s="11">
        <v>18865749</v>
      </c>
      <c r="F559" t="s">
        <v>51</v>
      </c>
      <c r="G559" t="s">
        <v>52</v>
      </c>
      <c r="H559" s="10">
        <v>46186</v>
      </c>
      <c r="I559">
        <v>105775.2</v>
      </c>
      <c r="J559">
        <v>0</v>
      </c>
      <c r="K559">
        <v>105775.2</v>
      </c>
    </row>
    <row r="560" spans="1:11" x14ac:dyDescent="0.35">
      <c r="A560">
        <v>2710000755</v>
      </c>
      <c r="B560">
        <v>9400010622</v>
      </c>
      <c r="C560" s="10">
        <v>46172</v>
      </c>
      <c r="D560" t="s">
        <v>2032</v>
      </c>
      <c r="E560" s="11">
        <v>18865764</v>
      </c>
      <c r="F560" t="s">
        <v>767</v>
      </c>
      <c r="G560" t="s">
        <v>768</v>
      </c>
      <c r="H560" s="10">
        <v>46186</v>
      </c>
      <c r="I560">
        <v>1395256.54</v>
      </c>
      <c r="J560">
        <v>0</v>
      </c>
      <c r="K560">
        <v>1395256.54</v>
      </c>
    </row>
    <row r="561" spans="1:11" x14ac:dyDescent="0.35">
      <c r="A561">
        <v>2710000753</v>
      </c>
      <c r="B561">
        <v>9400010619</v>
      </c>
      <c r="C561" s="10">
        <v>46172</v>
      </c>
      <c r="D561" t="s">
        <v>2032</v>
      </c>
      <c r="E561" s="11">
        <v>18865652</v>
      </c>
      <c r="F561" t="s">
        <v>144</v>
      </c>
      <c r="G561" t="s">
        <v>145</v>
      </c>
      <c r="H561" s="10">
        <v>46217</v>
      </c>
      <c r="I561">
        <v>4066.62</v>
      </c>
      <c r="J561">
        <v>0</v>
      </c>
      <c r="K561">
        <v>4066.62</v>
      </c>
    </row>
    <row r="562" spans="1:11" x14ac:dyDescent="0.35">
      <c r="A562">
        <v>2710000752</v>
      </c>
      <c r="B562">
        <v>9400010616</v>
      </c>
      <c r="C562" s="10">
        <v>46172</v>
      </c>
      <c r="D562" t="s">
        <v>2032</v>
      </c>
      <c r="E562" s="11">
        <v>18865630</v>
      </c>
      <c r="F562" t="s">
        <v>144</v>
      </c>
      <c r="G562" t="s">
        <v>145</v>
      </c>
      <c r="H562" s="10">
        <v>46186</v>
      </c>
      <c r="I562">
        <v>132820.79999999999</v>
      </c>
      <c r="J562">
        <v>0</v>
      </c>
      <c r="K562">
        <v>132820.79999999999</v>
      </c>
    </row>
    <row r="563" spans="1:11" x14ac:dyDescent="0.35">
      <c r="A563">
        <v>9300000527</v>
      </c>
      <c r="B563">
        <v>9400010615</v>
      </c>
      <c r="C563" s="10">
        <v>46172</v>
      </c>
      <c r="D563" t="s">
        <v>2032</v>
      </c>
      <c r="E563" s="11">
        <v>18853562</v>
      </c>
      <c r="F563" t="s">
        <v>615</v>
      </c>
      <c r="G563" t="s">
        <v>616</v>
      </c>
      <c r="H563" s="10">
        <v>46217</v>
      </c>
      <c r="I563">
        <v>49187.8</v>
      </c>
      <c r="J563">
        <v>0</v>
      </c>
      <c r="K563">
        <v>49187.8</v>
      </c>
    </row>
    <row r="564" spans="1:11" x14ac:dyDescent="0.35">
      <c r="A564">
        <v>2720000347</v>
      </c>
      <c r="B564">
        <v>9400010614</v>
      </c>
      <c r="C564" s="10">
        <v>46172</v>
      </c>
      <c r="D564" t="s">
        <v>2032</v>
      </c>
      <c r="E564" s="11">
        <v>18876084</v>
      </c>
      <c r="F564" t="s">
        <v>567</v>
      </c>
      <c r="G564" t="s">
        <v>568</v>
      </c>
      <c r="H564" s="10">
        <v>46186</v>
      </c>
      <c r="I564">
        <v>112430.39999999999</v>
      </c>
      <c r="J564">
        <v>0</v>
      </c>
      <c r="K564">
        <v>112430.39999999999</v>
      </c>
    </row>
    <row r="565" spans="1:11" x14ac:dyDescent="0.35">
      <c r="A565">
        <v>7000000486</v>
      </c>
      <c r="B565">
        <v>9400010612</v>
      </c>
      <c r="C565" s="10">
        <v>46172</v>
      </c>
      <c r="D565" t="s">
        <v>2032</v>
      </c>
      <c r="E565" s="11">
        <v>236541</v>
      </c>
      <c r="F565" t="s">
        <v>543</v>
      </c>
      <c r="G565" t="s">
        <v>544</v>
      </c>
      <c r="H565" s="10">
        <v>46186</v>
      </c>
      <c r="I565">
        <v>324264</v>
      </c>
      <c r="J565">
        <v>0</v>
      </c>
      <c r="K565">
        <v>324264</v>
      </c>
    </row>
    <row r="566" spans="1:11" x14ac:dyDescent="0.35">
      <c r="A566">
        <v>3000000828</v>
      </c>
      <c r="B566">
        <v>9400010611</v>
      </c>
      <c r="C566" s="10">
        <v>46172</v>
      </c>
      <c r="D566" t="s">
        <v>2032</v>
      </c>
      <c r="E566" s="11">
        <v>18876274</v>
      </c>
      <c r="F566" t="s">
        <v>447</v>
      </c>
      <c r="G566" t="s">
        <v>448</v>
      </c>
      <c r="H566" s="10">
        <v>46186</v>
      </c>
      <c r="I566">
        <v>386674.2</v>
      </c>
      <c r="J566">
        <v>0</v>
      </c>
      <c r="K566">
        <v>386674.2</v>
      </c>
    </row>
    <row r="567" spans="1:11" x14ac:dyDescent="0.35">
      <c r="A567">
        <v>7000000485</v>
      </c>
      <c r="B567">
        <v>9400010605</v>
      </c>
      <c r="C567" s="10">
        <v>46172</v>
      </c>
      <c r="D567" t="s">
        <v>2032</v>
      </c>
      <c r="E567" s="11">
        <v>236541</v>
      </c>
      <c r="F567" t="s">
        <v>513</v>
      </c>
      <c r="G567" t="s">
        <v>514</v>
      </c>
      <c r="H567" s="10">
        <v>46217</v>
      </c>
      <c r="I567">
        <v>25187.88</v>
      </c>
      <c r="J567">
        <v>0</v>
      </c>
      <c r="K567">
        <v>25187.88</v>
      </c>
    </row>
    <row r="568" spans="1:11" x14ac:dyDescent="0.35">
      <c r="A568">
        <v>2730000486</v>
      </c>
      <c r="B568">
        <v>9400010602</v>
      </c>
      <c r="C568" s="10">
        <v>46172</v>
      </c>
      <c r="D568" t="s">
        <v>2032</v>
      </c>
      <c r="E568" s="11">
        <v>18876139</v>
      </c>
      <c r="F568" t="s">
        <v>479</v>
      </c>
      <c r="G568" t="s">
        <v>480</v>
      </c>
      <c r="H568" s="10">
        <v>46186</v>
      </c>
      <c r="I568">
        <v>27165.96</v>
      </c>
      <c r="J568">
        <v>0</v>
      </c>
      <c r="K568">
        <v>27165.96</v>
      </c>
    </row>
    <row r="569" spans="1:11" x14ac:dyDescent="0.35">
      <c r="A569">
        <v>3000000826</v>
      </c>
      <c r="B569">
        <v>9400010601</v>
      </c>
      <c r="C569" s="10">
        <v>46172</v>
      </c>
      <c r="D569" t="s">
        <v>2032</v>
      </c>
      <c r="E569" s="11">
        <v>18854475</v>
      </c>
      <c r="F569" t="s">
        <v>237</v>
      </c>
      <c r="G569" t="s">
        <v>238</v>
      </c>
      <c r="H569" s="10">
        <v>46187</v>
      </c>
      <c r="I569">
        <v>20840.12</v>
      </c>
      <c r="J569">
        <v>0</v>
      </c>
      <c r="K569">
        <v>20840.12</v>
      </c>
    </row>
    <row r="570" spans="1:11" x14ac:dyDescent="0.35">
      <c r="A570">
        <v>7000000484</v>
      </c>
      <c r="B570">
        <v>9400010599</v>
      </c>
      <c r="C570" s="10">
        <v>46172</v>
      </c>
      <c r="D570" t="s">
        <v>2032</v>
      </c>
      <c r="E570" s="11">
        <v>236542</v>
      </c>
      <c r="F570" t="s">
        <v>707</v>
      </c>
      <c r="G570" t="s">
        <v>708</v>
      </c>
      <c r="H570" s="10">
        <v>46217</v>
      </c>
      <c r="I570">
        <v>17292.900000000001</v>
      </c>
      <c r="J570">
        <v>0</v>
      </c>
      <c r="K570">
        <v>17292.900000000001</v>
      </c>
    </row>
    <row r="571" spans="1:11" x14ac:dyDescent="0.35">
      <c r="A571">
        <v>2300000458</v>
      </c>
      <c r="B571">
        <v>9400010597</v>
      </c>
      <c r="C571" s="10">
        <v>46172</v>
      </c>
      <c r="D571" t="s">
        <v>2032</v>
      </c>
      <c r="E571" s="11">
        <v>18875858</v>
      </c>
      <c r="F571" t="s">
        <v>659</v>
      </c>
      <c r="G571" t="s">
        <v>660</v>
      </c>
      <c r="H571" s="10">
        <v>46217</v>
      </c>
      <c r="I571">
        <v>54037.04</v>
      </c>
      <c r="J571">
        <v>0</v>
      </c>
      <c r="K571">
        <v>54037.04</v>
      </c>
    </row>
    <row r="572" spans="1:11" x14ac:dyDescent="0.35">
      <c r="A572">
        <v>3000000825</v>
      </c>
      <c r="B572">
        <v>9400010596</v>
      </c>
      <c r="C572" s="10">
        <v>46172</v>
      </c>
      <c r="D572" t="s">
        <v>2032</v>
      </c>
      <c r="E572" s="11">
        <v>18854469</v>
      </c>
      <c r="F572" t="s">
        <v>343</v>
      </c>
      <c r="G572" t="s">
        <v>344</v>
      </c>
      <c r="H572" s="10">
        <v>46217</v>
      </c>
      <c r="I572">
        <v>20560.32</v>
      </c>
      <c r="J572">
        <v>0</v>
      </c>
      <c r="K572">
        <v>20560.32</v>
      </c>
    </row>
    <row r="573" spans="1:11" x14ac:dyDescent="0.35">
      <c r="A573">
        <v>2730000485</v>
      </c>
      <c r="B573">
        <v>9400010595</v>
      </c>
      <c r="C573" s="10">
        <v>46172</v>
      </c>
      <c r="D573" t="s">
        <v>2032</v>
      </c>
      <c r="E573" s="11">
        <v>18876090</v>
      </c>
      <c r="F573" t="s">
        <v>114</v>
      </c>
      <c r="G573" t="s">
        <v>115</v>
      </c>
      <c r="H573" s="10">
        <v>46186</v>
      </c>
      <c r="I573">
        <v>760698.8</v>
      </c>
      <c r="J573">
        <v>0</v>
      </c>
      <c r="K573">
        <v>760698.8</v>
      </c>
    </row>
    <row r="574" spans="1:11" x14ac:dyDescent="0.35">
      <c r="A574">
        <v>9200000653</v>
      </c>
      <c r="B574">
        <v>9400010594</v>
      </c>
      <c r="C574" s="10">
        <v>46172</v>
      </c>
      <c r="D574" t="s">
        <v>2032</v>
      </c>
      <c r="E574" s="11">
        <v>18865753</v>
      </c>
      <c r="F574" t="s">
        <v>3579</v>
      </c>
      <c r="G574" t="s">
        <v>3580</v>
      </c>
      <c r="H574" s="10">
        <v>46217</v>
      </c>
      <c r="I574">
        <v>20146.84</v>
      </c>
      <c r="J574">
        <v>0</v>
      </c>
      <c r="K574">
        <v>20146.84</v>
      </c>
    </row>
    <row r="575" spans="1:11" x14ac:dyDescent="0.35">
      <c r="A575">
        <v>7000000483</v>
      </c>
      <c r="B575">
        <v>9400010593</v>
      </c>
      <c r="C575" s="10">
        <v>46172</v>
      </c>
      <c r="D575" t="s">
        <v>2032</v>
      </c>
      <c r="E575" s="11">
        <v>1236564</v>
      </c>
      <c r="F575" t="s">
        <v>543</v>
      </c>
      <c r="G575" t="s">
        <v>544</v>
      </c>
      <c r="H575" s="10">
        <v>46217</v>
      </c>
      <c r="I575">
        <v>37058.839999999997</v>
      </c>
      <c r="J575">
        <v>0</v>
      </c>
      <c r="K575">
        <v>37058.839999999997</v>
      </c>
    </row>
    <row r="576" spans="1:11" x14ac:dyDescent="0.35">
      <c r="A576">
        <v>9300000525</v>
      </c>
      <c r="B576">
        <v>9400010592</v>
      </c>
      <c r="C576" s="10">
        <v>46172</v>
      </c>
      <c r="D576" t="s">
        <v>2032</v>
      </c>
      <c r="E576" s="11">
        <v>18853486</v>
      </c>
      <c r="F576" t="s">
        <v>435</v>
      </c>
      <c r="G576" t="s">
        <v>436</v>
      </c>
      <c r="H576" s="10">
        <v>46186</v>
      </c>
      <c r="I576">
        <v>16992</v>
      </c>
      <c r="J576">
        <v>0</v>
      </c>
      <c r="K576">
        <v>16992</v>
      </c>
    </row>
    <row r="577" spans="1:11" x14ac:dyDescent="0.35">
      <c r="A577">
        <v>2000000186</v>
      </c>
      <c r="B577">
        <v>9400010589</v>
      </c>
      <c r="C577" s="10">
        <v>46172</v>
      </c>
      <c r="D577" t="s">
        <v>2032</v>
      </c>
      <c r="E577" s="11">
        <v>18853125</v>
      </c>
      <c r="F577" t="s">
        <v>847</v>
      </c>
      <c r="G577" t="s">
        <v>848</v>
      </c>
      <c r="H577" s="10">
        <v>46217</v>
      </c>
      <c r="I577">
        <v>30840.48</v>
      </c>
      <c r="J577">
        <v>0</v>
      </c>
      <c r="K577">
        <v>30840.48</v>
      </c>
    </row>
    <row r="578" spans="1:11" x14ac:dyDescent="0.35">
      <c r="A578">
        <v>2720000346</v>
      </c>
      <c r="B578">
        <v>9400010588</v>
      </c>
      <c r="C578" s="10">
        <v>46172</v>
      </c>
      <c r="D578" t="s">
        <v>2032</v>
      </c>
      <c r="E578" s="11">
        <v>18821011</v>
      </c>
      <c r="F578" t="s">
        <v>154</v>
      </c>
      <c r="G578" t="s">
        <v>155</v>
      </c>
      <c r="H578" s="10">
        <v>46217</v>
      </c>
      <c r="I578">
        <v>8552.7800000000007</v>
      </c>
      <c r="J578">
        <v>0</v>
      </c>
      <c r="K578">
        <v>8552.7800000000007</v>
      </c>
    </row>
    <row r="579" spans="1:11" x14ac:dyDescent="0.35">
      <c r="A579">
        <v>5100000639</v>
      </c>
      <c r="B579">
        <v>9400010587</v>
      </c>
      <c r="C579" s="10">
        <v>46172</v>
      </c>
      <c r="D579" t="s">
        <v>2032</v>
      </c>
      <c r="E579" s="11">
        <v>18855465</v>
      </c>
      <c r="F579" t="s">
        <v>337</v>
      </c>
      <c r="G579" t="s">
        <v>338</v>
      </c>
      <c r="H579" s="10">
        <v>46217</v>
      </c>
      <c r="I579">
        <v>12196.72</v>
      </c>
      <c r="J579">
        <v>0</v>
      </c>
      <c r="K579">
        <v>12196.72</v>
      </c>
    </row>
    <row r="580" spans="1:11" x14ac:dyDescent="0.35">
      <c r="A580">
        <v>9100000921</v>
      </c>
      <c r="B580">
        <v>9400010583</v>
      </c>
      <c r="C580" s="10">
        <v>46172</v>
      </c>
      <c r="D580" t="s">
        <v>2032</v>
      </c>
      <c r="E580" s="11">
        <v>18875956</v>
      </c>
      <c r="F580" t="s">
        <v>501</v>
      </c>
      <c r="G580" t="s">
        <v>502</v>
      </c>
      <c r="H580" s="10">
        <v>46217</v>
      </c>
      <c r="I580">
        <v>89817.17</v>
      </c>
      <c r="J580">
        <v>0</v>
      </c>
      <c r="K580">
        <v>89817.17</v>
      </c>
    </row>
    <row r="581" spans="1:11" x14ac:dyDescent="0.35">
      <c r="A581">
        <v>8000000572</v>
      </c>
      <c r="B581">
        <v>9400010582</v>
      </c>
      <c r="C581" s="10">
        <v>46172</v>
      </c>
      <c r="D581" t="s">
        <v>2032</v>
      </c>
      <c r="E581" s="11">
        <v>18876140</v>
      </c>
      <c r="F581" t="s">
        <v>747</v>
      </c>
      <c r="G581" t="s">
        <v>748</v>
      </c>
      <c r="H581" s="10">
        <v>46217</v>
      </c>
      <c r="I581">
        <v>20560.32</v>
      </c>
      <c r="J581">
        <v>0</v>
      </c>
      <c r="K581">
        <v>20560.32</v>
      </c>
    </row>
    <row r="582" spans="1:11" x14ac:dyDescent="0.35">
      <c r="A582">
        <v>9200000652</v>
      </c>
      <c r="B582">
        <v>9400010581</v>
      </c>
      <c r="C582" s="10">
        <v>46172</v>
      </c>
      <c r="D582" t="s">
        <v>2032</v>
      </c>
      <c r="E582" s="11">
        <v>18865743</v>
      </c>
      <c r="F582" t="s">
        <v>449</v>
      </c>
      <c r="G582" t="s">
        <v>450</v>
      </c>
      <c r="H582" s="10">
        <v>46186</v>
      </c>
      <c r="I582">
        <v>257712</v>
      </c>
      <c r="J582">
        <v>0</v>
      </c>
      <c r="K582">
        <v>257712</v>
      </c>
    </row>
    <row r="583" spans="1:11" x14ac:dyDescent="0.35">
      <c r="A583">
        <v>9200000651</v>
      </c>
      <c r="B583">
        <v>9400010580</v>
      </c>
      <c r="C583" s="10">
        <v>46172</v>
      </c>
      <c r="D583" t="s">
        <v>2032</v>
      </c>
      <c r="E583" s="11">
        <v>18855348</v>
      </c>
      <c r="F583" t="s">
        <v>449</v>
      </c>
      <c r="G583" t="s">
        <v>450</v>
      </c>
      <c r="H583" s="10">
        <v>46217</v>
      </c>
      <c r="I583">
        <v>56670.96</v>
      </c>
      <c r="J583">
        <v>0</v>
      </c>
      <c r="K583">
        <v>56670.96</v>
      </c>
    </row>
    <row r="584" spans="1:11" x14ac:dyDescent="0.35">
      <c r="A584">
        <v>2000000185</v>
      </c>
      <c r="B584">
        <v>9400010578</v>
      </c>
      <c r="C584" s="10">
        <v>46172</v>
      </c>
      <c r="D584" t="s">
        <v>2032</v>
      </c>
      <c r="E584" s="11">
        <v>18853011</v>
      </c>
      <c r="F584" t="s">
        <v>857</v>
      </c>
      <c r="G584" t="s">
        <v>858</v>
      </c>
      <c r="H584" s="10">
        <v>46217</v>
      </c>
      <c r="I584">
        <v>51400.800000000003</v>
      </c>
      <c r="J584">
        <v>0</v>
      </c>
      <c r="K584">
        <v>51400.800000000003</v>
      </c>
    </row>
    <row r="585" spans="1:11" x14ac:dyDescent="0.35">
      <c r="A585">
        <v>8000000571</v>
      </c>
      <c r="B585">
        <v>9400010577</v>
      </c>
      <c r="C585" s="10">
        <v>46172</v>
      </c>
      <c r="D585" t="s">
        <v>2032</v>
      </c>
      <c r="E585" s="11">
        <v>18876140</v>
      </c>
      <c r="F585" t="s">
        <v>747</v>
      </c>
      <c r="G585" t="s">
        <v>748</v>
      </c>
      <c r="H585" s="10">
        <v>46186</v>
      </c>
      <c r="I585">
        <v>143818.4</v>
      </c>
      <c r="J585">
        <v>0</v>
      </c>
      <c r="K585">
        <v>143818.4</v>
      </c>
    </row>
    <row r="586" spans="1:11" x14ac:dyDescent="0.35">
      <c r="A586">
        <v>2300000457</v>
      </c>
      <c r="B586">
        <v>9400010575</v>
      </c>
      <c r="C586" s="10">
        <v>46172</v>
      </c>
      <c r="D586" t="s">
        <v>2032</v>
      </c>
      <c r="E586" s="11">
        <v>18875858</v>
      </c>
      <c r="F586" t="s">
        <v>659</v>
      </c>
      <c r="G586" t="s">
        <v>660</v>
      </c>
      <c r="H586" s="10">
        <v>46217</v>
      </c>
      <c r="I586">
        <v>33932.46</v>
      </c>
      <c r="J586">
        <v>0</v>
      </c>
      <c r="K586">
        <v>33932.46</v>
      </c>
    </row>
    <row r="587" spans="1:11" x14ac:dyDescent="0.35">
      <c r="A587">
        <v>2720000345</v>
      </c>
      <c r="B587">
        <v>9400010574</v>
      </c>
      <c r="C587" s="10">
        <v>46172</v>
      </c>
      <c r="D587" t="s">
        <v>2032</v>
      </c>
      <c r="E587" s="11">
        <v>18875821</v>
      </c>
      <c r="F587" t="s">
        <v>154</v>
      </c>
      <c r="G587" t="s">
        <v>155</v>
      </c>
      <c r="H587" s="10">
        <v>46217</v>
      </c>
      <c r="I587">
        <v>198405.2</v>
      </c>
      <c r="J587">
        <v>0</v>
      </c>
      <c r="K587">
        <v>198405.2</v>
      </c>
    </row>
    <row r="588" spans="1:11" x14ac:dyDescent="0.35">
      <c r="A588">
        <v>9100000920</v>
      </c>
      <c r="B588">
        <v>9400010573</v>
      </c>
      <c r="C588" s="10">
        <v>46172</v>
      </c>
      <c r="D588" t="s">
        <v>2032</v>
      </c>
      <c r="E588" s="11">
        <v>18875956</v>
      </c>
      <c r="F588" t="s">
        <v>501</v>
      </c>
      <c r="G588" t="s">
        <v>502</v>
      </c>
      <c r="H588" s="10">
        <v>46186</v>
      </c>
      <c r="I588">
        <v>136056.35999999999</v>
      </c>
      <c r="J588">
        <v>0</v>
      </c>
      <c r="K588">
        <v>136056.35999999999</v>
      </c>
    </row>
    <row r="589" spans="1:11" x14ac:dyDescent="0.35">
      <c r="A589">
        <v>5100000638</v>
      </c>
      <c r="B589">
        <v>9400010569</v>
      </c>
      <c r="C589" s="10">
        <v>46172</v>
      </c>
      <c r="D589" t="s">
        <v>2032</v>
      </c>
      <c r="E589" s="11">
        <v>18855465</v>
      </c>
      <c r="F589" t="s">
        <v>337</v>
      </c>
      <c r="G589" t="s">
        <v>338</v>
      </c>
      <c r="H589" s="10">
        <v>46186</v>
      </c>
      <c r="I589">
        <v>235056</v>
      </c>
      <c r="J589">
        <v>0</v>
      </c>
      <c r="K589">
        <v>235056</v>
      </c>
    </row>
    <row r="590" spans="1:11" x14ac:dyDescent="0.35">
      <c r="A590">
        <v>9100000919</v>
      </c>
      <c r="B590">
        <v>9400010568</v>
      </c>
      <c r="C590" s="10">
        <v>46172</v>
      </c>
      <c r="D590" t="s">
        <v>2032</v>
      </c>
      <c r="E590" s="11">
        <v>18855022</v>
      </c>
      <c r="F590" t="s">
        <v>186</v>
      </c>
      <c r="G590" t="s">
        <v>187</v>
      </c>
      <c r="H590" s="10">
        <v>46217</v>
      </c>
      <c r="I590">
        <v>234404.64</v>
      </c>
      <c r="J590">
        <v>0</v>
      </c>
      <c r="K590">
        <v>234404.64</v>
      </c>
    </row>
    <row r="591" spans="1:11" x14ac:dyDescent="0.35">
      <c r="A591">
        <v>2720000344</v>
      </c>
      <c r="B591">
        <v>9400010567</v>
      </c>
      <c r="C591" s="10">
        <v>46172</v>
      </c>
      <c r="D591" t="s">
        <v>2032</v>
      </c>
      <c r="E591" s="11">
        <v>18875821</v>
      </c>
      <c r="F591" t="s">
        <v>154</v>
      </c>
      <c r="G591" t="s">
        <v>155</v>
      </c>
      <c r="H591" s="10">
        <v>46186</v>
      </c>
      <c r="I591">
        <v>65985.600000000006</v>
      </c>
      <c r="J591">
        <v>0</v>
      </c>
      <c r="K591">
        <v>65985.600000000006</v>
      </c>
    </row>
    <row r="592" spans="1:11" x14ac:dyDescent="0.35">
      <c r="A592">
        <v>7000000482</v>
      </c>
      <c r="B592">
        <v>9400010565</v>
      </c>
      <c r="C592" s="10">
        <v>46172</v>
      </c>
      <c r="D592" t="s">
        <v>2032</v>
      </c>
      <c r="E592" s="11">
        <v>18854044</v>
      </c>
      <c r="F592" t="s">
        <v>351</v>
      </c>
      <c r="G592" t="s">
        <v>352</v>
      </c>
      <c r="H592" s="10">
        <v>46172</v>
      </c>
      <c r="I592">
        <v>13626.8</v>
      </c>
      <c r="J592">
        <v>13531.75</v>
      </c>
      <c r="K592">
        <v>95.049999999999272</v>
      </c>
    </row>
    <row r="593" spans="1:11" x14ac:dyDescent="0.35">
      <c r="A593">
        <v>2300000456</v>
      </c>
      <c r="B593">
        <v>9400010564</v>
      </c>
      <c r="C593" s="10">
        <v>46172</v>
      </c>
      <c r="D593" t="s">
        <v>2032</v>
      </c>
      <c r="E593" s="11">
        <v>18865650</v>
      </c>
      <c r="F593" t="s">
        <v>461</v>
      </c>
      <c r="G593" t="s">
        <v>462</v>
      </c>
      <c r="H593" s="10">
        <v>46217</v>
      </c>
      <c r="I593">
        <v>88537.54</v>
      </c>
      <c r="J593">
        <v>0</v>
      </c>
      <c r="K593">
        <v>88537.54</v>
      </c>
    </row>
    <row r="594" spans="1:11" x14ac:dyDescent="0.35">
      <c r="A594">
        <v>5200000311</v>
      </c>
      <c r="B594">
        <v>9400010561</v>
      </c>
      <c r="C594" s="10">
        <v>46172</v>
      </c>
      <c r="D594" t="s">
        <v>2032</v>
      </c>
      <c r="E594" s="11">
        <v>18820154</v>
      </c>
      <c r="F594" t="s">
        <v>1183</v>
      </c>
      <c r="G594" t="s">
        <v>1184</v>
      </c>
      <c r="H594" s="10">
        <v>46172</v>
      </c>
      <c r="I594">
        <v>231734.46</v>
      </c>
      <c r="J594">
        <v>231731.64</v>
      </c>
      <c r="K594">
        <v>2.8199999999778811</v>
      </c>
    </row>
    <row r="595" spans="1:11" x14ac:dyDescent="0.35">
      <c r="A595">
        <v>3000000823</v>
      </c>
      <c r="B595">
        <v>9400010559</v>
      </c>
      <c r="C595" s="10">
        <v>46172</v>
      </c>
      <c r="D595" t="s">
        <v>2032</v>
      </c>
      <c r="E595" s="11">
        <v>18855119</v>
      </c>
      <c r="F595" t="s">
        <v>581</v>
      </c>
      <c r="G595" t="s">
        <v>582</v>
      </c>
      <c r="H595" s="10">
        <v>46217</v>
      </c>
      <c r="I595">
        <v>15258.82</v>
      </c>
      <c r="J595">
        <v>0</v>
      </c>
      <c r="K595">
        <v>15258.82</v>
      </c>
    </row>
    <row r="596" spans="1:11" x14ac:dyDescent="0.35">
      <c r="A596">
        <v>2300000455</v>
      </c>
      <c r="B596">
        <v>9400010558</v>
      </c>
      <c r="C596" s="10">
        <v>46172</v>
      </c>
      <c r="D596" t="s">
        <v>2032</v>
      </c>
      <c r="E596" s="11">
        <v>18865582</v>
      </c>
      <c r="F596" t="s">
        <v>697</v>
      </c>
      <c r="G596" t="s">
        <v>698</v>
      </c>
      <c r="H596" s="10">
        <v>46186</v>
      </c>
      <c r="I596">
        <v>111007.32</v>
      </c>
      <c r="J596">
        <v>0</v>
      </c>
      <c r="K596">
        <v>111007.32</v>
      </c>
    </row>
    <row r="597" spans="1:11" x14ac:dyDescent="0.35">
      <c r="A597">
        <v>3000000822</v>
      </c>
      <c r="B597">
        <v>9400010557</v>
      </c>
      <c r="C597" s="10">
        <v>46172</v>
      </c>
      <c r="D597" t="s">
        <v>2032</v>
      </c>
      <c r="E597" s="11">
        <v>18865598</v>
      </c>
      <c r="F597" t="s">
        <v>3581</v>
      </c>
      <c r="G597" t="s">
        <v>3582</v>
      </c>
      <c r="H597" s="10">
        <v>46172</v>
      </c>
      <c r="I597">
        <v>30982.62</v>
      </c>
      <c r="J597">
        <v>30065.17</v>
      </c>
      <c r="K597">
        <v>917.45000000000073</v>
      </c>
    </row>
    <row r="598" spans="1:11" x14ac:dyDescent="0.35">
      <c r="A598">
        <v>9300000524</v>
      </c>
      <c r="B598">
        <v>9400010556</v>
      </c>
      <c r="C598" s="10">
        <v>46172</v>
      </c>
      <c r="D598" t="s">
        <v>2032</v>
      </c>
      <c r="E598" s="11">
        <v>18854806</v>
      </c>
      <c r="F598" t="s">
        <v>975</v>
      </c>
      <c r="G598" t="s">
        <v>976</v>
      </c>
      <c r="H598" s="10">
        <v>46217</v>
      </c>
      <c r="I598">
        <v>24773.18</v>
      </c>
      <c r="J598">
        <v>0</v>
      </c>
      <c r="K598">
        <v>24773.18</v>
      </c>
    </row>
    <row r="599" spans="1:11" x14ac:dyDescent="0.35">
      <c r="A599">
        <v>2720000343</v>
      </c>
      <c r="B599">
        <v>9400010554</v>
      </c>
      <c r="C599" s="10">
        <v>46172</v>
      </c>
      <c r="D599" t="s">
        <v>2032</v>
      </c>
      <c r="E599" s="11">
        <v>18865797</v>
      </c>
      <c r="F599" t="s">
        <v>941</v>
      </c>
      <c r="G599" t="s">
        <v>942</v>
      </c>
      <c r="H599" s="10">
        <v>46217</v>
      </c>
      <c r="I599">
        <v>4859.72</v>
      </c>
      <c r="J599">
        <v>0</v>
      </c>
      <c r="K599">
        <v>4859.72</v>
      </c>
    </row>
    <row r="600" spans="1:11" x14ac:dyDescent="0.35">
      <c r="A600">
        <v>3000000821</v>
      </c>
      <c r="B600">
        <v>9400010553</v>
      </c>
      <c r="C600" s="10">
        <v>46172</v>
      </c>
      <c r="D600" t="s">
        <v>2032</v>
      </c>
      <c r="E600" s="11">
        <v>18855119</v>
      </c>
      <c r="F600" t="s">
        <v>581</v>
      </c>
      <c r="G600" t="s">
        <v>582</v>
      </c>
      <c r="H600" s="10">
        <v>46187</v>
      </c>
      <c r="I600">
        <v>32150.28</v>
      </c>
      <c r="J600">
        <v>0</v>
      </c>
      <c r="K600">
        <v>32150.28</v>
      </c>
    </row>
    <row r="601" spans="1:11" x14ac:dyDescent="0.35">
      <c r="A601">
        <v>2300000454</v>
      </c>
      <c r="B601">
        <v>9400010546</v>
      </c>
      <c r="C601" s="10">
        <v>46172</v>
      </c>
      <c r="D601" t="s">
        <v>2032</v>
      </c>
      <c r="E601" s="11">
        <v>18855550</v>
      </c>
      <c r="F601" t="s">
        <v>3583</v>
      </c>
      <c r="G601" t="s">
        <v>3584</v>
      </c>
      <c r="H601" s="10">
        <v>46217</v>
      </c>
      <c r="I601">
        <v>253533.04</v>
      </c>
      <c r="J601">
        <v>0</v>
      </c>
      <c r="K601">
        <v>253533.04</v>
      </c>
    </row>
    <row r="602" spans="1:11" x14ac:dyDescent="0.35">
      <c r="A602">
        <v>9200000650</v>
      </c>
      <c r="B602">
        <v>9400010543</v>
      </c>
      <c r="C602" s="10">
        <v>46172</v>
      </c>
      <c r="D602" t="s">
        <v>2032</v>
      </c>
      <c r="E602" s="11">
        <v>18865761</v>
      </c>
      <c r="F602" t="s">
        <v>98</v>
      </c>
      <c r="G602" t="s">
        <v>99</v>
      </c>
      <c r="H602" s="10">
        <v>46186</v>
      </c>
      <c r="I602">
        <v>36580</v>
      </c>
      <c r="J602">
        <v>0</v>
      </c>
      <c r="K602">
        <v>36580</v>
      </c>
    </row>
    <row r="603" spans="1:11" x14ac:dyDescent="0.35">
      <c r="A603">
        <v>2730000484</v>
      </c>
      <c r="B603">
        <v>9400010542</v>
      </c>
      <c r="C603" s="10">
        <v>46172</v>
      </c>
      <c r="D603" t="s">
        <v>2032</v>
      </c>
      <c r="E603" s="11">
        <v>18855297</v>
      </c>
      <c r="F603" t="s">
        <v>3585</v>
      </c>
      <c r="G603" t="s">
        <v>3586</v>
      </c>
      <c r="H603" s="10">
        <v>46186</v>
      </c>
      <c r="I603">
        <v>148382.64000000001</v>
      </c>
      <c r="J603">
        <v>0</v>
      </c>
      <c r="K603">
        <v>148382.64000000001</v>
      </c>
    </row>
    <row r="604" spans="1:11" x14ac:dyDescent="0.35">
      <c r="A604">
        <v>9300000523</v>
      </c>
      <c r="B604">
        <v>9400010541</v>
      </c>
      <c r="C604" s="10">
        <v>46172</v>
      </c>
      <c r="D604" t="s">
        <v>2032</v>
      </c>
      <c r="E604" s="11">
        <v>18854806</v>
      </c>
      <c r="F604" t="s">
        <v>975</v>
      </c>
      <c r="G604" t="s">
        <v>976</v>
      </c>
      <c r="H604" s="10">
        <v>46186</v>
      </c>
      <c r="I604">
        <v>118417.24</v>
      </c>
      <c r="J604">
        <v>0</v>
      </c>
      <c r="K604">
        <v>118417.24</v>
      </c>
    </row>
    <row r="605" spans="1:11" x14ac:dyDescent="0.35">
      <c r="A605">
        <v>2300000452</v>
      </c>
      <c r="B605">
        <v>9400010539</v>
      </c>
      <c r="C605" s="10">
        <v>46172</v>
      </c>
      <c r="D605" t="s">
        <v>2032</v>
      </c>
      <c r="E605" s="11">
        <v>18855501</v>
      </c>
      <c r="F605" t="s">
        <v>25</v>
      </c>
      <c r="G605" t="s">
        <v>26</v>
      </c>
      <c r="H605" s="10">
        <v>46186</v>
      </c>
      <c r="I605">
        <v>63849.88</v>
      </c>
      <c r="J605">
        <v>0</v>
      </c>
      <c r="K605">
        <v>63849.88</v>
      </c>
    </row>
    <row r="606" spans="1:11" x14ac:dyDescent="0.35">
      <c r="A606">
        <v>9100000918</v>
      </c>
      <c r="B606">
        <v>9400010538</v>
      </c>
      <c r="C606" s="10">
        <v>46172</v>
      </c>
      <c r="D606" t="s">
        <v>2032</v>
      </c>
      <c r="E606" s="11">
        <v>18855318</v>
      </c>
      <c r="F606" t="s">
        <v>186</v>
      </c>
      <c r="G606" t="s">
        <v>187</v>
      </c>
      <c r="H606" s="10">
        <v>46217</v>
      </c>
      <c r="I606">
        <v>49465.06</v>
      </c>
      <c r="J606">
        <v>0</v>
      </c>
      <c r="K606">
        <v>49465.06</v>
      </c>
    </row>
    <row r="607" spans="1:11" x14ac:dyDescent="0.35">
      <c r="A607">
        <v>3000000820</v>
      </c>
      <c r="B607">
        <v>9400010537</v>
      </c>
      <c r="C607" s="10">
        <v>46172</v>
      </c>
      <c r="D607" t="s">
        <v>2032</v>
      </c>
      <c r="E607" s="11">
        <v>18854706</v>
      </c>
      <c r="F607" t="s">
        <v>3112</v>
      </c>
      <c r="G607" t="s">
        <v>3113</v>
      </c>
      <c r="H607" s="10">
        <v>46187</v>
      </c>
      <c r="I607">
        <v>117054.64</v>
      </c>
      <c r="J607">
        <v>0</v>
      </c>
      <c r="K607">
        <v>117054.64</v>
      </c>
    </row>
    <row r="608" spans="1:11" x14ac:dyDescent="0.35">
      <c r="A608">
        <v>9300000522</v>
      </c>
      <c r="B608">
        <v>9400010536</v>
      </c>
      <c r="C608" s="10">
        <v>46172</v>
      </c>
      <c r="D608" t="s">
        <v>2032</v>
      </c>
      <c r="E608" s="11">
        <v>18853486</v>
      </c>
      <c r="F608" t="s">
        <v>435</v>
      </c>
      <c r="G608" t="s">
        <v>436</v>
      </c>
      <c r="H608" s="10">
        <v>46186</v>
      </c>
      <c r="I608">
        <v>50976</v>
      </c>
      <c r="J608">
        <v>0</v>
      </c>
      <c r="K608">
        <v>50976</v>
      </c>
    </row>
    <row r="609" spans="1:11" x14ac:dyDescent="0.35">
      <c r="A609">
        <v>2720000342</v>
      </c>
      <c r="B609">
        <v>9400010534</v>
      </c>
      <c r="C609" s="10">
        <v>46172</v>
      </c>
      <c r="D609" t="s">
        <v>2032</v>
      </c>
      <c r="E609" s="11">
        <v>18865797</v>
      </c>
      <c r="F609" t="s">
        <v>941</v>
      </c>
      <c r="G609" t="s">
        <v>942</v>
      </c>
      <c r="H609" s="10">
        <v>46186</v>
      </c>
      <c r="I609">
        <v>158946.48000000001</v>
      </c>
      <c r="J609">
        <v>0</v>
      </c>
      <c r="K609">
        <v>158946.48000000001</v>
      </c>
    </row>
    <row r="610" spans="1:11" x14ac:dyDescent="0.35">
      <c r="A610">
        <v>5200000310</v>
      </c>
      <c r="B610">
        <v>9400010532</v>
      </c>
      <c r="C610" s="10">
        <v>46172</v>
      </c>
      <c r="D610" t="s">
        <v>2032</v>
      </c>
      <c r="E610" s="11">
        <v>18865602</v>
      </c>
      <c r="F610" t="s">
        <v>3561</v>
      </c>
      <c r="G610" t="s">
        <v>3562</v>
      </c>
      <c r="H610" s="10">
        <v>46172</v>
      </c>
      <c r="I610">
        <v>65514.78</v>
      </c>
      <c r="J610">
        <v>62972.03</v>
      </c>
      <c r="K610">
        <v>2542.75</v>
      </c>
    </row>
    <row r="611" spans="1:11" x14ac:dyDescent="0.35">
      <c r="A611">
        <v>8000000569</v>
      </c>
      <c r="B611">
        <v>9400010531</v>
      </c>
      <c r="C611" s="10">
        <v>46172</v>
      </c>
      <c r="D611" t="s">
        <v>2032</v>
      </c>
      <c r="E611" s="11">
        <v>18854768</v>
      </c>
      <c r="F611" t="s">
        <v>405</v>
      </c>
      <c r="G611" t="s">
        <v>406</v>
      </c>
      <c r="H611" s="10">
        <v>46186</v>
      </c>
      <c r="I611">
        <v>98836.800000000003</v>
      </c>
      <c r="J611">
        <v>0</v>
      </c>
      <c r="K611">
        <v>98836.800000000003</v>
      </c>
    </row>
    <row r="612" spans="1:11" x14ac:dyDescent="0.35">
      <c r="A612">
        <v>2300000451</v>
      </c>
      <c r="B612">
        <v>9400010530</v>
      </c>
      <c r="C612" s="10">
        <v>46172</v>
      </c>
      <c r="D612" t="s">
        <v>2032</v>
      </c>
      <c r="E612" s="11">
        <v>18854742</v>
      </c>
      <c r="F612" t="s">
        <v>25</v>
      </c>
      <c r="G612" t="s">
        <v>26</v>
      </c>
      <c r="H612" s="10">
        <v>46186</v>
      </c>
      <c r="I612">
        <v>451831.44</v>
      </c>
      <c r="J612">
        <v>0</v>
      </c>
      <c r="K612">
        <v>451831.44</v>
      </c>
    </row>
    <row r="613" spans="1:11" x14ac:dyDescent="0.35">
      <c r="A613">
        <v>3000000819</v>
      </c>
      <c r="B613">
        <v>9400010527</v>
      </c>
      <c r="C613" s="10">
        <v>46172</v>
      </c>
      <c r="D613" t="s">
        <v>2032</v>
      </c>
      <c r="E613" s="11">
        <v>18865789</v>
      </c>
      <c r="F613" t="s">
        <v>1025</v>
      </c>
      <c r="G613" t="s">
        <v>1026</v>
      </c>
      <c r="H613" s="10">
        <v>46217</v>
      </c>
      <c r="I613">
        <v>26591.77</v>
      </c>
      <c r="J613">
        <v>0</v>
      </c>
      <c r="K613">
        <v>26591.77</v>
      </c>
    </row>
    <row r="614" spans="1:11" x14ac:dyDescent="0.35">
      <c r="A614">
        <v>2720000341</v>
      </c>
      <c r="B614">
        <v>9400010524</v>
      </c>
      <c r="C614" s="10">
        <v>46172</v>
      </c>
      <c r="D614" t="s">
        <v>2032</v>
      </c>
      <c r="E614" s="11">
        <v>18855478</v>
      </c>
      <c r="F614" t="s">
        <v>1169</v>
      </c>
      <c r="G614" t="s">
        <v>1170</v>
      </c>
      <c r="H614" s="10">
        <v>46217</v>
      </c>
      <c r="I614">
        <v>21681.8</v>
      </c>
      <c r="J614">
        <v>0</v>
      </c>
      <c r="K614">
        <v>21681.8</v>
      </c>
    </row>
    <row r="615" spans="1:11" x14ac:dyDescent="0.35">
      <c r="A615">
        <v>9100000917</v>
      </c>
      <c r="B615">
        <v>9400010523</v>
      </c>
      <c r="C615" s="10">
        <v>46172</v>
      </c>
      <c r="D615" t="s">
        <v>2032</v>
      </c>
      <c r="E615" s="11">
        <v>18855413</v>
      </c>
      <c r="F615" t="s">
        <v>469</v>
      </c>
      <c r="G615" t="s">
        <v>470</v>
      </c>
      <c r="H615" s="10">
        <v>46186</v>
      </c>
      <c r="I615">
        <v>429710.68</v>
      </c>
      <c r="J615">
        <v>0</v>
      </c>
      <c r="K615">
        <v>429710.68</v>
      </c>
    </row>
    <row r="616" spans="1:11" x14ac:dyDescent="0.35">
      <c r="A616">
        <v>5100000637</v>
      </c>
      <c r="B616">
        <v>9400010522</v>
      </c>
      <c r="C616" s="10">
        <v>46172</v>
      </c>
      <c r="D616" t="s">
        <v>2032</v>
      </c>
      <c r="E616" s="11">
        <v>18854098</v>
      </c>
      <c r="F616" t="s">
        <v>587</v>
      </c>
      <c r="G616" t="s">
        <v>588</v>
      </c>
      <c r="H616" s="10">
        <v>46217</v>
      </c>
      <c r="I616">
        <v>10375.74</v>
      </c>
      <c r="J616">
        <v>0</v>
      </c>
      <c r="K616">
        <v>10375.74</v>
      </c>
    </row>
    <row r="617" spans="1:11" x14ac:dyDescent="0.35">
      <c r="A617">
        <v>3000000818</v>
      </c>
      <c r="B617">
        <v>9400010521</v>
      </c>
      <c r="C617" s="10">
        <v>46172</v>
      </c>
      <c r="D617" t="s">
        <v>2032</v>
      </c>
      <c r="E617" s="11">
        <v>18854469</v>
      </c>
      <c r="F617" t="s">
        <v>343</v>
      </c>
      <c r="G617" t="s">
        <v>344</v>
      </c>
      <c r="H617" s="10">
        <v>46187</v>
      </c>
      <c r="I617">
        <v>161774.07999999999</v>
      </c>
      <c r="J617">
        <v>0</v>
      </c>
      <c r="K617">
        <v>161774.07999999999</v>
      </c>
    </row>
    <row r="618" spans="1:11" x14ac:dyDescent="0.35">
      <c r="A618">
        <v>5200000309</v>
      </c>
      <c r="B618">
        <v>9400010516</v>
      </c>
      <c r="C618" s="10">
        <v>46172</v>
      </c>
      <c r="D618" t="s">
        <v>2032</v>
      </c>
      <c r="E618" s="11">
        <v>18854895</v>
      </c>
      <c r="F618" t="s">
        <v>919</v>
      </c>
      <c r="G618" t="s">
        <v>920</v>
      </c>
      <c r="H618" s="10">
        <v>46186</v>
      </c>
      <c r="I618">
        <v>112048.08</v>
      </c>
      <c r="J618">
        <v>0</v>
      </c>
      <c r="K618">
        <v>112048.08</v>
      </c>
    </row>
    <row r="619" spans="1:11" x14ac:dyDescent="0.35">
      <c r="A619">
        <v>2720000340</v>
      </c>
      <c r="B619">
        <v>9400010512</v>
      </c>
      <c r="C619" s="10">
        <v>46172</v>
      </c>
      <c r="D619" t="s">
        <v>2032</v>
      </c>
      <c r="E619" s="11">
        <v>18786371</v>
      </c>
      <c r="F619" t="s">
        <v>547</v>
      </c>
      <c r="G619" t="s">
        <v>548</v>
      </c>
      <c r="H619" s="10">
        <v>46217</v>
      </c>
      <c r="I619">
        <v>22374.22</v>
      </c>
      <c r="J619">
        <v>0</v>
      </c>
      <c r="K619">
        <v>22374.22</v>
      </c>
    </row>
    <row r="620" spans="1:11" x14ac:dyDescent="0.35">
      <c r="A620">
        <v>3000000817</v>
      </c>
      <c r="B620">
        <v>9400010509</v>
      </c>
      <c r="C620" s="10">
        <v>46172</v>
      </c>
      <c r="D620" t="s">
        <v>2032</v>
      </c>
      <c r="E620" s="11">
        <v>18865789</v>
      </c>
      <c r="F620" t="s">
        <v>1025</v>
      </c>
      <c r="G620" t="s">
        <v>1026</v>
      </c>
      <c r="H620" s="10">
        <v>46186</v>
      </c>
      <c r="I620">
        <v>447093.74</v>
      </c>
      <c r="J620">
        <v>0</v>
      </c>
      <c r="K620">
        <v>447093.74</v>
      </c>
    </row>
    <row r="621" spans="1:11" x14ac:dyDescent="0.35">
      <c r="A621">
        <v>5100000636</v>
      </c>
      <c r="B621">
        <v>9400010507</v>
      </c>
      <c r="C621" s="10">
        <v>46172</v>
      </c>
      <c r="D621" t="s">
        <v>2032</v>
      </c>
      <c r="E621" s="11">
        <v>18854098</v>
      </c>
      <c r="F621" t="s">
        <v>587</v>
      </c>
      <c r="G621" t="s">
        <v>588</v>
      </c>
      <c r="H621" s="10">
        <v>46186</v>
      </c>
      <c r="I621">
        <v>115264.52</v>
      </c>
      <c r="J621">
        <v>0</v>
      </c>
      <c r="K621">
        <v>115264.52</v>
      </c>
    </row>
    <row r="622" spans="1:11" x14ac:dyDescent="0.35">
      <c r="A622">
        <v>7000000479</v>
      </c>
      <c r="B622">
        <v>9400010504</v>
      </c>
      <c r="C622" s="10">
        <v>46172</v>
      </c>
      <c r="D622" t="s">
        <v>2032</v>
      </c>
      <c r="E622" s="11">
        <v>0.18853364</v>
      </c>
      <c r="F622" t="s">
        <v>3514</v>
      </c>
      <c r="G622" t="s">
        <v>3515</v>
      </c>
      <c r="H622" s="10">
        <v>46217</v>
      </c>
      <c r="I622">
        <v>79919.16</v>
      </c>
      <c r="J622">
        <v>0</v>
      </c>
      <c r="K622">
        <v>79919.16</v>
      </c>
    </row>
    <row r="623" spans="1:11" x14ac:dyDescent="0.35">
      <c r="A623">
        <v>2730000483</v>
      </c>
      <c r="B623">
        <v>9400010503</v>
      </c>
      <c r="C623" s="10">
        <v>46172</v>
      </c>
      <c r="D623" t="s">
        <v>2032</v>
      </c>
      <c r="E623" s="11">
        <v>18854593</v>
      </c>
      <c r="F623" t="s">
        <v>681</v>
      </c>
      <c r="G623" t="s">
        <v>682</v>
      </c>
      <c r="H623" s="10">
        <v>46217</v>
      </c>
      <c r="I623">
        <v>90271.18</v>
      </c>
      <c r="J623">
        <v>0</v>
      </c>
      <c r="K623">
        <v>90271.18</v>
      </c>
    </row>
    <row r="624" spans="1:11" x14ac:dyDescent="0.35">
      <c r="A624">
        <v>5300000097</v>
      </c>
      <c r="B624">
        <v>9400010502</v>
      </c>
      <c r="C624" s="10">
        <v>46172</v>
      </c>
      <c r="D624" t="s">
        <v>2032</v>
      </c>
      <c r="E624" s="11">
        <v>18875850</v>
      </c>
      <c r="F624" t="s">
        <v>1227</v>
      </c>
      <c r="G624" t="s">
        <v>1228</v>
      </c>
      <c r="H624" s="10">
        <v>46186</v>
      </c>
      <c r="I624">
        <v>345022.56</v>
      </c>
      <c r="J624">
        <v>0</v>
      </c>
      <c r="K624">
        <v>345022.56</v>
      </c>
    </row>
    <row r="625" spans="1:11" x14ac:dyDescent="0.35">
      <c r="A625">
        <v>9300000521</v>
      </c>
      <c r="B625">
        <v>9400010501</v>
      </c>
      <c r="C625" s="10">
        <v>46172</v>
      </c>
      <c r="D625" t="s">
        <v>2032</v>
      </c>
      <c r="E625" s="11">
        <v>18854053</v>
      </c>
      <c r="F625" t="s">
        <v>1009</v>
      </c>
      <c r="G625" t="s">
        <v>1010</v>
      </c>
      <c r="H625" s="10">
        <v>46186</v>
      </c>
      <c r="I625">
        <v>99030.46</v>
      </c>
      <c r="J625">
        <v>0</v>
      </c>
      <c r="K625">
        <v>99030.46</v>
      </c>
    </row>
    <row r="626" spans="1:11" x14ac:dyDescent="0.35">
      <c r="A626">
        <v>9300000520</v>
      </c>
      <c r="B626">
        <v>9400010499</v>
      </c>
      <c r="C626" s="10">
        <v>46172</v>
      </c>
      <c r="D626" t="s">
        <v>2032</v>
      </c>
      <c r="E626" s="11">
        <v>18822637</v>
      </c>
      <c r="F626" t="s">
        <v>677</v>
      </c>
      <c r="G626" t="s">
        <v>678</v>
      </c>
      <c r="H626" s="10">
        <v>46217</v>
      </c>
      <c r="I626">
        <v>46692.12</v>
      </c>
      <c r="J626">
        <v>0</v>
      </c>
      <c r="K626">
        <v>46692.12</v>
      </c>
    </row>
    <row r="627" spans="1:11" x14ac:dyDescent="0.35">
      <c r="A627">
        <v>5200000308</v>
      </c>
      <c r="B627">
        <v>9400010498</v>
      </c>
      <c r="C627" s="10">
        <v>46172</v>
      </c>
      <c r="D627" t="s">
        <v>2032</v>
      </c>
      <c r="E627" s="11">
        <v>18865713</v>
      </c>
      <c r="F627" t="s">
        <v>915</v>
      </c>
      <c r="G627" t="s">
        <v>916</v>
      </c>
      <c r="H627" s="10">
        <v>46217</v>
      </c>
      <c r="I627">
        <v>18026.96</v>
      </c>
      <c r="J627">
        <v>0</v>
      </c>
      <c r="K627">
        <v>18026.96</v>
      </c>
    </row>
    <row r="628" spans="1:11" x14ac:dyDescent="0.35">
      <c r="A628">
        <v>7000000478</v>
      </c>
      <c r="B628">
        <v>9400010494</v>
      </c>
      <c r="C628" s="10">
        <v>46172</v>
      </c>
      <c r="D628" t="s">
        <v>2032</v>
      </c>
      <c r="E628" s="11">
        <v>18853822</v>
      </c>
      <c r="F628" t="s">
        <v>637</v>
      </c>
      <c r="G628" t="s">
        <v>638</v>
      </c>
      <c r="H628" s="10">
        <v>46186</v>
      </c>
      <c r="I628">
        <v>162953.28</v>
      </c>
      <c r="J628">
        <v>0</v>
      </c>
      <c r="K628">
        <v>162953.28</v>
      </c>
    </row>
    <row r="629" spans="1:11" x14ac:dyDescent="0.35">
      <c r="A629">
        <v>2720000339</v>
      </c>
      <c r="B629">
        <v>9400010493</v>
      </c>
      <c r="C629" s="10">
        <v>46172</v>
      </c>
      <c r="D629" t="s">
        <v>2032</v>
      </c>
      <c r="E629" s="11">
        <v>18853057</v>
      </c>
      <c r="F629" t="s">
        <v>17</v>
      </c>
      <c r="G629" t="s">
        <v>18</v>
      </c>
      <c r="H629" s="10">
        <v>46186</v>
      </c>
      <c r="I629">
        <v>94305.600000000006</v>
      </c>
      <c r="J629">
        <v>0</v>
      </c>
      <c r="K629">
        <v>94305.600000000006</v>
      </c>
    </row>
    <row r="630" spans="1:11" x14ac:dyDescent="0.35">
      <c r="A630">
        <v>2710000748</v>
      </c>
      <c r="B630">
        <v>9400010491</v>
      </c>
      <c r="C630" s="10">
        <v>46172</v>
      </c>
      <c r="D630" t="s">
        <v>2032</v>
      </c>
      <c r="E630" s="11">
        <v>18855181</v>
      </c>
      <c r="F630" t="s">
        <v>118</v>
      </c>
      <c r="G630" t="s">
        <v>119</v>
      </c>
      <c r="H630" s="10">
        <v>46217</v>
      </c>
      <c r="I630">
        <v>12140.79</v>
      </c>
      <c r="J630">
        <v>0</v>
      </c>
      <c r="K630">
        <v>12140.79</v>
      </c>
    </row>
    <row r="631" spans="1:11" x14ac:dyDescent="0.35">
      <c r="A631">
        <v>2710000747</v>
      </c>
      <c r="B631">
        <v>9400010490</v>
      </c>
      <c r="C631" s="10">
        <v>46172</v>
      </c>
      <c r="D631" t="s">
        <v>2032</v>
      </c>
      <c r="E631" s="11">
        <v>18855181</v>
      </c>
      <c r="F631" t="s">
        <v>118</v>
      </c>
      <c r="G631" t="s">
        <v>119</v>
      </c>
      <c r="H631" s="10">
        <v>46186</v>
      </c>
      <c r="I631">
        <v>21087.07</v>
      </c>
      <c r="J631">
        <v>0</v>
      </c>
      <c r="K631">
        <v>21087.07</v>
      </c>
    </row>
    <row r="632" spans="1:11" x14ac:dyDescent="0.35">
      <c r="A632">
        <v>2710000746</v>
      </c>
      <c r="B632">
        <v>9400010486</v>
      </c>
      <c r="C632" s="10">
        <v>46172</v>
      </c>
      <c r="D632" t="s">
        <v>2032</v>
      </c>
      <c r="E632" s="11">
        <v>18855091</v>
      </c>
      <c r="F632" t="s">
        <v>66</v>
      </c>
      <c r="G632" t="s">
        <v>67</v>
      </c>
      <c r="H632" s="10">
        <v>46186</v>
      </c>
      <c r="I632">
        <v>53967.3</v>
      </c>
      <c r="J632">
        <v>0</v>
      </c>
      <c r="K632">
        <v>53967.3</v>
      </c>
    </row>
    <row r="633" spans="1:11" x14ac:dyDescent="0.35">
      <c r="A633">
        <v>2710000745</v>
      </c>
      <c r="B633">
        <v>9400010485</v>
      </c>
      <c r="C633" s="10">
        <v>46172</v>
      </c>
      <c r="D633" t="s">
        <v>2032</v>
      </c>
      <c r="E633" s="11">
        <v>18854924</v>
      </c>
      <c r="F633" t="s">
        <v>1195</v>
      </c>
      <c r="G633" t="s">
        <v>1196</v>
      </c>
      <c r="H633" s="10">
        <v>46217</v>
      </c>
      <c r="I633">
        <v>12683.58</v>
      </c>
      <c r="J633">
        <v>0</v>
      </c>
      <c r="K633">
        <v>12683.58</v>
      </c>
    </row>
    <row r="634" spans="1:11" x14ac:dyDescent="0.35">
      <c r="A634">
        <v>2710000744</v>
      </c>
      <c r="B634">
        <v>9400010483</v>
      </c>
      <c r="C634" s="10">
        <v>46172</v>
      </c>
      <c r="D634" t="s">
        <v>2032</v>
      </c>
      <c r="E634" s="11">
        <v>18854915</v>
      </c>
      <c r="F634" t="s">
        <v>493</v>
      </c>
      <c r="G634" t="s">
        <v>494</v>
      </c>
      <c r="H634" s="10">
        <v>46217</v>
      </c>
      <c r="I634">
        <v>22988.06</v>
      </c>
      <c r="J634">
        <v>0</v>
      </c>
      <c r="K634">
        <v>22988.06</v>
      </c>
    </row>
    <row r="635" spans="1:11" x14ac:dyDescent="0.35">
      <c r="A635">
        <v>2710000743</v>
      </c>
      <c r="B635">
        <v>9400010480</v>
      </c>
      <c r="C635" s="10">
        <v>46172</v>
      </c>
      <c r="D635" t="s">
        <v>2032</v>
      </c>
      <c r="E635" s="11">
        <v>18854915</v>
      </c>
      <c r="F635" t="s">
        <v>493</v>
      </c>
      <c r="G635" t="s">
        <v>494</v>
      </c>
      <c r="H635" s="10">
        <v>46186</v>
      </c>
      <c r="I635">
        <v>237763.4</v>
      </c>
      <c r="J635">
        <v>0</v>
      </c>
      <c r="K635">
        <v>237763.4</v>
      </c>
    </row>
    <row r="636" spans="1:11" x14ac:dyDescent="0.35">
      <c r="A636">
        <v>2710000742</v>
      </c>
      <c r="B636">
        <v>9400010476</v>
      </c>
      <c r="C636" s="10">
        <v>46172</v>
      </c>
      <c r="D636" t="s">
        <v>2032</v>
      </c>
      <c r="E636" s="11">
        <v>18854883</v>
      </c>
      <c r="F636" t="s">
        <v>118</v>
      </c>
      <c r="G636" t="s">
        <v>119</v>
      </c>
      <c r="H636" s="10">
        <v>46217</v>
      </c>
      <c r="I636">
        <v>98276.06</v>
      </c>
      <c r="J636">
        <v>0</v>
      </c>
      <c r="K636">
        <v>98276.06</v>
      </c>
    </row>
    <row r="637" spans="1:11" x14ac:dyDescent="0.35">
      <c r="A637">
        <v>2710000741</v>
      </c>
      <c r="B637">
        <v>9400010472</v>
      </c>
      <c r="C637" s="10">
        <v>46172</v>
      </c>
      <c r="D637" t="s">
        <v>2032</v>
      </c>
      <c r="E637" s="11">
        <v>18854883</v>
      </c>
      <c r="F637" t="s">
        <v>118</v>
      </c>
      <c r="G637" t="s">
        <v>119</v>
      </c>
      <c r="H637" s="10">
        <v>46186</v>
      </c>
      <c r="I637">
        <v>81993.48</v>
      </c>
      <c r="J637">
        <v>0</v>
      </c>
      <c r="K637">
        <v>81993.48</v>
      </c>
    </row>
    <row r="638" spans="1:11" x14ac:dyDescent="0.35">
      <c r="A638">
        <v>2000000184</v>
      </c>
      <c r="B638">
        <v>9400010471</v>
      </c>
      <c r="C638" s="10">
        <v>46172</v>
      </c>
      <c r="D638" t="s">
        <v>2032</v>
      </c>
      <c r="E638" s="11">
        <v>18865594</v>
      </c>
      <c r="F638" t="s">
        <v>223</v>
      </c>
      <c r="G638" t="s">
        <v>224</v>
      </c>
      <c r="H638" s="10">
        <v>46217</v>
      </c>
      <c r="I638">
        <v>58618.720000000001</v>
      </c>
      <c r="J638">
        <v>0</v>
      </c>
      <c r="K638">
        <v>58618.720000000001</v>
      </c>
    </row>
    <row r="639" spans="1:11" x14ac:dyDescent="0.35">
      <c r="A639">
        <v>3000000815</v>
      </c>
      <c r="B639">
        <v>9400010468</v>
      </c>
      <c r="C639" s="10">
        <v>46172</v>
      </c>
      <c r="D639" t="s">
        <v>2032</v>
      </c>
      <c r="E639" s="11">
        <v>18854313</v>
      </c>
      <c r="F639" t="s">
        <v>1155</v>
      </c>
      <c r="G639" t="s">
        <v>1156</v>
      </c>
      <c r="H639" s="10">
        <v>46217</v>
      </c>
      <c r="I639">
        <v>48210.559999999998</v>
      </c>
      <c r="J639">
        <v>0</v>
      </c>
      <c r="K639">
        <v>48210.559999999998</v>
      </c>
    </row>
    <row r="640" spans="1:11" x14ac:dyDescent="0.35">
      <c r="A640">
        <v>5200000307</v>
      </c>
      <c r="B640">
        <v>9400010467</v>
      </c>
      <c r="C640" s="10">
        <v>46172</v>
      </c>
      <c r="D640" t="s">
        <v>2032</v>
      </c>
      <c r="E640" s="11">
        <v>18865678</v>
      </c>
      <c r="F640" t="s">
        <v>915</v>
      </c>
      <c r="G640" t="s">
        <v>916</v>
      </c>
      <c r="H640" s="10">
        <v>46186</v>
      </c>
      <c r="I640">
        <v>280181.56</v>
      </c>
      <c r="J640">
        <v>0</v>
      </c>
      <c r="K640">
        <v>280181.56</v>
      </c>
    </row>
    <row r="641" spans="1:11" x14ac:dyDescent="0.35">
      <c r="A641">
        <v>8000000565</v>
      </c>
      <c r="B641">
        <v>9400010463</v>
      </c>
      <c r="C641" s="10">
        <v>46172</v>
      </c>
      <c r="D641" t="s">
        <v>2032</v>
      </c>
      <c r="E641" s="11">
        <v>18855509</v>
      </c>
      <c r="F641" t="s">
        <v>42</v>
      </c>
      <c r="G641" t="s">
        <v>43</v>
      </c>
      <c r="H641" s="10">
        <v>46186</v>
      </c>
      <c r="I641">
        <v>12446.64</v>
      </c>
      <c r="J641">
        <v>0</v>
      </c>
      <c r="K641">
        <v>12446.64</v>
      </c>
    </row>
    <row r="642" spans="1:11" x14ac:dyDescent="0.35">
      <c r="A642">
        <v>2000000183</v>
      </c>
      <c r="B642">
        <v>9400010462</v>
      </c>
      <c r="C642" s="10">
        <v>46172</v>
      </c>
      <c r="D642" t="s">
        <v>2032</v>
      </c>
      <c r="E642" s="11">
        <v>18865594</v>
      </c>
      <c r="F642" t="s">
        <v>223</v>
      </c>
      <c r="G642" t="s">
        <v>224</v>
      </c>
      <c r="H642" s="10">
        <v>46187</v>
      </c>
      <c r="I642">
        <v>109527.6</v>
      </c>
      <c r="J642">
        <v>0</v>
      </c>
      <c r="K642">
        <v>109527.6</v>
      </c>
    </row>
    <row r="643" spans="1:11" x14ac:dyDescent="0.35">
      <c r="A643">
        <v>9100000913</v>
      </c>
      <c r="B643">
        <v>9400010461</v>
      </c>
      <c r="C643" s="10">
        <v>46172</v>
      </c>
      <c r="D643" t="s">
        <v>2032</v>
      </c>
      <c r="E643" s="11">
        <v>18855413</v>
      </c>
      <c r="F643" t="s">
        <v>469</v>
      </c>
      <c r="G643" t="s">
        <v>470</v>
      </c>
      <c r="H643" s="10">
        <v>46217</v>
      </c>
      <c r="I643">
        <v>41502.959999999999</v>
      </c>
      <c r="J643">
        <v>0</v>
      </c>
      <c r="K643">
        <v>41502.959999999999</v>
      </c>
    </row>
    <row r="644" spans="1:11" x14ac:dyDescent="0.35">
      <c r="A644">
        <v>9100000912</v>
      </c>
      <c r="B644">
        <v>9400010460</v>
      </c>
      <c r="C644" s="10">
        <v>46172</v>
      </c>
      <c r="D644" t="s">
        <v>2032</v>
      </c>
      <c r="E644" s="11">
        <v>18855235</v>
      </c>
      <c r="F644" t="s">
        <v>282</v>
      </c>
      <c r="G644" t="s">
        <v>283</v>
      </c>
      <c r="H644" s="10">
        <v>46217</v>
      </c>
      <c r="I644">
        <v>2264.1799999999998</v>
      </c>
      <c r="J644">
        <v>0</v>
      </c>
      <c r="K644">
        <v>2264.1799999999998</v>
      </c>
    </row>
    <row r="645" spans="1:11" x14ac:dyDescent="0.35">
      <c r="A645">
        <v>5100000635</v>
      </c>
      <c r="B645">
        <v>9400010457</v>
      </c>
      <c r="C645" s="10">
        <v>46172</v>
      </c>
      <c r="D645" t="s">
        <v>2032</v>
      </c>
      <c r="E645" s="11">
        <v>18854162</v>
      </c>
      <c r="F645" t="s">
        <v>475</v>
      </c>
      <c r="G645" t="s">
        <v>476</v>
      </c>
      <c r="H645" s="10">
        <v>46217</v>
      </c>
      <c r="I645">
        <v>35493.120000000003</v>
      </c>
      <c r="J645">
        <v>0</v>
      </c>
      <c r="K645">
        <v>35493.120000000003</v>
      </c>
    </row>
    <row r="646" spans="1:11" x14ac:dyDescent="0.35">
      <c r="A646">
        <v>9200000646</v>
      </c>
      <c r="B646">
        <v>9400010452</v>
      </c>
      <c r="C646" s="10">
        <v>46172</v>
      </c>
      <c r="D646" t="s">
        <v>2032</v>
      </c>
      <c r="E646" s="11">
        <v>18854937</v>
      </c>
      <c r="F646" t="s">
        <v>973</v>
      </c>
      <c r="G646" t="s">
        <v>974</v>
      </c>
      <c r="H646" s="10">
        <v>46217</v>
      </c>
      <c r="I646">
        <v>239768.92</v>
      </c>
      <c r="J646">
        <v>0</v>
      </c>
      <c r="K646">
        <v>239768.92</v>
      </c>
    </row>
    <row r="647" spans="1:11" x14ac:dyDescent="0.35">
      <c r="A647">
        <v>3000000813</v>
      </c>
      <c r="B647">
        <v>9400010450</v>
      </c>
      <c r="C647" s="10">
        <v>46172</v>
      </c>
      <c r="D647" t="s">
        <v>2032</v>
      </c>
      <c r="E647" s="11">
        <v>18854313</v>
      </c>
      <c r="F647" t="s">
        <v>1155</v>
      </c>
      <c r="G647" t="s">
        <v>1156</v>
      </c>
      <c r="H647" s="10">
        <v>46186</v>
      </c>
      <c r="I647">
        <v>96286.11</v>
      </c>
      <c r="J647">
        <v>0</v>
      </c>
      <c r="K647">
        <v>96286.11</v>
      </c>
    </row>
    <row r="648" spans="1:11" x14ac:dyDescent="0.35">
      <c r="A648">
        <v>2710000740</v>
      </c>
      <c r="B648">
        <v>9400010447</v>
      </c>
      <c r="C648" s="10">
        <v>46172</v>
      </c>
      <c r="D648" t="s">
        <v>2032</v>
      </c>
      <c r="E648" s="11">
        <v>18854710</v>
      </c>
      <c r="F648" t="s">
        <v>509</v>
      </c>
      <c r="G648" t="s">
        <v>510</v>
      </c>
      <c r="H648" s="10">
        <v>46186</v>
      </c>
      <c r="I648">
        <v>197709.48</v>
      </c>
      <c r="J648">
        <v>0</v>
      </c>
      <c r="K648">
        <v>197709.48</v>
      </c>
    </row>
    <row r="649" spans="1:11" x14ac:dyDescent="0.35">
      <c r="A649">
        <v>9100000911</v>
      </c>
      <c r="B649">
        <v>9400010445</v>
      </c>
      <c r="C649" s="10">
        <v>46172</v>
      </c>
      <c r="D649" t="s">
        <v>2032</v>
      </c>
      <c r="E649" s="11">
        <v>18854980</v>
      </c>
      <c r="F649" t="s">
        <v>347</v>
      </c>
      <c r="G649" t="s">
        <v>348</v>
      </c>
      <c r="H649" s="10">
        <v>46186</v>
      </c>
      <c r="I649">
        <v>735394.88</v>
      </c>
      <c r="J649">
        <v>0</v>
      </c>
      <c r="K649">
        <v>735394.88</v>
      </c>
    </row>
    <row r="650" spans="1:11" x14ac:dyDescent="0.35">
      <c r="A650">
        <v>2710000739</v>
      </c>
      <c r="B650">
        <v>9400010443</v>
      </c>
      <c r="C650" s="10">
        <v>46172</v>
      </c>
      <c r="D650" t="s">
        <v>2032</v>
      </c>
      <c r="E650" s="11">
        <v>18854451</v>
      </c>
      <c r="F650" t="s">
        <v>755</v>
      </c>
      <c r="G650" t="s">
        <v>756</v>
      </c>
      <c r="H650" s="10">
        <v>46186</v>
      </c>
      <c r="I650">
        <v>171143.42</v>
      </c>
      <c r="J650">
        <v>0</v>
      </c>
      <c r="K650">
        <v>171143.42</v>
      </c>
    </row>
    <row r="651" spans="1:11" x14ac:dyDescent="0.35">
      <c r="A651">
        <v>5200000306</v>
      </c>
      <c r="B651">
        <v>9400010439</v>
      </c>
      <c r="C651" s="10">
        <v>46172</v>
      </c>
      <c r="D651" t="s">
        <v>2032</v>
      </c>
      <c r="E651" s="11">
        <v>18854130</v>
      </c>
      <c r="F651" t="s">
        <v>821</v>
      </c>
      <c r="G651" t="s">
        <v>822</v>
      </c>
      <c r="H651" s="10">
        <v>46172</v>
      </c>
      <c r="I651">
        <v>67051.67</v>
      </c>
      <c r="J651">
        <v>65895.5</v>
      </c>
      <c r="K651">
        <v>1156.1699999999983</v>
      </c>
    </row>
    <row r="652" spans="1:11" x14ac:dyDescent="0.35">
      <c r="A652">
        <v>2300000448</v>
      </c>
      <c r="B652">
        <v>9400010438</v>
      </c>
      <c r="C652" s="10">
        <v>46172</v>
      </c>
      <c r="D652" t="s">
        <v>2032</v>
      </c>
      <c r="E652" s="11">
        <v>18854770</v>
      </c>
      <c r="F652" t="s">
        <v>459</v>
      </c>
      <c r="G652" t="s">
        <v>460</v>
      </c>
      <c r="H652" s="10">
        <v>46217</v>
      </c>
      <c r="I652">
        <v>237893.78</v>
      </c>
      <c r="J652">
        <v>0</v>
      </c>
      <c r="K652">
        <v>237893.78</v>
      </c>
    </row>
    <row r="653" spans="1:11" x14ac:dyDescent="0.35">
      <c r="A653">
        <v>2300000447</v>
      </c>
      <c r="B653">
        <v>9400010437</v>
      </c>
      <c r="C653" s="10">
        <v>46172</v>
      </c>
      <c r="D653" t="s">
        <v>2032</v>
      </c>
      <c r="E653" s="11">
        <v>18854858</v>
      </c>
      <c r="F653" t="s">
        <v>751</v>
      </c>
      <c r="G653" t="s">
        <v>752</v>
      </c>
      <c r="H653" s="10">
        <v>46217</v>
      </c>
      <c r="I653">
        <v>99312.1</v>
      </c>
      <c r="J653">
        <v>0</v>
      </c>
      <c r="K653">
        <v>99312.1</v>
      </c>
    </row>
    <row r="654" spans="1:11" x14ac:dyDescent="0.35">
      <c r="A654">
        <v>9100000909</v>
      </c>
      <c r="B654">
        <v>9400010436</v>
      </c>
      <c r="C654" s="10">
        <v>46172</v>
      </c>
      <c r="D654" t="s">
        <v>2032</v>
      </c>
      <c r="E654" s="11">
        <v>18854980</v>
      </c>
      <c r="F654" t="s">
        <v>347</v>
      </c>
      <c r="G654" t="s">
        <v>348</v>
      </c>
      <c r="H654" s="10">
        <v>46217</v>
      </c>
      <c r="I654">
        <v>36146.379999999997</v>
      </c>
      <c r="J654">
        <v>0</v>
      </c>
      <c r="K654">
        <v>36146.379999999997</v>
      </c>
    </row>
    <row r="655" spans="1:11" x14ac:dyDescent="0.35">
      <c r="A655">
        <v>5100000633</v>
      </c>
      <c r="B655">
        <v>9400010435</v>
      </c>
      <c r="C655" s="10">
        <v>46172</v>
      </c>
      <c r="D655" t="s">
        <v>2032</v>
      </c>
      <c r="E655" s="11">
        <v>18854162</v>
      </c>
      <c r="F655" t="s">
        <v>475</v>
      </c>
      <c r="G655" t="s">
        <v>476</v>
      </c>
      <c r="H655" s="10">
        <v>46186</v>
      </c>
      <c r="I655">
        <v>20390.400000000001</v>
      </c>
      <c r="J655">
        <v>0</v>
      </c>
      <c r="K655">
        <v>20390.400000000001</v>
      </c>
    </row>
    <row r="656" spans="1:11" x14ac:dyDescent="0.35">
      <c r="A656">
        <v>2720000335</v>
      </c>
      <c r="B656">
        <v>9400010432</v>
      </c>
      <c r="C656" s="10">
        <v>46172</v>
      </c>
      <c r="D656" t="s">
        <v>2032</v>
      </c>
      <c r="E656" s="11">
        <v>18855214</v>
      </c>
      <c r="F656" t="s">
        <v>225</v>
      </c>
      <c r="G656" t="s">
        <v>226</v>
      </c>
      <c r="H656" s="10">
        <v>46217</v>
      </c>
      <c r="I656">
        <v>17431.32</v>
      </c>
      <c r="J656">
        <v>0</v>
      </c>
      <c r="K656">
        <v>17431.32</v>
      </c>
    </row>
    <row r="657" spans="1:11" x14ac:dyDescent="0.35">
      <c r="A657">
        <v>2300000446</v>
      </c>
      <c r="B657">
        <v>9400010431</v>
      </c>
      <c r="C657" s="10">
        <v>46172</v>
      </c>
      <c r="D657" t="s">
        <v>2032</v>
      </c>
      <c r="E657" s="11">
        <v>18855245</v>
      </c>
      <c r="F657" t="s">
        <v>619</v>
      </c>
      <c r="G657" t="s">
        <v>620</v>
      </c>
      <c r="H657" s="10">
        <v>46217</v>
      </c>
      <c r="I657">
        <v>55374.8</v>
      </c>
      <c r="J657">
        <v>0</v>
      </c>
      <c r="K657">
        <v>55374.8</v>
      </c>
    </row>
    <row r="658" spans="1:11" x14ac:dyDescent="0.35">
      <c r="A658">
        <v>2710000738</v>
      </c>
      <c r="B658">
        <v>9400010429</v>
      </c>
      <c r="C658" s="10">
        <v>46172</v>
      </c>
      <c r="D658" t="s">
        <v>2032</v>
      </c>
      <c r="E658" s="11">
        <v>18854710</v>
      </c>
      <c r="F658" t="s">
        <v>509</v>
      </c>
      <c r="G658" t="s">
        <v>510</v>
      </c>
      <c r="H658" s="10">
        <v>46217</v>
      </c>
      <c r="I658">
        <v>13924.94</v>
      </c>
      <c r="J658">
        <v>0</v>
      </c>
      <c r="K658">
        <v>13924.94</v>
      </c>
    </row>
    <row r="659" spans="1:11" x14ac:dyDescent="0.35">
      <c r="A659">
        <v>2710000737</v>
      </c>
      <c r="B659">
        <v>9400010427</v>
      </c>
      <c r="C659" s="10">
        <v>46172</v>
      </c>
      <c r="D659" t="s">
        <v>2032</v>
      </c>
      <c r="E659" s="11">
        <v>18854691</v>
      </c>
      <c r="F659" t="s">
        <v>118</v>
      </c>
      <c r="G659" t="s">
        <v>119</v>
      </c>
      <c r="H659" s="10">
        <v>46172</v>
      </c>
      <c r="I659">
        <v>252027.61</v>
      </c>
      <c r="J659">
        <v>187594.98</v>
      </c>
      <c r="K659">
        <v>64432.629999999976</v>
      </c>
    </row>
    <row r="660" spans="1:11" x14ac:dyDescent="0.35">
      <c r="A660">
        <v>2710000736</v>
      </c>
      <c r="B660">
        <v>9400010425</v>
      </c>
      <c r="C660" s="10">
        <v>46172</v>
      </c>
      <c r="D660" t="s">
        <v>2032</v>
      </c>
      <c r="E660" s="11">
        <v>18854584</v>
      </c>
      <c r="F660" t="s">
        <v>753</v>
      </c>
      <c r="G660" t="s">
        <v>754</v>
      </c>
      <c r="H660" s="10">
        <v>46186</v>
      </c>
      <c r="I660">
        <v>16397.28</v>
      </c>
      <c r="J660">
        <v>0</v>
      </c>
      <c r="K660">
        <v>16397.28</v>
      </c>
    </row>
    <row r="661" spans="1:11" x14ac:dyDescent="0.35">
      <c r="A661">
        <v>2730000478</v>
      </c>
      <c r="B661">
        <v>9400010424</v>
      </c>
      <c r="C661" s="10">
        <v>46172</v>
      </c>
      <c r="D661" t="s">
        <v>2032</v>
      </c>
      <c r="E661" s="11">
        <v>18855379</v>
      </c>
      <c r="F661" t="s">
        <v>3551</v>
      </c>
      <c r="G661" t="s">
        <v>3552</v>
      </c>
      <c r="H661" s="10">
        <v>46217</v>
      </c>
      <c r="I661">
        <v>50415.72</v>
      </c>
      <c r="J661">
        <v>0</v>
      </c>
      <c r="K661">
        <v>50415.72</v>
      </c>
    </row>
    <row r="662" spans="1:11" x14ac:dyDescent="0.35">
      <c r="A662">
        <v>2710000735</v>
      </c>
      <c r="B662">
        <v>9400010423</v>
      </c>
      <c r="C662" s="10">
        <v>46172</v>
      </c>
      <c r="D662" t="s">
        <v>2032</v>
      </c>
      <c r="E662" s="11">
        <v>18854556</v>
      </c>
      <c r="F662" t="s">
        <v>595</v>
      </c>
      <c r="G662" t="s">
        <v>596</v>
      </c>
      <c r="H662" s="10">
        <v>46217</v>
      </c>
      <c r="I662">
        <v>32306.84</v>
      </c>
      <c r="J662">
        <v>0</v>
      </c>
      <c r="K662">
        <v>32306.84</v>
      </c>
    </row>
    <row r="663" spans="1:11" x14ac:dyDescent="0.35">
      <c r="A663">
        <v>2300000445</v>
      </c>
      <c r="B663">
        <v>9400010422</v>
      </c>
      <c r="C663" s="10">
        <v>46172</v>
      </c>
      <c r="D663" t="s">
        <v>2032</v>
      </c>
      <c r="E663" s="11">
        <v>18855245</v>
      </c>
      <c r="F663" t="s">
        <v>619</v>
      </c>
      <c r="G663" t="s">
        <v>620</v>
      </c>
      <c r="H663" s="10">
        <v>46186</v>
      </c>
      <c r="I663">
        <v>315626.40000000002</v>
      </c>
      <c r="J663">
        <v>0</v>
      </c>
      <c r="K663">
        <v>315626.40000000002</v>
      </c>
    </row>
    <row r="664" spans="1:11" x14ac:dyDescent="0.35">
      <c r="A664">
        <v>2710000734</v>
      </c>
      <c r="B664">
        <v>9400010421</v>
      </c>
      <c r="C664" s="10">
        <v>46172</v>
      </c>
      <c r="D664" t="s">
        <v>2032</v>
      </c>
      <c r="E664" s="11">
        <v>18854556</v>
      </c>
      <c r="F664" t="s">
        <v>595</v>
      </c>
      <c r="G664" t="s">
        <v>596</v>
      </c>
      <c r="H664" s="10">
        <v>46186</v>
      </c>
      <c r="I664">
        <v>108748.8</v>
      </c>
      <c r="J664">
        <v>0</v>
      </c>
      <c r="K664">
        <v>108748.8</v>
      </c>
    </row>
    <row r="665" spans="1:11" x14ac:dyDescent="0.35">
      <c r="A665">
        <v>5300000096</v>
      </c>
      <c r="B665">
        <v>9400010419</v>
      </c>
      <c r="C665" s="10">
        <v>46172</v>
      </c>
      <c r="D665" t="s">
        <v>2032</v>
      </c>
      <c r="E665" s="11">
        <v>18855366</v>
      </c>
      <c r="F665" t="s">
        <v>329</v>
      </c>
      <c r="G665" t="s">
        <v>330</v>
      </c>
      <c r="H665" s="10">
        <v>46186</v>
      </c>
      <c r="I665">
        <v>301608</v>
      </c>
      <c r="J665">
        <v>0</v>
      </c>
      <c r="K665">
        <v>301608</v>
      </c>
    </row>
    <row r="666" spans="1:11" x14ac:dyDescent="0.35">
      <c r="A666">
        <v>2710000732</v>
      </c>
      <c r="B666">
        <v>9400010418</v>
      </c>
      <c r="C666" s="10">
        <v>46172</v>
      </c>
      <c r="D666" t="s">
        <v>2032</v>
      </c>
      <c r="E666" s="11">
        <v>18854451</v>
      </c>
      <c r="F666" t="s">
        <v>755</v>
      </c>
      <c r="G666" t="s">
        <v>756</v>
      </c>
      <c r="H666" s="10">
        <v>46217</v>
      </c>
      <c r="I666">
        <v>5326.99</v>
      </c>
      <c r="J666">
        <v>0</v>
      </c>
      <c r="K666">
        <v>5326.99</v>
      </c>
    </row>
    <row r="667" spans="1:11" x14ac:dyDescent="0.35">
      <c r="A667">
        <v>2710000731</v>
      </c>
      <c r="B667">
        <v>9400010417</v>
      </c>
      <c r="C667" s="10">
        <v>46172</v>
      </c>
      <c r="D667" t="s">
        <v>2032</v>
      </c>
      <c r="E667" s="11">
        <v>18854445</v>
      </c>
      <c r="F667" t="s">
        <v>753</v>
      </c>
      <c r="G667" t="s">
        <v>754</v>
      </c>
      <c r="H667" s="10">
        <v>46217</v>
      </c>
      <c r="I667">
        <v>90049.34</v>
      </c>
      <c r="J667">
        <v>0</v>
      </c>
      <c r="K667">
        <v>90049.34</v>
      </c>
    </row>
    <row r="668" spans="1:11" x14ac:dyDescent="0.35">
      <c r="A668">
        <v>2710000730</v>
      </c>
      <c r="B668">
        <v>9400010416</v>
      </c>
      <c r="C668" s="10">
        <v>46172</v>
      </c>
      <c r="D668" t="s">
        <v>2032</v>
      </c>
      <c r="E668" s="11">
        <v>18854222</v>
      </c>
      <c r="F668" t="s">
        <v>687</v>
      </c>
      <c r="G668" t="s">
        <v>688</v>
      </c>
      <c r="H668" s="10">
        <v>46217</v>
      </c>
      <c r="I668">
        <v>39111.22</v>
      </c>
      <c r="J668">
        <v>0</v>
      </c>
      <c r="K668">
        <v>39111.22</v>
      </c>
    </row>
    <row r="669" spans="1:11" x14ac:dyDescent="0.35">
      <c r="A669">
        <v>2710000729</v>
      </c>
      <c r="B669">
        <v>9400010415</v>
      </c>
      <c r="C669" s="10">
        <v>46172</v>
      </c>
      <c r="D669" t="s">
        <v>2032</v>
      </c>
      <c r="E669" s="11">
        <v>18854222</v>
      </c>
      <c r="F669" t="s">
        <v>687</v>
      </c>
      <c r="G669" t="s">
        <v>688</v>
      </c>
      <c r="H669" s="10">
        <v>46186</v>
      </c>
      <c r="I669">
        <v>116105.96</v>
      </c>
      <c r="J669">
        <v>0</v>
      </c>
      <c r="K669">
        <v>116105.96</v>
      </c>
    </row>
    <row r="670" spans="1:11" x14ac:dyDescent="0.35">
      <c r="A670">
        <v>9200000644</v>
      </c>
      <c r="B670">
        <v>9400010414</v>
      </c>
      <c r="C670" s="10">
        <v>46172</v>
      </c>
      <c r="D670" t="s">
        <v>2032</v>
      </c>
      <c r="E670" s="11">
        <v>18855510</v>
      </c>
      <c r="F670" t="s">
        <v>725</v>
      </c>
      <c r="G670" t="s">
        <v>726</v>
      </c>
      <c r="H670" s="10">
        <v>46217</v>
      </c>
      <c r="I670">
        <v>20765.64</v>
      </c>
      <c r="J670">
        <v>0</v>
      </c>
      <c r="K670">
        <v>20765.64</v>
      </c>
    </row>
    <row r="671" spans="1:11" x14ac:dyDescent="0.35">
      <c r="A671">
        <v>2710000728</v>
      </c>
      <c r="B671">
        <v>9400010413</v>
      </c>
      <c r="C671" s="10">
        <v>46172</v>
      </c>
      <c r="D671" t="s">
        <v>2032</v>
      </c>
      <c r="E671" s="11">
        <v>18854021</v>
      </c>
      <c r="F671" t="s">
        <v>28</v>
      </c>
      <c r="G671" t="s">
        <v>29</v>
      </c>
      <c r="H671" s="10">
        <v>46186</v>
      </c>
      <c r="I671">
        <v>68421.119999999995</v>
      </c>
      <c r="J671">
        <v>0</v>
      </c>
      <c r="K671">
        <v>68421.119999999995</v>
      </c>
    </row>
    <row r="672" spans="1:11" x14ac:dyDescent="0.35">
      <c r="A672">
        <v>9100000907</v>
      </c>
      <c r="B672">
        <v>9400010411</v>
      </c>
      <c r="C672" s="10">
        <v>46172</v>
      </c>
      <c r="D672" t="s">
        <v>2032</v>
      </c>
      <c r="E672" s="11">
        <v>18854292</v>
      </c>
      <c r="F672" t="s">
        <v>861</v>
      </c>
      <c r="G672" t="s">
        <v>862</v>
      </c>
      <c r="H672" s="10">
        <v>46186</v>
      </c>
      <c r="I672">
        <v>73908.12</v>
      </c>
      <c r="J672">
        <v>0</v>
      </c>
      <c r="K672">
        <v>73908.12</v>
      </c>
    </row>
    <row r="673" spans="1:11" x14ac:dyDescent="0.35">
      <c r="A673">
        <v>2710000727</v>
      </c>
      <c r="B673">
        <v>9400010410</v>
      </c>
      <c r="C673" s="10">
        <v>46172</v>
      </c>
      <c r="D673" t="s">
        <v>2032</v>
      </c>
      <c r="E673" s="11">
        <v>18854020</v>
      </c>
      <c r="F673" t="s">
        <v>679</v>
      </c>
      <c r="G673" t="s">
        <v>680</v>
      </c>
      <c r="H673" s="10">
        <v>46217</v>
      </c>
      <c r="I673">
        <v>19602.400000000001</v>
      </c>
      <c r="J673">
        <v>0</v>
      </c>
      <c r="K673">
        <v>19602.400000000001</v>
      </c>
    </row>
    <row r="674" spans="1:11" x14ac:dyDescent="0.35">
      <c r="A674">
        <v>2720000334</v>
      </c>
      <c r="B674">
        <v>9400010409</v>
      </c>
      <c r="C674" s="10">
        <v>46172</v>
      </c>
      <c r="D674" t="s">
        <v>2032</v>
      </c>
      <c r="E674" s="11">
        <v>18855214</v>
      </c>
      <c r="F674" t="s">
        <v>225</v>
      </c>
      <c r="G674" t="s">
        <v>226</v>
      </c>
      <c r="H674" s="10">
        <v>46186</v>
      </c>
      <c r="I674">
        <v>112980.76</v>
      </c>
      <c r="J674">
        <v>0</v>
      </c>
      <c r="K674">
        <v>112980.76</v>
      </c>
    </row>
    <row r="675" spans="1:11" x14ac:dyDescent="0.35">
      <c r="A675">
        <v>2710000726</v>
      </c>
      <c r="B675">
        <v>9400010408</v>
      </c>
      <c r="C675" s="10">
        <v>46172</v>
      </c>
      <c r="D675" t="s">
        <v>2032</v>
      </c>
      <c r="E675" s="11">
        <v>18854020</v>
      </c>
      <c r="F675" t="s">
        <v>679</v>
      </c>
      <c r="G675" t="s">
        <v>680</v>
      </c>
      <c r="H675" s="10">
        <v>46186</v>
      </c>
      <c r="I675">
        <v>334437.71999999997</v>
      </c>
      <c r="J675">
        <v>0</v>
      </c>
      <c r="K675">
        <v>334437.71999999997</v>
      </c>
    </row>
    <row r="676" spans="1:11" x14ac:dyDescent="0.35">
      <c r="A676">
        <v>2710000725</v>
      </c>
      <c r="B676">
        <v>9400010406</v>
      </c>
      <c r="C676" s="10">
        <v>46172</v>
      </c>
      <c r="D676" t="s">
        <v>2032</v>
      </c>
      <c r="E676" s="11">
        <v>18854014</v>
      </c>
      <c r="F676" t="s">
        <v>491</v>
      </c>
      <c r="G676" t="s">
        <v>492</v>
      </c>
      <c r="H676" s="10">
        <v>46217</v>
      </c>
      <c r="I676">
        <v>143068.38</v>
      </c>
      <c r="J676">
        <v>0</v>
      </c>
      <c r="K676">
        <v>143068.38</v>
      </c>
    </row>
    <row r="677" spans="1:11" x14ac:dyDescent="0.35">
      <c r="A677">
        <v>2730000477</v>
      </c>
      <c r="B677">
        <v>9400010405</v>
      </c>
      <c r="C677" s="10">
        <v>46172</v>
      </c>
      <c r="D677" t="s">
        <v>2032</v>
      </c>
      <c r="E677" s="11">
        <v>18855258</v>
      </c>
      <c r="F677" t="s">
        <v>479</v>
      </c>
      <c r="G677" t="s">
        <v>480</v>
      </c>
      <c r="H677" s="10">
        <v>46186</v>
      </c>
      <c r="I677">
        <v>176939.51999999999</v>
      </c>
      <c r="J677">
        <v>0</v>
      </c>
      <c r="K677">
        <v>176939.51999999999</v>
      </c>
    </row>
    <row r="678" spans="1:11" x14ac:dyDescent="0.35">
      <c r="A678">
        <v>2710000724</v>
      </c>
      <c r="B678">
        <v>9400010404</v>
      </c>
      <c r="C678" s="10">
        <v>46172</v>
      </c>
      <c r="D678" t="s">
        <v>2032</v>
      </c>
      <c r="E678" s="11">
        <v>18854014</v>
      </c>
      <c r="F678" t="s">
        <v>491</v>
      </c>
      <c r="G678" t="s">
        <v>492</v>
      </c>
      <c r="H678" s="10">
        <v>46186</v>
      </c>
      <c r="I678">
        <v>1066722.3600000001</v>
      </c>
      <c r="J678">
        <v>0</v>
      </c>
      <c r="K678">
        <v>1066722.3600000001</v>
      </c>
    </row>
    <row r="679" spans="1:11" x14ac:dyDescent="0.35">
      <c r="A679">
        <v>2710000723</v>
      </c>
      <c r="B679">
        <v>9400010403</v>
      </c>
      <c r="C679" s="10">
        <v>46172</v>
      </c>
      <c r="D679" t="s">
        <v>2032</v>
      </c>
      <c r="E679" s="11">
        <v>18853283</v>
      </c>
      <c r="F679" t="s">
        <v>757</v>
      </c>
      <c r="G679" t="s">
        <v>758</v>
      </c>
      <c r="H679" s="10">
        <v>46217</v>
      </c>
      <c r="I679">
        <v>150039.24</v>
      </c>
      <c r="J679">
        <v>0</v>
      </c>
      <c r="K679">
        <v>150039.24</v>
      </c>
    </row>
    <row r="680" spans="1:11" x14ac:dyDescent="0.35">
      <c r="A680">
        <v>9200000643</v>
      </c>
      <c r="B680">
        <v>9400010402</v>
      </c>
      <c r="C680" s="10">
        <v>46172</v>
      </c>
      <c r="D680" t="s">
        <v>2032</v>
      </c>
      <c r="E680" s="11">
        <v>18855510</v>
      </c>
      <c r="F680" t="s">
        <v>725</v>
      </c>
      <c r="G680" t="s">
        <v>726</v>
      </c>
      <c r="H680" s="10">
        <v>46217</v>
      </c>
      <c r="I680">
        <v>88923.22</v>
      </c>
      <c r="J680">
        <v>0</v>
      </c>
      <c r="K680">
        <v>88923.22</v>
      </c>
    </row>
    <row r="681" spans="1:11" x14ac:dyDescent="0.35">
      <c r="A681">
        <v>3000000811</v>
      </c>
      <c r="B681">
        <v>9400010400</v>
      </c>
      <c r="C681" s="10">
        <v>46172</v>
      </c>
      <c r="D681" t="s">
        <v>2032</v>
      </c>
      <c r="E681" s="11">
        <v>18854560</v>
      </c>
      <c r="F681" t="s">
        <v>809</v>
      </c>
      <c r="G681" t="s">
        <v>810</v>
      </c>
      <c r="H681" s="10">
        <v>46217</v>
      </c>
      <c r="I681">
        <v>82231.08</v>
      </c>
      <c r="J681">
        <v>0</v>
      </c>
      <c r="K681">
        <v>82231.08</v>
      </c>
    </row>
    <row r="682" spans="1:11" x14ac:dyDescent="0.35">
      <c r="A682">
        <v>5100000630</v>
      </c>
      <c r="B682">
        <v>9400010398</v>
      </c>
      <c r="C682" s="10">
        <v>46172</v>
      </c>
      <c r="D682" t="s">
        <v>2032</v>
      </c>
      <c r="E682" s="11">
        <v>18853967</v>
      </c>
      <c r="F682" t="s">
        <v>3531</v>
      </c>
      <c r="G682" t="s">
        <v>3532</v>
      </c>
      <c r="H682" s="10">
        <v>46186</v>
      </c>
      <c r="I682">
        <v>78520.86</v>
      </c>
      <c r="J682">
        <v>0</v>
      </c>
      <c r="K682">
        <v>78520.86</v>
      </c>
    </row>
    <row r="683" spans="1:11" x14ac:dyDescent="0.35">
      <c r="A683">
        <v>9300000517</v>
      </c>
      <c r="B683">
        <v>9400010397</v>
      </c>
      <c r="C683" s="10">
        <v>46172</v>
      </c>
      <c r="D683" t="s">
        <v>2032</v>
      </c>
      <c r="E683" s="11">
        <v>18822520</v>
      </c>
      <c r="F683" t="s">
        <v>651</v>
      </c>
      <c r="G683" t="s">
        <v>652</v>
      </c>
      <c r="H683" s="10">
        <v>46217</v>
      </c>
      <c r="I683">
        <v>7218.06</v>
      </c>
      <c r="J683">
        <v>0</v>
      </c>
      <c r="K683">
        <v>7218.06</v>
      </c>
    </row>
    <row r="684" spans="1:11" x14ac:dyDescent="0.35">
      <c r="A684">
        <v>3000000810</v>
      </c>
      <c r="B684">
        <v>9400010396</v>
      </c>
      <c r="C684" s="10">
        <v>46172</v>
      </c>
      <c r="D684" t="s">
        <v>2032</v>
      </c>
      <c r="E684" s="11">
        <v>18854387</v>
      </c>
      <c r="F684" t="s">
        <v>3589</v>
      </c>
      <c r="G684" t="s">
        <v>3590</v>
      </c>
      <c r="H684" s="10">
        <v>46217</v>
      </c>
      <c r="I684">
        <v>20619.419999999998</v>
      </c>
      <c r="J684">
        <v>0</v>
      </c>
      <c r="K684">
        <v>20619.419999999998</v>
      </c>
    </row>
    <row r="685" spans="1:11" x14ac:dyDescent="0.35">
      <c r="A685">
        <v>9100000906</v>
      </c>
      <c r="B685">
        <v>9400010393</v>
      </c>
      <c r="C685" s="10">
        <v>46172</v>
      </c>
      <c r="D685" t="s">
        <v>2032</v>
      </c>
      <c r="E685" s="11">
        <v>18854889</v>
      </c>
      <c r="F685" t="s">
        <v>198</v>
      </c>
      <c r="G685" t="s">
        <v>199</v>
      </c>
      <c r="H685" s="10">
        <v>46217</v>
      </c>
      <c r="I685">
        <v>18061.080000000002</v>
      </c>
      <c r="J685">
        <v>0</v>
      </c>
      <c r="K685">
        <v>18061.080000000002</v>
      </c>
    </row>
    <row r="686" spans="1:11" x14ac:dyDescent="0.35">
      <c r="A686">
        <v>7000000472</v>
      </c>
      <c r="B686">
        <v>9400010392</v>
      </c>
      <c r="C686" s="10">
        <v>46172</v>
      </c>
      <c r="D686" t="s">
        <v>2032</v>
      </c>
      <c r="E686" s="11">
        <v>235689</v>
      </c>
      <c r="F686" t="s">
        <v>3587</v>
      </c>
      <c r="G686" t="s">
        <v>3588</v>
      </c>
      <c r="H686" s="10">
        <v>46172</v>
      </c>
      <c r="I686">
        <v>17033.509999999998</v>
      </c>
      <c r="J686">
        <v>14855.32</v>
      </c>
      <c r="K686">
        <v>2178.1899999999987</v>
      </c>
    </row>
    <row r="687" spans="1:11" x14ac:dyDescent="0.35">
      <c r="A687">
        <v>9100000905</v>
      </c>
      <c r="B687">
        <v>9400010388</v>
      </c>
      <c r="C687" s="10">
        <v>46172</v>
      </c>
      <c r="D687" t="s">
        <v>2032</v>
      </c>
      <c r="E687" s="11">
        <v>18854889</v>
      </c>
      <c r="F687" t="s">
        <v>198</v>
      </c>
      <c r="G687" t="s">
        <v>199</v>
      </c>
      <c r="H687" s="10">
        <v>46186</v>
      </c>
      <c r="I687">
        <v>151115.51999999999</v>
      </c>
      <c r="J687">
        <v>0</v>
      </c>
      <c r="K687">
        <v>151115.51999999999</v>
      </c>
    </row>
    <row r="688" spans="1:11" x14ac:dyDescent="0.35">
      <c r="A688">
        <v>9200000642</v>
      </c>
      <c r="B688">
        <v>9400010386</v>
      </c>
      <c r="C688" s="10">
        <v>46172</v>
      </c>
      <c r="D688" t="s">
        <v>2032</v>
      </c>
      <c r="E688" s="11">
        <v>18853581</v>
      </c>
      <c r="F688" t="s">
        <v>527</v>
      </c>
      <c r="G688" t="s">
        <v>528</v>
      </c>
      <c r="H688" s="10">
        <v>46186</v>
      </c>
      <c r="I688">
        <v>126647.03999999999</v>
      </c>
      <c r="J688">
        <v>0</v>
      </c>
      <c r="K688">
        <v>126647.03999999999</v>
      </c>
    </row>
    <row r="689" spans="1:11" x14ac:dyDescent="0.35">
      <c r="A689">
        <v>5200000305</v>
      </c>
      <c r="B689">
        <v>9400010385</v>
      </c>
      <c r="C689" s="10">
        <v>46172</v>
      </c>
      <c r="D689" t="s">
        <v>2032</v>
      </c>
      <c r="E689" s="11">
        <v>18842931</v>
      </c>
      <c r="F689" t="s">
        <v>411</v>
      </c>
      <c r="G689" t="s">
        <v>412</v>
      </c>
      <c r="H689" s="10">
        <v>46217</v>
      </c>
      <c r="I689">
        <v>62069.3</v>
      </c>
      <c r="J689">
        <v>0</v>
      </c>
      <c r="K689">
        <v>62069.3</v>
      </c>
    </row>
    <row r="690" spans="1:11" x14ac:dyDescent="0.35">
      <c r="A690">
        <v>3000000809</v>
      </c>
      <c r="B690">
        <v>9400010381</v>
      </c>
      <c r="C690" s="10">
        <v>46172</v>
      </c>
      <c r="D690" t="s">
        <v>2032</v>
      </c>
      <c r="E690" s="11">
        <v>18853877</v>
      </c>
      <c r="F690" t="s">
        <v>365</v>
      </c>
      <c r="G690" t="s">
        <v>366</v>
      </c>
      <c r="H690" s="10">
        <v>46217</v>
      </c>
      <c r="I690">
        <v>181578.74</v>
      </c>
      <c r="J690">
        <v>0</v>
      </c>
      <c r="K690">
        <v>181578.74</v>
      </c>
    </row>
    <row r="691" spans="1:11" x14ac:dyDescent="0.35">
      <c r="A691">
        <v>2730000476</v>
      </c>
      <c r="B691">
        <v>9400010380</v>
      </c>
      <c r="C691" s="10">
        <v>46172</v>
      </c>
      <c r="D691" t="s">
        <v>2032</v>
      </c>
      <c r="E691" s="11">
        <v>18855241</v>
      </c>
      <c r="F691" t="s">
        <v>3555</v>
      </c>
      <c r="G691" t="s">
        <v>3556</v>
      </c>
      <c r="H691" s="10">
        <v>46186</v>
      </c>
      <c r="I691">
        <v>434589.28</v>
      </c>
      <c r="J691">
        <v>0</v>
      </c>
      <c r="K691">
        <v>434589.28</v>
      </c>
    </row>
    <row r="692" spans="1:11" x14ac:dyDescent="0.35">
      <c r="A692">
        <v>5100000629</v>
      </c>
      <c r="B692">
        <v>9400010379</v>
      </c>
      <c r="C692" s="10">
        <v>46172</v>
      </c>
      <c r="D692" t="s">
        <v>2032</v>
      </c>
      <c r="E692" s="11">
        <v>18853154</v>
      </c>
      <c r="F692" t="s">
        <v>1073</v>
      </c>
      <c r="G692" t="s">
        <v>1074</v>
      </c>
      <c r="H692" s="10">
        <v>46186</v>
      </c>
      <c r="I692">
        <v>245930.88</v>
      </c>
      <c r="J692">
        <v>0</v>
      </c>
      <c r="K692">
        <v>245930.88</v>
      </c>
    </row>
    <row r="693" spans="1:11" x14ac:dyDescent="0.35">
      <c r="A693">
        <v>9300000516</v>
      </c>
      <c r="B693">
        <v>9400010375</v>
      </c>
      <c r="C693" s="10">
        <v>46172</v>
      </c>
      <c r="D693" t="s">
        <v>2032</v>
      </c>
      <c r="E693" s="11">
        <v>18822520</v>
      </c>
      <c r="F693" t="s">
        <v>651</v>
      </c>
      <c r="G693" t="s">
        <v>652</v>
      </c>
      <c r="H693" s="10">
        <v>46217</v>
      </c>
      <c r="I693">
        <v>73813.320000000007</v>
      </c>
      <c r="J693">
        <v>0</v>
      </c>
      <c r="K693">
        <v>73813.320000000007</v>
      </c>
    </row>
    <row r="694" spans="1:11" x14ac:dyDescent="0.35">
      <c r="A694">
        <v>2730000475</v>
      </c>
      <c r="B694">
        <v>9400010373</v>
      </c>
      <c r="C694" s="10">
        <v>46172</v>
      </c>
      <c r="D694" t="s">
        <v>2032</v>
      </c>
      <c r="E694" s="11">
        <v>18854950</v>
      </c>
      <c r="F694" t="s">
        <v>47</v>
      </c>
      <c r="G694" t="s">
        <v>48</v>
      </c>
      <c r="H694" s="10">
        <v>46186</v>
      </c>
      <c r="I694">
        <v>290294.64</v>
      </c>
      <c r="J694">
        <v>0</v>
      </c>
      <c r="K694">
        <v>290294.64</v>
      </c>
    </row>
    <row r="695" spans="1:11" x14ac:dyDescent="0.35">
      <c r="A695">
        <v>5100000628</v>
      </c>
      <c r="B695">
        <v>9400010372</v>
      </c>
      <c r="C695" s="10">
        <v>46172</v>
      </c>
      <c r="D695" t="s">
        <v>2032</v>
      </c>
      <c r="E695" s="11">
        <v>18799733</v>
      </c>
      <c r="F695" t="s">
        <v>573</v>
      </c>
      <c r="G695" t="s">
        <v>574</v>
      </c>
      <c r="H695" s="10">
        <v>46217</v>
      </c>
      <c r="I695">
        <v>72769.81</v>
      </c>
      <c r="J695">
        <v>0</v>
      </c>
      <c r="K695">
        <v>72769.81</v>
      </c>
    </row>
    <row r="696" spans="1:11" x14ac:dyDescent="0.35">
      <c r="A696">
        <v>9200000641</v>
      </c>
      <c r="B696">
        <v>9400010367</v>
      </c>
      <c r="C696" s="10">
        <v>46172</v>
      </c>
      <c r="D696" t="s">
        <v>2032</v>
      </c>
      <c r="E696" s="11">
        <v>18854767</v>
      </c>
      <c r="F696" t="s">
        <v>625</v>
      </c>
      <c r="G696" t="s">
        <v>626</v>
      </c>
      <c r="H696" s="10">
        <v>46217</v>
      </c>
      <c r="I696">
        <v>22550.639999999999</v>
      </c>
      <c r="J696">
        <v>0</v>
      </c>
      <c r="K696">
        <v>22550.639999999999</v>
      </c>
    </row>
    <row r="697" spans="1:11" x14ac:dyDescent="0.35">
      <c r="A697">
        <v>9200000640</v>
      </c>
      <c r="B697">
        <v>9400010366</v>
      </c>
      <c r="C697" s="10">
        <v>46172</v>
      </c>
      <c r="D697" t="s">
        <v>2032</v>
      </c>
      <c r="E697" s="11">
        <v>18854767</v>
      </c>
      <c r="F697" t="s">
        <v>625</v>
      </c>
      <c r="G697" t="s">
        <v>626</v>
      </c>
      <c r="H697" s="10">
        <v>46186</v>
      </c>
      <c r="I697">
        <v>42480</v>
      </c>
      <c r="J697">
        <v>0</v>
      </c>
      <c r="K697">
        <v>42480</v>
      </c>
    </row>
    <row r="698" spans="1:11" x14ac:dyDescent="0.35">
      <c r="A698">
        <v>5200000304</v>
      </c>
      <c r="B698">
        <v>9400010365</v>
      </c>
      <c r="C698" s="10">
        <v>46172</v>
      </c>
      <c r="D698" t="s">
        <v>2032</v>
      </c>
      <c r="E698" s="11">
        <v>18854217</v>
      </c>
      <c r="F698" t="s">
        <v>411</v>
      </c>
      <c r="G698" t="s">
        <v>412</v>
      </c>
      <c r="H698" s="10">
        <v>46186</v>
      </c>
      <c r="I698">
        <v>182487.48</v>
      </c>
      <c r="J698">
        <v>0</v>
      </c>
      <c r="K698">
        <v>182487.48</v>
      </c>
    </row>
    <row r="699" spans="1:11" x14ac:dyDescent="0.35">
      <c r="A699">
        <v>9100000903</v>
      </c>
      <c r="B699">
        <v>9400010363</v>
      </c>
      <c r="C699" s="10">
        <v>46172</v>
      </c>
      <c r="D699" t="s">
        <v>2032</v>
      </c>
      <c r="E699" s="11">
        <v>18855219</v>
      </c>
      <c r="F699" t="s">
        <v>142</v>
      </c>
      <c r="G699" t="s">
        <v>143</v>
      </c>
      <c r="H699" s="10">
        <v>46217</v>
      </c>
      <c r="I699">
        <v>7850.3</v>
      </c>
      <c r="J699">
        <v>0</v>
      </c>
      <c r="K699">
        <v>7850.3</v>
      </c>
    </row>
    <row r="700" spans="1:11" x14ac:dyDescent="0.35">
      <c r="A700">
        <v>9100000902</v>
      </c>
      <c r="B700">
        <v>9400010360</v>
      </c>
      <c r="C700" s="10">
        <v>46172</v>
      </c>
      <c r="D700" t="s">
        <v>2032</v>
      </c>
      <c r="E700" s="11">
        <v>18855075</v>
      </c>
      <c r="F700" t="s">
        <v>825</v>
      </c>
      <c r="G700" t="s">
        <v>826</v>
      </c>
      <c r="H700" s="10">
        <v>46217</v>
      </c>
      <c r="I700">
        <v>77332.539999999994</v>
      </c>
      <c r="J700">
        <v>0</v>
      </c>
      <c r="K700">
        <v>77332.539999999994</v>
      </c>
    </row>
    <row r="701" spans="1:11" x14ac:dyDescent="0.35">
      <c r="A701">
        <v>9100000901</v>
      </c>
      <c r="B701">
        <v>9400010357</v>
      </c>
      <c r="C701" s="10">
        <v>46172</v>
      </c>
      <c r="D701" t="s">
        <v>2032</v>
      </c>
      <c r="E701" s="11">
        <v>18855219</v>
      </c>
      <c r="F701" t="s">
        <v>142</v>
      </c>
      <c r="G701" t="s">
        <v>143</v>
      </c>
      <c r="H701" s="10">
        <v>46186</v>
      </c>
      <c r="I701">
        <v>237321.60000000001</v>
      </c>
      <c r="J701">
        <v>0</v>
      </c>
      <c r="K701">
        <v>237321.60000000001</v>
      </c>
    </row>
    <row r="702" spans="1:11" x14ac:dyDescent="0.35">
      <c r="A702">
        <v>9200000639</v>
      </c>
      <c r="B702">
        <v>9400010356</v>
      </c>
      <c r="C702" s="10">
        <v>46172</v>
      </c>
      <c r="D702" t="s">
        <v>2032</v>
      </c>
      <c r="E702" s="11">
        <v>18855016</v>
      </c>
      <c r="F702" t="s">
        <v>617</v>
      </c>
      <c r="G702" t="s">
        <v>618</v>
      </c>
      <c r="H702" s="10">
        <v>46217</v>
      </c>
      <c r="I702">
        <v>62296.92</v>
      </c>
      <c r="J702">
        <v>0</v>
      </c>
      <c r="K702">
        <v>62296.92</v>
      </c>
    </row>
    <row r="703" spans="1:11" x14ac:dyDescent="0.35">
      <c r="A703">
        <v>8000000561</v>
      </c>
      <c r="B703">
        <v>9400010353</v>
      </c>
      <c r="C703" s="10">
        <v>46172</v>
      </c>
      <c r="D703" t="s">
        <v>2032</v>
      </c>
      <c r="E703" s="11">
        <v>18854106</v>
      </c>
      <c r="F703" t="s">
        <v>3591</v>
      </c>
      <c r="G703" t="s">
        <v>3592</v>
      </c>
      <c r="H703" s="10">
        <v>46217</v>
      </c>
      <c r="I703">
        <v>27051.26</v>
      </c>
      <c r="J703">
        <v>0</v>
      </c>
      <c r="K703">
        <v>27051.26</v>
      </c>
    </row>
    <row r="704" spans="1:11" x14ac:dyDescent="0.35">
      <c r="A704">
        <v>2730000474</v>
      </c>
      <c r="B704">
        <v>9400010350</v>
      </c>
      <c r="C704" s="10">
        <v>46172</v>
      </c>
      <c r="D704" t="s">
        <v>2032</v>
      </c>
      <c r="E704" s="11">
        <v>18853292</v>
      </c>
      <c r="F704" t="s">
        <v>523</v>
      </c>
      <c r="G704" t="s">
        <v>524</v>
      </c>
      <c r="H704" s="10">
        <v>46186</v>
      </c>
      <c r="I704">
        <v>101192.08</v>
      </c>
      <c r="J704">
        <v>0</v>
      </c>
      <c r="K704">
        <v>101192.08</v>
      </c>
    </row>
    <row r="705" spans="1:11" x14ac:dyDescent="0.35">
      <c r="A705">
        <v>3000000807</v>
      </c>
      <c r="B705">
        <v>9400010349</v>
      </c>
      <c r="C705" s="10">
        <v>46172</v>
      </c>
      <c r="D705" t="s">
        <v>2032</v>
      </c>
      <c r="E705" s="11">
        <v>18854421</v>
      </c>
      <c r="F705" t="s">
        <v>204</v>
      </c>
      <c r="G705" t="s">
        <v>205</v>
      </c>
      <c r="H705" s="10">
        <v>46217</v>
      </c>
      <c r="I705">
        <v>115728.26</v>
      </c>
      <c r="J705">
        <v>0</v>
      </c>
      <c r="K705">
        <v>115728.26</v>
      </c>
    </row>
    <row r="706" spans="1:11" x14ac:dyDescent="0.35">
      <c r="A706">
        <v>5100000626</v>
      </c>
      <c r="B706">
        <v>9400010346</v>
      </c>
      <c r="C706" s="10">
        <v>46172</v>
      </c>
      <c r="D706" t="s">
        <v>2032</v>
      </c>
      <c r="E706" s="11">
        <v>18853923</v>
      </c>
      <c r="F706" t="s">
        <v>1189</v>
      </c>
      <c r="G706" t="s">
        <v>1190</v>
      </c>
      <c r="H706" s="10">
        <v>46217</v>
      </c>
      <c r="I706">
        <v>69749.22</v>
      </c>
      <c r="J706">
        <v>0</v>
      </c>
      <c r="K706">
        <v>69749.22</v>
      </c>
    </row>
    <row r="707" spans="1:11" x14ac:dyDescent="0.35">
      <c r="A707">
        <v>2720000333</v>
      </c>
      <c r="B707">
        <v>9400010343</v>
      </c>
      <c r="C707" s="10">
        <v>46172</v>
      </c>
      <c r="D707" t="s">
        <v>2032</v>
      </c>
      <c r="E707" s="11">
        <v>18821348</v>
      </c>
      <c r="F707" t="s">
        <v>3551</v>
      </c>
      <c r="G707" t="s">
        <v>3552</v>
      </c>
      <c r="H707" s="10">
        <v>46217</v>
      </c>
      <c r="I707">
        <v>32588.2</v>
      </c>
      <c r="J707">
        <v>0</v>
      </c>
      <c r="K707">
        <v>32588.2</v>
      </c>
    </row>
    <row r="708" spans="1:11" x14ac:dyDescent="0.35">
      <c r="A708">
        <v>8000000559</v>
      </c>
      <c r="B708">
        <v>9400010342</v>
      </c>
      <c r="C708" s="10">
        <v>46172</v>
      </c>
      <c r="D708" t="s">
        <v>2032</v>
      </c>
      <c r="E708" s="11">
        <v>18854926</v>
      </c>
      <c r="F708" t="s">
        <v>673</v>
      </c>
      <c r="G708" t="s">
        <v>674</v>
      </c>
      <c r="H708" s="10">
        <v>46217</v>
      </c>
      <c r="I708">
        <v>41531.279999999999</v>
      </c>
      <c r="J708">
        <v>0</v>
      </c>
      <c r="K708">
        <v>41531.279999999999</v>
      </c>
    </row>
    <row r="709" spans="1:11" x14ac:dyDescent="0.35">
      <c r="A709">
        <v>2730000473</v>
      </c>
      <c r="B709">
        <v>9400010341</v>
      </c>
      <c r="C709" s="10">
        <v>46172</v>
      </c>
      <c r="D709" t="s">
        <v>2032</v>
      </c>
      <c r="E709" s="11">
        <v>18854936</v>
      </c>
      <c r="F709" t="s">
        <v>499</v>
      </c>
      <c r="G709" t="s">
        <v>500</v>
      </c>
      <c r="H709" s="10">
        <v>46217</v>
      </c>
      <c r="I709">
        <v>22374.22</v>
      </c>
      <c r="J709">
        <v>0</v>
      </c>
      <c r="K709">
        <v>22374.22</v>
      </c>
    </row>
    <row r="710" spans="1:11" x14ac:dyDescent="0.35">
      <c r="A710">
        <v>9100000900</v>
      </c>
      <c r="B710">
        <v>9400010340</v>
      </c>
      <c r="C710" s="10">
        <v>46172</v>
      </c>
      <c r="D710" t="s">
        <v>2032</v>
      </c>
      <c r="E710" s="11">
        <v>18854618</v>
      </c>
      <c r="F710" t="s">
        <v>813</v>
      </c>
      <c r="G710" t="s">
        <v>814</v>
      </c>
      <c r="H710" s="10">
        <v>46186</v>
      </c>
      <c r="I710">
        <v>116395.2</v>
      </c>
      <c r="J710">
        <v>0</v>
      </c>
      <c r="K710">
        <v>116395.2</v>
      </c>
    </row>
    <row r="711" spans="1:11" x14ac:dyDescent="0.35">
      <c r="A711">
        <v>8000000558</v>
      </c>
      <c r="B711">
        <v>9400010337</v>
      </c>
      <c r="C711" s="10">
        <v>46172</v>
      </c>
      <c r="D711" t="s">
        <v>2032</v>
      </c>
      <c r="E711" s="11">
        <v>18854914</v>
      </c>
      <c r="F711" t="s">
        <v>1017</v>
      </c>
      <c r="G711" t="s">
        <v>1018</v>
      </c>
      <c r="H711" s="10">
        <v>46217</v>
      </c>
      <c r="I711">
        <v>41531.279999999999</v>
      </c>
      <c r="J711">
        <v>0</v>
      </c>
      <c r="K711">
        <v>41531.279999999999</v>
      </c>
    </row>
    <row r="712" spans="1:11" x14ac:dyDescent="0.35">
      <c r="A712">
        <v>9100000899</v>
      </c>
      <c r="B712">
        <v>9400010336</v>
      </c>
      <c r="C712" s="10">
        <v>46172</v>
      </c>
      <c r="D712" t="s">
        <v>2032</v>
      </c>
      <c r="E712" s="11">
        <v>18854394</v>
      </c>
      <c r="F712" t="s">
        <v>130</v>
      </c>
      <c r="G712" t="s">
        <v>131</v>
      </c>
      <c r="H712" s="10">
        <v>46186</v>
      </c>
      <c r="I712">
        <v>36192.959999999999</v>
      </c>
      <c r="J712">
        <v>0</v>
      </c>
      <c r="K712">
        <v>36192.959999999999</v>
      </c>
    </row>
    <row r="713" spans="1:11" x14ac:dyDescent="0.35">
      <c r="A713">
        <v>9100000898</v>
      </c>
      <c r="B713">
        <v>9400010324</v>
      </c>
      <c r="C713" s="10">
        <v>46172</v>
      </c>
      <c r="D713" t="s">
        <v>2032</v>
      </c>
      <c r="E713" s="11">
        <v>18855022</v>
      </c>
      <c r="F713" t="s">
        <v>186</v>
      </c>
      <c r="G713" t="s">
        <v>187</v>
      </c>
      <c r="H713" s="10">
        <v>46186</v>
      </c>
      <c r="I713">
        <v>698371.2</v>
      </c>
      <c r="J713">
        <v>0</v>
      </c>
      <c r="K713">
        <v>698371.2</v>
      </c>
    </row>
    <row r="714" spans="1:11" x14ac:dyDescent="0.35">
      <c r="A714">
        <v>5100000625</v>
      </c>
      <c r="B714">
        <v>9400010321</v>
      </c>
      <c r="C714" s="10">
        <v>46172</v>
      </c>
      <c r="D714" t="s">
        <v>2032</v>
      </c>
      <c r="E714" s="11">
        <v>18853923</v>
      </c>
      <c r="F714" t="s">
        <v>1189</v>
      </c>
      <c r="G714" t="s">
        <v>1190</v>
      </c>
      <c r="H714" s="10">
        <v>46217</v>
      </c>
      <c r="I714">
        <v>183208.95999999999</v>
      </c>
      <c r="J714">
        <v>0</v>
      </c>
      <c r="K714">
        <v>183208.95999999999</v>
      </c>
    </row>
    <row r="715" spans="1:11" x14ac:dyDescent="0.35">
      <c r="A715">
        <v>5100000624</v>
      </c>
      <c r="B715">
        <v>9400010320</v>
      </c>
      <c r="C715" s="10">
        <v>46172</v>
      </c>
      <c r="D715" t="s">
        <v>2032</v>
      </c>
      <c r="E715" s="11">
        <v>18559117</v>
      </c>
      <c r="F715" t="s">
        <v>213</v>
      </c>
      <c r="G715" t="s">
        <v>214</v>
      </c>
      <c r="H715" s="10">
        <v>46217</v>
      </c>
      <c r="I715">
        <v>102028.12</v>
      </c>
      <c r="J715">
        <v>0</v>
      </c>
      <c r="K715">
        <v>102028.12</v>
      </c>
    </row>
    <row r="716" spans="1:11" x14ac:dyDescent="0.35">
      <c r="A716">
        <v>3000000804</v>
      </c>
      <c r="B716">
        <v>9400010319</v>
      </c>
      <c r="C716" s="10">
        <v>46172</v>
      </c>
      <c r="D716" t="s">
        <v>2032</v>
      </c>
      <c r="E716" s="11">
        <v>18854382</v>
      </c>
      <c r="F716" t="s">
        <v>194</v>
      </c>
      <c r="G716" t="s">
        <v>195</v>
      </c>
      <c r="H716" s="10">
        <v>46217</v>
      </c>
      <c r="I716">
        <v>27535.3</v>
      </c>
      <c r="J716">
        <v>0</v>
      </c>
      <c r="K716">
        <v>27535.3</v>
      </c>
    </row>
    <row r="717" spans="1:11" x14ac:dyDescent="0.35">
      <c r="A717">
        <v>5200000301</v>
      </c>
      <c r="B717">
        <v>9400010316</v>
      </c>
      <c r="C717" s="10">
        <v>46172</v>
      </c>
      <c r="D717" t="s">
        <v>2032</v>
      </c>
      <c r="E717" s="11">
        <v>18853638</v>
      </c>
      <c r="F717" t="s">
        <v>787</v>
      </c>
      <c r="G717" t="s">
        <v>788</v>
      </c>
      <c r="H717" s="10">
        <v>46217</v>
      </c>
      <c r="I717">
        <v>24356.5</v>
      </c>
      <c r="J717">
        <v>0</v>
      </c>
      <c r="K717">
        <v>24356.5</v>
      </c>
    </row>
    <row r="718" spans="1:11" x14ac:dyDescent="0.35">
      <c r="A718">
        <v>9300000515</v>
      </c>
      <c r="B718">
        <v>9400010315</v>
      </c>
      <c r="C718" s="10">
        <v>46172</v>
      </c>
      <c r="D718" t="s">
        <v>2032</v>
      </c>
      <c r="E718" s="11">
        <v>18822349</v>
      </c>
      <c r="F718" t="s">
        <v>429</v>
      </c>
      <c r="G718" t="s">
        <v>430</v>
      </c>
      <c r="H718" s="10">
        <v>46186</v>
      </c>
      <c r="I718">
        <v>22648.92</v>
      </c>
      <c r="J718">
        <v>0</v>
      </c>
      <c r="K718">
        <v>22648.92</v>
      </c>
    </row>
    <row r="719" spans="1:11" x14ac:dyDescent="0.35">
      <c r="A719">
        <v>3000000803</v>
      </c>
      <c r="B719">
        <v>9400010314</v>
      </c>
      <c r="C719" s="10">
        <v>46172</v>
      </c>
      <c r="D719" t="s">
        <v>2032</v>
      </c>
      <c r="E719" s="11">
        <v>18854382</v>
      </c>
      <c r="F719" t="s">
        <v>194</v>
      </c>
      <c r="G719" t="s">
        <v>195</v>
      </c>
      <c r="H719" s="10">
        <v>46187</v>
      </c>
      <c r="I719">
        <v>391665.6</v>
      </c>
      <c r="J719">
        <v>0</v>
      </c>
      <c r="K719">
        <v>391665.6</v>
      </c>
    </row>
    <row r="720" spans="1:11" x14ac:dyDescent="0.35">
      <c r="A720">
        <v>5100000622</v>
      </c>
      <c r="B720">
        <v>9400010313</v>
      </c>
      <c r="C720" s="10">
        <v>46172</v>
      </c>
      <c r="D720" t="s">
        <v>2032</v>
      </c>
      <c r="E720" s="11">
        <v>18853923</v>
      </c>
      <c r="F720" t="s">
        <v>1189</v>
      </c>
      <c r="G720" t="s">
        <v>1190</v>
      </c>
      <c r="H720" s="10">
        <v>46186</v>
      </c>
      <c r="I720">
        <v>229222.08</v>
      </c>
      <c r="J720">
        <v>0</v>
      </c>
      <c r="K720">
        <v>229222.08</v>
      </c>
    </row>
    <row r="721" spans="1:11" x14ac:dyDescent="0.35">
      <c r="A721">
        <v>5200000300</v>
      </c>
      <c r="B721">
        <v>9400010312</v>
      </c>
      <c r="C721" s="10">
        <v>46172</v>
      </c>
      <c r="D721" t="s">
        <v>2032</v>
      </c>
      <c r="E721" s="11">
        <v>18853638</v>
      </c>
      <c r="F721" t="s">
        <v>787</v>
      </c>
      <c r="G721" t="s">
        <v>788</v>
      </c>
      <c r="H721" s="10">
        <v>46186</v>
      </c>
      <c r="I721">
        <v>1176083.58</v>
      </c>
      <c r="J721">
        <v>0</v>
      </c>
      <c r="K721">
        <v>1176083.58</v>
      </c>
    </row>
    <row r="722" spans="1:11" x14ac:dyDescent="0.35">
      <c r="A722">
        <v>2730000472</v>
      </c>
      <c r="B722">
        <v>9400010311</v>
      </c>
      <c r="C722" s="10">
        <v>46172</v>
      </c>
      <c r="D722" t="s">
        <v>2032</v>
      </c>
      <c r="E722" s="11">
        <v>18854936</v>
      </c>
      <c r="F722" t="s">
        <v>499</v>
      </c>
      <c r="G722" t="s">
        <v>500</v>
      </c>
      <c r="H722" s="10">
        <v>46186</v>
      </c>
      <c r="I722">
        <v>240819.5</v>
      </c>
      <c r="J722">
        <v>0</v>
      </c>
      <c r="K722">
        <v>240819.5</v>
      </c>
    </row>
    <row r="723" spans="1:11" x14ac:dyDescent="0.35">
      <c r="A723">
        <v>2720000332</v>
      </c>
      <c r="B723">
        <v>9400010310</v>
      </c>
      <c r="C723" s="10">
        <v>46172</v>
      </c>
      <c r="D723" t="s">
        <v>2032</v>
      </c>
      <c r="E723" s="11">
        <v>18854759</v>
      </c>
      <c r="F723" t="s">
        <v>227</v>
      </c>
      <c r="G723" t="s">
        <v>228</v>
      </c>
      <c r="H723" s="10">
        <v>46217</v>
      </c>
      <c r="I723">
        <v>92521.44</v>
      </c>
      <c r="J723">
        <v>0</v>
      </c>
      <c r="K723">
        <v>92521.44</v>
      </c>
    </row>
    <row r="724" spans="1:11" x14ac:dyDescent="0.35">
      <c r="A724">
        <v>3000000802</v>
      </c>
      <c r="B724">
        <v>9400010309</v>
      </c>
      <c r="C724" s="10">
        <v>46172</v>
      </c>
      <c r="D724" t="s">
        <v>2032</v>
      </c>
      <c r="E724" s="11">
        <v>18854367</v>
      </c>
      <c r="F724" t="s">
        <v>933</v>
      </c>
      <c r="G724" t="s">
        <v>934</v>
      </c>
      <c r="H724" s="10">
        <v>46217</v>
      </c>
      <c r="I724">
        <v>10280.16</v>
      </c>
      <c r="J724">
        <v>0</v>
      </c>
      <c r="K724">
        <v>10280.16</v>
      </c>
    </row>
    <row r="725" spans="1:11" x14ac:dyDescent="0.35">
      <c r="A725">
        <v>2300000438</v>
      </c>
      <c r="B725">
        <v>9400010308</v>
      </c>
      <c r="C725" s="10">
        <v>46172</v>
      </c>
      <c r="D725" t="s">
        <v>2032</v>
      </c>
      <c r="E725" s="11">
        <v>18854858</v>
      </c>
      <c r="F725" t="s">
        <v>751</v>
      </c>
      <c r="G725" t="s">
        <v>752</v>
      </c>
      <c r="H725" s="10">
        <v>46186</v>
      </c>
      <c r="I725">
        <v>105264.68</v>
      </c>
      <c r="J725">
        <v>0</v>
      </c>
      <c r="K725">
        <v>105264.68</v>
      </c>
    </row>
    <row r="726" spans="1:11" x14ac:dyDescent="0.35">
      <c r="A726">
        <v>2720000331</v>
      </c>
      <c r="B726">
        <v>9400010306</v>
      </c>
      <c r="C726" s="10">
        <v>46172</v>
      </c>
      <c r="D726" t="s">
        <v>2032</v>
      </c>
      <c r="E726" s="11">
        <v>18854759</v>
      </c>
      <c r="F726" t="s">
        <v>227</v>
      </c>
      <c r="G726" t="s">
        <v>228</v>
      </c>
      <c r="H726" s="10">
        <v>46186</v>
      </c>
      <c r="I726">
        <v>98836.800000000003</v>
      </c>
      <c r="J726">
        <v>0</v>
      </c>
      <c r="K726">
        <v>98836.800000000003</v>
      </c>
    </row>
    <row r="727" spans="1:11" x14ac:dyDescent="0.35">
      <c r="A727">
        <v>3000000801</v>
      </c>
      <c r="B727">
        <v>9400010302</v>
      </c>
      <c r="C727" s="10">
        <v>46172</v>
      </c>
      <c r="D727" t="s">
        <v>2032</v>
      </c>
      <c r="E727" s="11">
        <v>18854251</v>
      </c>
      <c r="F727" t="s">
        <v>511</v>
      </c>
      <c r="G727" t="s">
        <v>512</v>
      </c>
      <c r="H727" s="10">
        <v>46217</v>
      </c>
      <c r="I727">
        <v>9961.84</v>
      </c>
      <c r="J727">
        <v>0</v>
      </c>
      <c r="K727">
        <v>9961.84</v>
      </c>
    </row>
    <row r="728" spans="1:11" x14ac:dyDescent="0.35">
      <c r="A728">
        <v>5200000299</v>
      </c>
      <c r="B728">
        <v>9400010301</v>
      </c>
      <c r="C728" s="10">
        <v>46172</v>
      </c>
      <c r="D728" t="s">
        <v>2032</v>
      </c>
      <c r="E728" s="11">
        <v>18822625</v>
      </c>
      <c r="F728" t="s">
        <v>901</v>
      </c>
      <c r="G728" t="s">
        <v>902</v>
      </c>
      <c r="H728" s="10">
        <v>46186</v>
      </c>
      <c r="I728">
        <v>147547.20000000001</v>
      </c>
      <c r="J728">
        <v>0</v>
      </c>
      <c r="K728">
        <v>147547.20000000001</v>
      </c>
    </row>
    <row r="729" spans="1:11" x14ac:dyDescent="0.35">
      <c r="A729">
        <v>3000000800</v>
      </c>
      <c r="B729">
        <v>9400010300</v>
      </c>
      <c r="C729" s="10">
        <v>46172</v>
      </c>
      <c r="D729" t="s">
        <v>2032</v>
      </c>
      <c r="E729" s="11">
        <v>18854251</v>
      </c>
      <c r="F729" t="s">
        <v>511</v>
      </c>
      <c r="G729" t="s">
        <v>512</v>
      </c>
      <c r="H729" s="10">
        <v>46187</v>
      </c>
      <c r="I729">
        <v>55535.519999999997</v>
      </c>
      <c r="J729">
        <v>0</v>
      </c>
      <c r="K729">
        <v>55535.519999999997</v>
      </c>
    </row>
    <row r="730" spans="1:11" x14ac:dyDescent="0.35">
      <c r="A730">
        <v>9300000514</v>
      </c>
      <c r="B730">
        <v>9400010299</v>
      </c>
      <c r="C730" s="10">
        <v>46172</v>
      </c>
      <c r="D730" t="s">
        <v>2032</v>
      </c>
      <c r="E730" s="11">
        <v>18852948</v>
      </c>
      <c r="F730" t="s">
        <v>1213</v>
      </c>
      <c r="G730" t="s">
        <v>1214</v>
      </c>
      <c r="H730" s="10">
        <v>46217</v>
      </c>
      <c r="I730">
        <v>25325.5</v>
      </c>
      <c r="J730">
        <v>0</v>
      </c>
      <c r="K730">
        <v>25325.5</v>
      </c>
    </row>
    <row r="731" spans="1:11" x14ac:dyDescent="0.35">
      <c r="A731">
        <v>9100000897</v>
      </c>
      <c r="B731">
        <v>9400010295</v>
      </c>
      <c r="C731" s="10">
        <v>46172</v>
      </c>
      <c r="D731" t="s">
        <v>2032</v>
      </c>
      <c r="E731" s="11">
        <v>18854661</v>
      </c>
      <c r="F731" t="s">
        <v>345</v>
      </c>
      <c r="G731" t="s">
        <v>346</v>
      </c>
      <c r="H731" s="10">
        <v>46217</v>
      </c>
      <c r="I731">
        <v>127947.85</v>
      </c>
      <c r="J731">
        <v>0</v>
      </c>
      <c r="K731">
        <v>127947.85</v>
      </c>
    </row>
    <row r="732" spans="1:11" x14ac:dyDescent="0.35">
      <c r="A732">
        <v>2720000330</v>
      </c>
      <c r="B732">
        <v>9400010294</v>
      </c>
      <c r="C732" s="10">
        <v>46172</v>
      </c>
      <c r="D732" t="s">
        <v>2032</v>
      </c>
      <c r="E732" s="11">
        <v>11</v>
      </c>
      <c r="F732" t="s">
        <v>1057</v>
      </c>
      <c r="G732" t="s">
        <v>1058</v>
      </c>
      <c r="H732" s="10">
        <v>46172</v>
      </c>
      <c r="I732">
        <v>117.62</v>
      </c>
      <c r="J732">
        <v>0</v>
      </c>
      <c r="K732">
        <v>117.62</v>
      </c>
    </row>
    <row r="733" spans="1:11" x14ac:dyDescent="0.35">
      <c r="A733">
        <v>9100000896</v>
      </c>
      <c r="B733">
        <v>9400010287</v>
      </c>
      <c r="C733" s="10">
        <v>46172</v>
      </c>
      <c r="D733" t="s">
        <v>2032</v>
      </c>
      <c r="E733" s="11">
        <v>18854661</v>
      </c>
      <c r="F733" t="s">
        <v>345</v>
      </c>
      <c r="G733" t="s">
        <v>346</v>
      </c>
      <c r="H733" s="10">
        <v>46186</v>
      </c>
      <c r="I733">
        <v>101767.92</v>
      </c>
      <c r="J733">
        <v>0</v>
      </c>
      <c r="K733">
        <v>101767.92</v>
      </c>
    </row>
    <row r="734" spans="1:11" x14ac:dyDescent="0.35">
      <c r="A734">
        <v>5100000621</v>
      </c>
      <c r="B734">
        <v>9400010286</v>
      </c>
      <c r="C734" s="10">
        <v>46172</v>
      </c>
      <c r="D734" t="s">
        <v>2032</v>
      </c>
      <c r="E734" s="12">
        <v>187101481879817</v>
      </c>
      <c r="F734" t="s">
        <v>379</v>
      </c>
      <c r="G734" t="s">
        <v>380</v>
      </c>
      <c r="H734" s="10">
        <v>46217</v>
      </c>
      <c r="I734">
        <v>113081.76</v>
      </c>
      <c r="J734">
        <v>0</v>
      </c>
      <c r="K734">
        <v>113081.76</v>
      </c>
    </row>
    <row r="735" spans="1:11" x14ac:dyDescent="0.35">
      <c r="A735">
        <v>2300000436</v>
      </c>
      <c r="B735">
        <v>9400010285</v>
      </c>
      <c r="C735" s="10">
        <v>46172</v>
      </c>
      <c r="D735" t="s">
        <v>2032</v>
      </c>
      <c r="E735" s="11">
        <v>18853892</v>
      </c>
      <c r="F735" t="s">
        <v>583</v>
      </c>
      <c r="G735" t="s">
        <v>584</v>
      </c>
      <c r="H735" s="10">
        <v>46217</v>
      </c>
      <c r="I735">
        <v>185739.9</v>
      </c>
      <c r="J735">
        <v>0</v>
      </c>
      <c r="K735">
        <v>185739.9</v>
      </c>
    </row>
    <row r="736" spans="1:11" x14ac:dyDescent="0.35">
      <c r="A736">
        <v>5100000620</v>
      </c>
      <c r="B736">
        <v>9400010283</v>
      </c>
      <c r="C736" s="10">
        <v>46172</v>
      </c>
      <c r="D736" t="s">
        <v>2032</v>
      </c>
      <c r="E736" s="11">
        <v>18853574</v>
      </c>
      <c r="F736" t="s">
        <v>1245</v>
      </c>
      <c r="G736" t="s">
        <v>1246</v>
      </c>
      <c r="H736" s="10">
        <v>46217</v>
      </c>
      <c r="I736">
        <v>33139.08</v>
      </c>
      <c r="J736">
        <v>0</v>
      </c>
      <c r="K736">
        <v>33139.08</v>
      </c>
    </row>
    <row r="737" spans="1:11" x14ac:dyDescent="0.35">
      <c r="A737">
        <v>9100000895</v>
      </c>
      <c r="B737">
        <v>9400010277</v>
      </c>
      <c r="C737" s="10">
        <v>46172</v>
      </c>
      <c r="D737" t="s">
        <v>2032</v>
      </c>
      <c r="E737" s="11">
        <v>18854857</v>
      </c>
      <c r="F737" t="s">
        <v>495</v>
      </c>
      <c r="G737" t="s">
        <v>496</v>
      </c>
      <c r="H737" s="10">
        <v>46217</v>
      </c>
      <c r="I737">
        <v>84854.080000000002</v>
      </c>
      <c r="J737">
        <v>0</v>
      </c>
      <c r="K737">
        <v>84854.080000000002</v>
      </c>
    </row>
    <row r="738" spans="1:11" x14ac:dyDescent="0.35">
      <c r="A738">
        <v>2000000177</v>
      </c>
      <c r="B738">
        <v>9400010272</v>
      </c>
      <c r="C738" s="10">
        <v>46172</v>
      </c>
      <c r="D738" t="s">
        <v>2032</v>
      </c>
      <c r="E738" s="11">
        <v>18854899</v>
      </c>
      <c r="F738" t="s">
        <v>961</v>
      </c>
      <c r="G738" t="s">
        <v>962</v>
      </c>
      <c r="H738" s="10">
        <v>46187</v>
      </c>
      <c r="I738">
        <v>231343.96</v>
      </c>
      <c r="J738">
        <v>0</v>
      </c>
      <c r="K738">
        <v>231343.96</v>
      </c>
    </row>
    <row r="739" spans="1:11" x14ac:dyDescent="0.35">
      <c r="A739">
        <v>9100000893</v>
      </c>
      <c r="B739">
        <v>9400010269</v>
      </c>
      <c r="C739" s="10">
        <v>46172</v>
      </c>
      <c r="D739" t="s">
        <v>2032</v>
      </c>
      <c r="E739" s="11">
        <v>18854857</v>
      </c>
      <c r="F739" t="s">
        <v>495</v>
      </c>
      <c r="G739" t="s">
        <v>496</v>
      </c>
      <c r="H739" s="10">
        <v>46186</v>
      </c>
      <c r="I739">
        <v>72831.960000000006</v>
      </c>
      <c r="J739">
        <v>0</v>
      </c>
      <c r="K739">
        <v>72831.960000000006</v>
      </c>
    </row>
    <row r="740" spans="1:11" x14ac:dyDescent="0.35">
      <c r="A740">
        <v>3000000797</v>
      </c>
      <c r="B740">
        <v>9400010266</v>
      </c>
      <c r="C740" s="10">
        <v>46172</v>
      </c>
      <c r="D740" t="s">
        <v>2032</v>
      </c>
      <c r="E740" s="11">
        <v>18854177</v>
      </c>
      <c r="F740" t="s">
        <v>783</v>
      </c>
      <c r="G740" t="s">
        <v>784</v>
      </c>
      <c r="H740" s="10">
        <v>46217</v>
      </c>
      <c r="I740">
        <v>42480.06</v>
      </c>
      <c r="J740">
        <v>0</v>
      </c>
      <c r="K740">
        <v>42480.06</v>
      </c>
    </row>
    <row r="741" spans="1:11" x14ac:dyDescent="0.35">
      <c r="A741">
        <v>2710000719</v>
      </c>
      <c r="B741">
        <v>9400010258</v>
      </c>
      <c r="C741" s="10">
        <v>46172</v>
      </c>
      <c r="D741" t="s">
        <v>2032</v>
      </c>
      <c r="E741" s="11">
        <v>18853781</v>
      </c>
      <c r="F741" t="s">
        <v>150</v>
      </c>
      <c r="G741" t="s">
        <v>151</v>
      </c>
      <c r="H741" s="10">
        <v>46217</v>
      </c>
      <c r="I741">
        <v>4369.78</v>
      </c>
      <c r="J741">
        <v>0</v>
      </c>
      <c r="K741">
        <v>4369.78</v>
      </c>
    </row>
    <row r="742" spans="1:11" x14ac:dyDescent="0.35">
      <c r="A742">
        <v>2710000718</v>
      </c>
      <c r="B742">
        <v>9400010256</v>
      </c>
      <c r="C742" s="10">
        <v>46172</v>
      </c>
      <c r="D742" t="s">
        <v>2032</v>
      </c>
      <c r="E742" s="11">
        <v>18853781</v>
      </c>
      <c r="F742" t="s">
        <v>150</v>
      </c>
      <c r="G742" t="s">
        <v>151</v>
      </c>
      <c r="H742" s="10">
        <v>46186</v>
      </c>
      <c r="I742">
        <v>145893.29999999999</v>
      </c>
      <c r="J742">
        <v>0</v>
      </c>
      <c r="K742">
        <v>145893.29999999999</v>
      </c>
    </row>
    <row r="743" spans="1:11" x14ac:dyDescent="0.35">
      <c r="A743">
        <v>2710000717</v>
      </c>
      <c r="B743">
        <v>9400010254</v>
      </c>
      <c r="C743" s="10">
        <v>46172</v>
      </c>
      <c r="D743" t="s">
        <v>2032</v>
      </c>
      <c r="E743" s="11">
        <v>18853777</v>
      </c>
      <c r="F743" t="s">
        <v>138</v>
      </c>
      <c r="G743" t="s">
        <v>139</v>
      </c>
      <c r="H743" s="10">
        <v>46186</v>
      </c>
      <c r="I743">
        <v>45276.6</v>
      </c>
      <c r="J743">
        <v>0</v>
      </c>
      <c r="K743">
        <v>45276.6</v>
      </c>
    </row>
    <row r="744" spans="1:11" x14ac:dyDescent="0.35">
      <c r="A744">
        <v>2710000715</v>
      </c>
      <c r="B744">
        <v>9400010252</v>
      </c>
      <c r="C744" s="10">
        <v>46172</v>
      </c>
      <c r="D744" t="s">
        <v>2032</v>
      </c>
      <c r="E744" s="11">
        <v>18853294</v>
      </c>
      <c r="F744" t="s">
        <v>72</v>
      </c>
      <c r="G744" t="s">
        <v>73</v>
      </c>
      <c r="H744" s="10">
        <v>46217</v>
      </c>
      <c r="I744">
        <v>11993.38</v>
      </c>
      <c r="J744">
        <v>0</v>
      </c>
      <c r="K744">
        <v>11993.38</v>
      </c>
    </row>
    <row r="745" spans="1:11" x14ac:dyDescent="0.35">
      <c r="A745">
        <v>2710000714</v>
      </c>
      <c r="B745">
        <v>9400010251</v>
      </c>
      <c r="C745" s="10">
        <v>46172</v>
      </c>
      <c r="D745" t="s">
        <v>2032</v>
      </c>
      <c r="E745" s="11">
        <v>18853294</v>
      </c>
      <c r="F745" t="s">
        <v>72</v>
      </c>
      <c r="G745" t="s">
        <v>73</v>
      </c>
      <c r="H745" s="10">
        <v>46186</v>
      </c>
      <c r="I745">
        <v>31661.759999999998</v>
      </c>
      <c r="J745">
        <v>0</v>
      </c>
      <c r="K745">
        <v>31661.759999999998</v>
      </c>
    </row>
    <row r="746" spans="1:11" x14ac:dyDescent="0.35">
      <c r="A746">
        <v>2710000713</v>
      </c>
      <c r="B746">
        <v>9400010250</v>
      </c>
      <c r="C746" s="10">
        <v>46172</v>
      </c>
      <c r="D746" t="s">
        <v>2032</v>
      </c>
      <c r="E746" s="11">
        <v>18853283</v>
      </c>
      <c r="F746" t="s">
        <v>757</v>
      </c>
      <c r="G746" t="s">
        <v>758</v>
      </c>
      <c r="H746" s="10">
        <v>46186</v>
      </c>
      <c r="I746">
        <v>442590.05</v>
      </c>
      <c r="J746">
        <v>0</v>
      </c>
      <c r="K746">
        <v>442590.05</v>
      </c>
    </row>
    <row r="747" spans="1:11" x14ac:dyDescent="0.35">
      <c r="A747">
        <v>5100000618</v>
      </c>
      <c r="B747">
        <v>9400010249</v>
      </c>
      <c r="C747" s="10">
        <v>46172</v>
      </c>
      <c r="D747" t="s">
        <v>2032</v>
      </c>
      <c r="E747" s="11">
        <v>18667477</v>
      </c>
      <c r="F747" t="s">
        <v>3531</v>
      </c>
      <c r="G747" t="s">
        <v>3532</v>
      </c>
      <c r="H747" s="10">
        <v>46217</v>
      </c>
      <c r="I747">
        <v>115418.16</v>
      </c>
      <c r="J747">
        <v>0</v>
      </c>
      <c r="K747">
        <v>115418.16</v>
      </c>
    </row>
    <row r="748" spans="1:11" x14ac:dyDescent="0.35">
      <c r="A748">
        <v>5100000617</v>
      </c>
      <c r="B748">
        <v>9400010248</v>
      </c>
      <c r="C748" s="10">
        <v>46172</v>
      </c>
      <c r="D748" t="s">
        <v>2032</v>
      </c>
      <c r="E748" s="11">
        <v>18853570</v>
      </c>
      <c r="F748" t="s">
        <v>1245</v>
      </c>
      <c r="G748" t="s">
        <v>1246</v>
      </c>
      <c r="H748" s="10">
        <v>46217</v>
      </c>
      <c r="I748">
        <v>342664.92</v>
      </c>
      <c r="J748">
        <v>0</v>
      </c>
      <c r="K748">
        <v>342664.92</v>
      </c>
    </row>
    <row r="749" spans="1:11" x14ac:dyDescent="0.35">
      <c r="A749">
        <v>5200000298</v>
      </c>
      <c r="B749">
        <v>9400010247</v>
      </c>
      <c r="C749" s="10">
        <v>46172</v>
      </c>
      <c r="D749" t="s">
        <v>2032</v>
      </c>
      <c r="E749" s="11">
        <v>18854062</v>
      </c>
      <c r="F749" t="s">
        <v>170</v>
      </c>
      <c r="G749" t="s">
        <v>171</v>
      </c>
      <c r="H749" s="10">
        <v>46186</v>
      </c>
      <c r="I749">
        <v>299172.47999999998</v>
      </c>
      <c r="J749">
        <v>0</v>
      </c>
      <c r="K749">
        <v>299172.47999999998</v>
      </c>
    </row>
    <row r="750" spans="1:11" x14ac:dyDescent="0.35">
      <c r="A750">
        <v>3000000795</v>
      </c>
      <c r="B750">
        <v>9400010242</v>
      </c>
      <c r="C750" s="10">
        <v>46172</v>
      </c>
      <c r="D750" t="s">
        <v>2032</v>
      </c>
      <c r="E750" s="11">
        <v>18853959</v>
      </c>
      <c r="F750" t="s">
        <v>3577</v>
      </c>
      <c r="G750" t="s">
        <v>3578</v>
      </c>
      <c r="H750" s="10">
        <v>46172</v>
      </c>
      <c r="I750">
        <v>15977.62</v>
      </c>
      <c r="J750">
        <v>15688.77</v>
      </c>
      <c r="K750">
        <v>288.85000000000036</v>
      </c>
    </row>
    <row r="751" spans="1:11" x14ac:dyDescent="0.35">
      <c r="A751">
        <v>5200000297</v>
      </c>
      <c r="B751">
        <v>9400010240</v>
      </c>
      <c r="C751" s="10">
        <v>46172</v>
      </c>
      <c r="D751" t="s">
        <v>2032</v>
      </c>
      <c r="E751" s="11">
        <v>18854278</v>
      </c>
      <c r="F751" t="s">
        <v>1177</v>
      </c>
      <c r="G751" t="s">
        <v>1178</v>
      </c>
      <c r="H751" s="10">
        <v>46217</v>
      </c>
      <c r="I751">
        <v>54378.98</v>
      </c>
      <c r="J751">
        <v>0</v>
      </c>
      <c r="K751">
        <v>54378.98</v>
      </c>
    </row>
    <row r="752" spans="1:11" x14ac:dyDescent="0.35">
      <c r="A752">
        <v>9200000633</v>
      </c>
      <c r="B752">
        <v>9400010233</v>
      </c>
      <c r="C752" s="10">
        <v>46172</v>
      </c>
      <c r="D752" t="s">
        <v>2032</v>
      </c>
      <c r="E752" s="11">
        <v>18822543</v>
      </c>
      <c r="F752" t="s">
        <v>3593</v>
      </c>
      <c r="G752" t="s">
        <v>3594</v>
      </c>
      <c r="H752" s="10">
        <v>46172</v>
      </c>
      <c r="I752">
        <v>37927.760000000002</v>
      </c>
      <c r="J752">
        <v>37775.800000000003</v>
      </c>
      <c r="K752">
        <v>151.95999999999913</v>
      </c>
    </row>
    <row r="753" spans="1:11" x14ac:dyDescent="0.35">
      <c r="A753">
        <v>9100000888</v>
      </c>
      <c r="B753">
        <v>9400010228</v>
      </c>
      <c r="C753" s="10">
        <v>46172</v>
      </c>
      <c r="D753" t="s">
        <v>2032</v>
      </c>
      <c r="E753" s="11">
        <v>18821894</v>
      </c>
      <c r="F753" t="s">
        <v>375</v>
      </c>
      <c r="G753" t="s">
        <v>376</v>
      </c>
      <c r="H753" s="10">
        <v>46186</v>
      </c>
      <c r="I753">
        <v>77868.679999999993</v>
      </c>
      <c r="J753">
        <v>0</v>
      </c>
      <c r="K753">
        <v>77868.679999999993</v>
      </c>
    </row>
    <row r="754" spans="1:11" x14ac:dyDescent="0.35">
      <c r="A754">
        <v>2000000176</v>
      </c>
      <c r="B754">
        <v>9400010226</v>
      </c>
      <c r="C754" s="10">
        <v>46172</v>
      </c>
      <c r="D754" t="s">
        <v>2032</v>
      </c>
      <c r="E754" s="11">
        <v>18853027</v>
      </c>
      <c r="F754" t="s">
        <v>34</v>
      </c>
      <c r="G754" t="s">
        <v>35</v>
      </c>
      <c r="H754" s="10">
        <v>46217</v>
      </c>
      <c r="I754">
        <v>27411.85</v>
      </c>
      <c r="J754">
        <v>0</v>
      </c>
      <c r="K754">
        <v>27411.85</v>
      </c>
    </row>
    <row r="755" spans="1:11" x14ac:dyDescent="0.35">
      <c r="A755">
        <v>5200000296</v>
      </c>
      <c r="B755">
        <v>9400010224</v>
      </c>
      <c r="C755" s="10">
        <v>46172</v>
      </c>
      <c r="D755" t="s">
        <v>2032</v>
      </c>
      <c r="E755" s="11">
        <v>18854305</v>
      </c>
      <c r="F755" t="s">
        <v>1177</v>
      </c>
      <c r="G755" t="s">
        <v>1178</v>
      </c>
      <c r="H755" s="10">
        <v>46186</v>
      </c>
      <c r="I755">
        <v>72031.92</v>
      </c>
      <c r="J755">
        <v>0</v>
      </c>
      <c r="K755">
        <v>72031.92</v>
      </c>
    </row>
    <row r="756" spans="1:11" x14ac:dyDescent="0.35">
      <c r="A756">
        <v>2730000471</v>
      </c>
      <c r="B756">
        <v>9400010223</v>
      </c>
      <c r="C756" s="10">
        <v>46172</v>
      </c>
      <c r="D756" t="s">
        <v>2032</v>
      </c>
      <c r="E756" s="11">
        <v>18854593</v>
      </c>
      <c r="F756" t="s">
        <v>681</v>
      </c>
      <c r="G756" t="s">
        <v>682</v>
      </c>
      <c r="H756" s="10">
        <v>46186</v>
      </c>
      <c r="I756">
        <v>199831.58</v>
      </c>
      <c r="J756">
        <v>0</v>
      </c>
      <c r="K756">
        <v>199831.58</v>
      </c>
    </row>
    <row r="757" spans="1:11" x14ac:dyDescent="0.35">
      <c r="A757">
        <v>5100000615</v>
      </c>
      <c r="B757">
        <v>9400010220</v>
      </c>
      <c r="C757" s="10">
        <v>46172</v>
      </c>
      <c r="D757" t="s">
        <v>2032</v>
      </c>
      <c r="E757" s="11">
        <v>18822538</v>
      </c>
      <c r="F757" t="s">
        <v>3524</v>
      </c>
      <c r="G757" t="s">
        <v>3525</v>
      </c>
      <c r="H757" s="10">
        <v>46217</v>
      </c>
      <c r="I757">
        <v>34567.26</v>
      </c>
      <c r="J757">
        <v>0</v>
      </c>
      <c r="K757">
        <v>34567.26</v>
      </c>
    </row>
    <row r="758" spans="1:11" x14ac:dyDescent="0.35">
      <c r="A758">
        <v>9200000632</v>
      </c>
      <c r="B758">
        <v>9400010217</v>
      </c>
      <c r="C758" s="10">
        <v>46172</v>
      </c>
      <c r="D758" t="s">
        <v>2032</v>
      </c>
      <c r="E758" s="11">
        <v>18853175</v>
      </c>
      <c r="F758" t="s">
        <v>439</v>
      </c>
      <c r="G758" t="s">
        <v>440</v>
      </c>
      <c r="H758" s="10">
        <v>46217</v>
      </c>
      <c r="I758">
        <v>40021</v>
      </c>
      <c r="J758">
        <v>0</v>
      </c>
      <c r="K758">
        <v>40021</v>
      </c>
    </row>
    <row r="759" spans="1:11" x14ac:dyDescent="0.35">
      <c r="A759">
        <v>2300000435</v>
      </c>
      <c r="B759">
        <v>9400010216</v>
      </c>
      <c r="C759" s="10">
        <v>46172</v>
      </c>
      <c r="D759" t="s">
        <v>2032</v>
      </c>
      <c r="E759" s="11">
        <v>18854587</v>
      </c>
      <c r="F759" t="s">
        <v>631</v>
      </c>
      <c r="G759" t="s">
        <v>632</v>
      </c>
      <c r="H759" s="10">
        <v>46217</v>
      </c>
      <c r="I759">
        <v>22374.22</v>
      </c>
      <c r="J759">
        <v>0</v>
      </c>
      <c r="K759">
        <v>22374.22</v>
      </c>
    </row>
    <row r="760" spans="1:11" x14ac:dyDescent="0.35">
      <c r="A760">
        <v>9100000885</v>
      </c>
      <c r="B760">
        <v>9400010214</v>
      </c>
      <c r="C760" s="10">
        <v>46172</v>
      </c>
      <c r="D760" t="s">
        <v>2032</v>
      </c>
      <c r="E760" s="11">
        <v>18854502</v>
      </c>
      <c r="F760" t="s">
        <v>489</v>
      </c>
      <c r="G760" t="s">
        <v>490</v>
      </c>
      <c r="H760" s="10">
        <v>46186</v>
      </c>
      <c r="I760">
        <v>23045.4</v>
      </c>
      <c r="J760">
        <v>0</v>
      </c>
      <c r="K760">
        <v>23045.4</v>
      </c>
    </row>
    <row r="761" spans="1:11" x14ac:dyDescent="0.35">
      <c r="A761">
        <v>2300000434</v>
      </c>
      <c r="B761">
        <v>9400010213</v>
      </c>
      <c r="C761" s="10">
        <v>46172</v>
      </c>
      <c r="D761" t="s">
        <v>2032</v>
      </c>
      <c r="E761" s="11">
        <v>18854587</v>
      </c>
      <c r="F761" t="s">
        <v>631</v>
      </c>
      <c r="G761" t="s">
        <v>632</v>
      </c>
      <c r="H761" s="10">
        <v>46186</v>
      </c>
      <c r="I761">
        <v>32464.26</v>
      </c>
      <c r="J761">
        <v>0</v>
      </c>
      <c r="K761">
        <v>32464.26</v>
      </c>
    </row>
    <row r="762" spans="1:11" x14ac:dyDescent="0.35">
      <c r="A762">
        <v>8000000554</v>
      </c>
      <c r="B762">
        <v>9400010211</v>
      </c>
      <c r="C762" s="10">
        <v>46172</v>
      </c>
      <c r="D762" t="s">
        <v>2032</v>
      </c>
      <c r="E762" s="11">
        <v>18854689</v>
      </c>
      <c r="F762" t="s">
        <v>255</v>
      </c>
      <c r="G762" t="s">
        <v>256</v>
      </c>
      <c r="H762" s="10">
        <v>46217</v>
      </c>
      <c r="I762">
        <v>22374.22</v>
      </c>
      <c r="J762">
        <v>0</v>
      </c>
      <c r="K762">
        <v>22374.22</v>
      </c>
    </row>
    <row r="763" spans="1:11" x14ac:dyDescent="0.35">
      <c r="A763">
        <v>9300000510</v>
      </c>
      <c r="B763">
        <v>9400010209</v>
      </c>
      <c r="C763" s="10">
        <v>46172</v>
      </c>
      <c r="D763" t="s">
        <v>2032</v>
      </c>
      <c r="E763" s="11">
        <v>18822652</v>
      </c>
      <c r="F763" t="s">
        <v>695</v>
      </c>
      <c r="G763" t="s">
        <v>696</v>
      </c>
      <c r="H763" s="10">
        <v>46217</v>
      </c>
      <c r="I763">
        <v>82623.600000000006</v>
      </c>
      <c r="J763">
        <v>0</v>
      </c>
      <c r="K763">
        <v>82623.600000000006</v>
      </c>
    </row>
    <row r="764" spans="1:11" x14ac:dyDescent="0.35">
      <c r="A764">
        <v>8000000553</v>
      </c>
      <c r="B764">
        <v>9400010206</v>
      </c>
      <c r="C764" s="10">
        <v>46172</v>
      </c>
      <c r="D764" t="s">
        <v>2032</v>
      </c>
      <c r="E764" s="11">
        <v>18854294</v>
      </c>
      <c r="F764" t="s">
        <v>403</v>
      </c>
      <c r="G764" t="s">
        <v>404</v>
      </c>
      <c r="H764" s="10">
        <v>46186</v>
      </c>
      <c r="I764">
        <v>85243.199999999997</v>
      </c>
      <c r="J764">
        <v>0</v>
      </c>
      <c r="K764">
        <v>85243.199999999997</v>
      </c>
    </row>
    <row r="765" spans="1:11" x14ac:dyDescent="0.35">
      <c r="A765">
        <v>9100000884</v>
      </c>
      <c r="B765">
        <v>9400010205</v>
      </c>
      <c r="C765" s="10">
        <v>46172</v>
      </c>
      <c r="D765" t="s">
        <v>2032</v>
      </c>
      <c r="E765" s="11">
        <v>18854415</v>
      </c>
      <c r="F765" t="s">
        <v>515</v>
      </c>
      <c r="G765" t="s">
        <v>516</v>
      </c>
      <c r="H765" s="10">
        <v>46186</v>
      </c>
      <c r="I765">
        <v>211926.12</v>
      </c>
      <c r="J765">
        <v>0</v>
      </c>
      <c r="K765">
        <v>211926.12</v>
      </c>
    </row>
    <row r="766" spans="1:11" x14ac:dyDescent="0.35">
      <c r="A766">
        <v>8000000552</v>
      </c>
      <c r="B766">
        <v>9400010203</v>
      </c>
      <c r="C766" s="10">
        <v>46172</v>
      </c>
      <c r="D766" t="s">
        <v>2032</v>
      </c>
      <c r="E766" s="11">
        <v>18854399</v>
      </c>
      <c r="F766" t="s">
        <v>743</v>
      </c>
      <c r="G766" t="s">
        <v>744</v>
      </c>
      <c r="H766" s="10">
        <v>46186</v>
      </c>
      <c r="I766">
        <v>203904</v>
      </c>
      <c r="J766">
        <v>0</v>
      </c>
      <c r="K766">
        <v>203904</v>
      </c>
    </row>
    <row r="767" spans="1:11" x14ac:dyDescent="0.35">
      <c r="A767">
        <v>2730000470</v>
      </c>
      <c r="B767">
        <v>9400010202</v>
      </c>
      <c r="C767" s="10">
        <v>46172</v>
      </c>
      <c r="D767" t="s">
        <v>2032</v>
      </c>
      <c r="E767" s="11">
        <v>18854513</v>
      </c>
      <c r="F767" t="s">
        <v>3595</v>
      </c>
      <c r="G767" t="s">
        <v>3596</v>
      </c>
      <c r="H767" s="10">
        <v>46186</v>
      </c>
      <c r="I767">
        <v>120270.8</v>
      </c>
      <c r="J767">
        <v>0</v>
      </c>
      <c r="K767">
        <v>120270.8</v>
      </c>
    </row>
    <row r="768" spans="1:11" x14ac:dyDescent="0.35">
      <c r="A768">
        <v>8000000551</v>
      </c>
      <c r="B768">
        <v>9400010201</v>
      </c>
      <c r="C768" s="10">
        <v>46172</v>
      </c>
      <c r="D768" t="s">
        <v>2032</v>
      </c>
      <c r="E768" s="11">
        <v>18854414</v>
      </c>
      <c r="F768" t="s">
        <v>202</v>
      </c>
      <c r="G768" t="s">
        <v>203</v>
      </c>
      <c r="H768" s="10">
        <v>46186</v>
      </c>
      <c r="I768">
        <v>150096</v>
      </c>
      <c r="J768">
        <v>0</v>
      </c>
      <c r="K768">
        <v>150096</v>
      </c>
    </row>
    <row r="769" spans="1:11" x14ac:dyDescent="0.35">
      <c r="A769">
        <v>9300000508</v>
      </c>
      <c r="B769">
        <v>9400010199</v>
      </c>
      <c r="C769" s="10">
        <v>46172</v>
      </c>
      <c r="D769" t="s">
        <v>2032</v>
      </c>
      <c r="E769" s="11">
        <v>18822652</v>
      </c>
      <c r="F769" t="s">
        <v>695</v>
      </c>
      <c r="G769" t="s">
        <v>696</v>
      </c>
      <c r="H769" s="10">
        <v>46186</v>
      </c>
      <c r="I769">
        <v>403796</v>
      </c>
      <c r="J769">
        <v>0</v>
      </c>
      <c r="K769">
        <v>403796</v>
      </c>
    </row>
    <row r="770" spans="1:11" x14ac:dyDescent="0.35">
      <c r="A770">
        <v>8000000550</v>
      </c>
      <c r="B770">
        <v>9400010198</v>
      </c>
      <c r="C770" s="10">
        <v>46172</v>
      </c>
      <c r="D770" t="s">
        <v>2032</v>
      </c>
      <c r="E770" s="11">
        <v>18854466</v>
      </c>
      <c r="F770" t="s">
        <v>721</v>
      </c>
      <c r="G770" t="s">
        <v>722</v>
      </c>
      <c r="H770" s="10">
        <v>46186</v>
      </c>
      <c r="I770">
        <v>71366.399999999994</v>
      </c>
      <c r="J770">
        <v>0</v>
      </c>
      <c r="K770">
        <v>71366.399999999994</v>
      </c>
    </row>
    <row r="771" spans="1:11" x14ac:dyDescent="0.35">
      <c r="A771">
        <v>7000000461</v>
      </c>
      <c r="B771">
        <v>9400010196</v>
      </c>
      <c r="C771" s="10">
        <v>46172</v>
      </c>
      <c r="D771" t="s">
        <v>2032</v>
      </c>
      <c r="E771" s="11">
        <v>18854238</v>
      </c>
      <c r="F771" t="s">
        <v>190</v>
      </c>
      <c r="G771" t="s">
        <v>191</v>
      </c>
      <c r="H771" s="10">
        <v>46186</v>
      </c>
      <c r="I771">
        <v>147905.92000000001</v>
      </c>
      <c r="J771">
        <v>0</v>
      </c>
      <c r="K771">
        <v>147905.92000000001</v>
      </c>
    </row>
    <row r="772" spans="1:11" x14ac:dyDescent="0.35">
      <c r="A772">
        <v>9200000631</v>
      </c>
      <c r="B772">
        <v>9400010195</v>
      </c>
      <c r="C772" s="10">
        <v>46172</v>
      </c>
      <c r="D772" t="s">
        <v>2032</v>
      </c>
      <c r="E772" s="11">
        <v>18822113</v>
      </c>
      <c r="F772" t="s">
        <v>371</v>
      </c>
      <c r="G772" t="s">
        <v>372</v>
      </c>
      <c r="H772" s="10">
        <v>46172</v>
      </c>
      <c r="I772">
        <v>821.49</v>
      </c>
      <c r="J772">
        <v>751.08</v>
      </c>
      <c r="K772">
        <v>70.409999999999968</v>
      </c>
    </row>
    <row r="773" spans="1:11" x14ac:dyDescent="0.35">
      <c r="A773">
        <v>9300000507</v>
      </c>
      <c r="B773">
        <v>9400010194</v>
      </c>
      <c r="C773" s="10">
        <v>46172</v>
      </c>
      <c r="D773" t="s">
        <v>2032</v>
      </c>
      <c r="E773" s="11">
        <v>18822833</v>
      </c>
      <c r="F773" t="s">
        <v>935</v>
      </c>
      <c r="G773" t="s">
        <v>936</v>
      </c>
      <c r="H773" s="10">
        <v>46186</v>
      </c>
      <c r="I773">
        <v>169920</v>
      </c>
      <c r="J773">
        <v>0</v>
      </c>
      <c r="K773">
        <v>169920</v>
      </c>
    </row>
    <row r="774" spans="1:11" x14ac:dyDescent="0.35">
      <c r="A774">
        <v>9200000630</v>
      </c>
      <c r="B774">
        <v>9400010193</v>
      </c>
      <c r="C774" s="10">
        <v>46172</v>
      </c>
      <c r="D774" t="s">
        <v>2032</v>
      </c>
      <c r="E774" s="11">
        <v>18822378</v>
      </c>
      <c r="F774" t="s">
        <v>1105</v>
      </c>
      <c r="G774" t="s">
        <v>1106</v>
      </c>
      <c r="H774" s="10">
        <v>46172</v>
      </c>
      <c r="I774">
        <v>52293.48</v>
      </c>
      <c r="J774">
        <v>51882.69</v>
      </c>
      <c r="K774">
        <v>410.79000000000087</v>
      </c>
    </row>
    <row r="775" spans="1:11" x14ac:dyDescent="0.35">
      <c r="A775">
        <v>2720000329</v>
      </c>
      <c r="B775">
        <v>9400010190</v>
      </c>
      <c r="C775" s="10">
        <v>46172</v>
      </c>
      <c r="D775" t="s">
        <v>2032</v>
      </c>
      <c r="E775" s="11">
        <v>18854061</v>
      </c>
      <c r="F775" t="s">
        <v>547</v>
      </c>
      <c r="G775" t="s">
        <v>548</v>
      </c>
      <c r="H775" s="10">
        <v>46217</v>
      </c>
      <c r="I775">
        <v>61680.959999999999</v>
      </c>
      <c r="J775">
        <v>0</v>
      </c>
      <c r="K775">
        <v>61680.959999999999</v>
      </c>
    </row>
    <row r="776" spans="1:11" x14ac:dyDescent="0.35">
      <c r="A776">
        <v>7000000460</v>
      </c>
      <c r="B776">
        <v>9400010188</v>
      </c>
      <c r="C776" s="10">
        <v>46172</v>
      </c>
      <c r="D776" t="s">
        <v>2032</v>
      </c>
      <c r="E776" s="11" t="s">
        <v>3680</v>
      </c>
      <c r="F776" t="s">
        <v>190</v>
      </c>
      <c r="G776" t="s">
        <v>191</v>
      </c>
      <c r="H776" s="10">
        <v>46186</v>
      </c>
      <c r="I776">
        <v>162840</v>
      </c>
      <c r="J776">
        <v>0</v>
      </c>
      <c r="K776">
        <v>162840</v>
      </c>
    </row>
    <row r="777" spans="1:11" x14ac:dyDescent="0.35">
      <c r="A777">
        <v>9100000882</v>
      </c>
      <c r="B777">
        <v>9400010183</v>
      </c>
      <c r="C777" s="10">
        <v>46172</v>
      </c>
      <c r="D777" t="s">
        <v>2032</v>
      </c>
      <c r="E777" s="11">
        <v>18822813</v>
      </c>
      <c r="F777" t="s">
        <v>247</v>
      </c>
      <c r="G777" t="s">
        <v>248</v>
      </c>
      <c r="H777" s="10">
        <v>46217</v>
      </c>
      <c r="I777">
        <v>42941.36</v>
      </c>
      <c r="J777">
        <v>0</v>
      </c>
      <c r="K777">
        <v>42941.36</v>
      </c>
    </row>
    <row r="778" spans="1:11" x14ac:dyDescent="0.35">
      <c r="A778">
        <v>2730000469</v>
      </c>
      <c r="B778">
        <v>9400010182</v>
      </c>
      <c r="C778" s="10">
        <v>46172</v>
      </c>
      <c r="D778" t="s">
        <v>2032</v>
      </c>
      <c r="E778" s="11">
        <v>18854167</v>
      </c>
      <c r="F778" t="s">
        <v>89</v>
      </c>
      <c r="G778" t="s">
        <v>90</v>
      </c>
      <c r="H778" s="10">
        <v>46186</v>
      </c>
      <c r="I778">
        <v>218364.2</v>
      </c>
      <c r="J778">
        <v>0</v>
      </c>
      <c r="K778">
        <v>218364.2</v>
      </c>
    </row>
    <row r="779" spans="1:11" x14ac:dyDescent="0.35">
      <c r="A779">
        <v>5100000614</v>
      </c>
      <c r="B779">
        <v>9400010177</v>
      </c>
      <c r="C779" s="10">
        <v>46172</v>
      </c>
      <c r="D779" t="s">
        <v>2032</v>
      </c>
      <c r="E779" s="11">
        <v>18822538</v>
      </c>
      <c r="F779" t="s">
        <v>3524</v>
      </c>
      <c r="G779" t="s">
        <v>3525</v>
      </c>
      <c r="H779" s="10">
        <v>46217</v>
      </c>
      <c r="I779">
        <v>143298.18</v>
      </c>
      <c r="J779">
        <v>0</v>
      </c>
      <c r="K779">
        <v>143298.18</v>
      </c>
    </row>
    <row r="780" spans="1:11" x14ac:dyDescent="0.35">
      <c r="A780">
        <v>9100000881</v>
      </c>
      <c r="B780">
        <v>9400010176</v>
      </c>
      <c r="C780" s="10">
        <v>46172</v>
      </c>
      <c r="D780" t="s">
        <v>2032</v>
      </c>
      <c r="E780" s="11">
        <v>18854109</v>
      </c>
      <c r="F780" t="s">
        <v>349</v>
      </c>
      <c r="G780" t="s">
        <v>350</v>
      </c>
      <c r="H780" s="10">
        <v>46217</v>
      </c>
      <c r="I780">
        <v>17292.900000000001</v>
      </c>
      <c r="J780">
        <v>0</v>
      </c>
      <c r="K780">
        <v>17292.900000000001</v>
      </c>
    </row>
    <row r="781" spans="1:11" x14ac:dyDescent="0.35">
      <c r="A781">
        <v>7000000459</v>
      </c>
      <c r="B781">
        <v>9400010174</v>
      </c>
      <c r="C781" s="10">
        <v>46172</v>
      </c>
      <c r="D781" t="s">
        <v>2032</v>
      </c>
      <c r="E781" s="11">
        <v>18854283</v>
      </c>
      <c r="F781" t="s">
        <v>190</v>
      </c>
      <c r="G781" t="s">
        <v>191</v>
      </c>
      <c r="H781" s="10">
        <v>46186</v>
      </c>
      <c r="I781">
        <v>201751.67999999999</v>
      </c>
      <c r="J781">
        <v>0</v>
      </c>
      <c r="K781">
        <v>201751.67999999999</v>
      </c>
    </row>
    <row r="782" spans="1:11" x14ac:dyDescent="0.35">
      <c r="A782">
        <v>9100000880</v>
      </c>
      <c r="B782">
        <v>9400010173</v>
      </c>
      <c r="C782" s="10">
        <v>46172</v>
      </c>
      <c r="D782" t="s">
        <v>2032</v>
      </c>
      <c r="E782" s="11">
        <v>18854109</v>
      </c>
      <c r="F782" t="s">
        <v>349</v>
      </c>
      <c r="G782" t="s">
        <v>350</v>
      </c>
      <c r="H782" s="10">
        <v>46186</v>
      </c>
      <c r="I782">
        <v>152807.64000000001</v>
      </c>
      <c r="J782">
        <v>0</v>
      </c>
      <c r="K782">
        <v>152807.64000000001</v>
      </c>
    </row>
    <row r="783" spans="1:11" x14ac:dyDescent="0.35">
      <c r="A783">
        <v>9100000879</v>
      </c>
      <c r="B783">
        <v>9400010172</v>
      </c>
      <c r="C783" s="10">
        <v>46172</v>
      </c>
      <c r="D783" t="s">
        <v>2032</v>
      </c>
      <c r="E783" s="11">
        <v>18822813</v>
      </c>
      <c r="F783" t="s">
        <v>247</v>
      </c>
      <c r="G783" t="s">
        <v>248</v>
      </c>
      <c r="H783" s="10">
        <v>46186</v>
      </c>
      <c r="I783">
        <v>149952.98000000001</v>
      </c>
      <c r="J783">
        <v>0</v>
      </c>
      <c r="K783">
        <v>149952.98000000001</v>
      </c>
    </row>
    <row r="784" spans="1:11" x14ac:dyDescent="0.35">
      <c r="A784">
        <v>2730000468</v>
      </c>
      <c r="B784">
        <v>9400010169</v>
      </c>
      <c r="C784" s="10">
        <v>46172</v>
      </c>
      <c r="D784" t="s">
        <v>2032</v>
      </c>
      <c r="E784" s="11">
        <v>18854015</v>
      </c>
      <c r="F784" t="s">
        <v>383</v>
      </c>
      <c r="G784" t="s">
        <v>384</v>
      </c>
      <c r="H784" s="10">
        <v>46186</v>
      </c>
      <c r="I784">
        <v>168973.64</v>
      </c>
      <c r="J784">
        <v>0</v>
      </c>
      <c r="K784">
        <v>168973.64</v>
      </c>
    </row>
    <row r="785" spans="1:11" x14ac:dyDescent="0.35">
      <c r="A785">
        <v>9100000878</v>
      </c>
      <c r="B785">
        <v>9400010168</v>
      </c>
      <c r="C785" s="10">
        <v>46172</v>
      </c>
      <c r="D785" t="s">
        <v>2032</v>
      </c>
      <c r="E785" s="11">
        <v>18853988</v>
      </c>
      <c r="F785" t="s">
        <v>869</v>
      </c>
      <c r="G785" t="s">
        <v>870</v>
      </c>
      <c r="H785" s="10">
        <v>46217</v>
      </c>
      <c r="I785">
        <v>4781.54</v>
      </c>
      <c r="J785">
        <v>0</v>
      </c>
      <c r="K785">
        <v>4781.54</v>
      </c>
    </row>
    <row r="786" spans="1:11" x14ac:dyDescent="0.35">
      <c r="A786">
        <v>9100000877</v>
      </c>
      <c r="B786">
        <v>9400010165</v>
      </c>
      <c r="C786" s="10">
        <v>46172</v>
      </c>
      <c r="D786" t="s">
        <v>2032</v>
      </c>
      <c r="E786" s="11">
        <v>18853988</v>
      </c>
      <c r="F786" t="s">
        <v>869</v>
      </c>
      <c r="G786" t="s">
        <v>870</v>
      </c>
      <c r="H786" s="10">
        <v>46186</v>
      </c>
      <c r="I786">
        <v>185142</v>
      </c>
      <c r="J786">
        <v>0</v>
      </c>
      <c r="K786">
        <v>185142</v>
      </c>
    </row>
    <row r="787" spans="1:11" x14ac:dyDescent="0.35">
      <c r="A787">
        <v>2730000467</v>
      </c>
      <c r="B787">
        <v>9400010160</v>
      </c>
      <c r="C787" s="10">
        <v>46172</v>
      </c>
      <c r="D787" t="s">
        <v>2032</v>
      </c>
      <c r="E787" s="11">
        <v>18853981</v>
      </c>
      <c r="F787" t="s">
        <v>120</v>
      </c>
      <c r="G787" t="s">
        <v>121</v>
      </c>
      <c r="H787" s="10">
        <v>46217</v>
      </c>
      <c r="I787">
        <v>28102.66</v>
      </c>
      <c r="J787">
        <v>0</v>
      </c>
      <c r="K787">
        <v>28102.66</v>
      </c>
    </row>
    <row r="788" spans="1:11" x14ac:dyDescent="0.35">
      <c r="A788">
        <v>9100000876</v>
      </c>
      <c r="B788">
        <v>9400010159</v>
      </c>
      <c r="C788" s="10">
        <v>46172</v>
      </c>
      <c r="D788" t="s">
        <v>2032</v>
      </c>
      <c r="E788" s="11">
        <v>18842878</v>
      </c>
      <c r="F788" t="s">
        <v>186</v>
      </c>
      <c r="G788" t="s">
        <v>187</v>
      </c>
      <c r="H788" s="10">
        <v>46186</v>
      </c>
      <c r="I788">
        <v>442641.6</v>
      </c>
      <c r="J788">
        <v>0</v>
      </c>
      <c r="K788">
        <v>442641.6</v>
      </c>
    </row>
    <row r="789" spans="1:11" x14ac:dyDescent="0.35">
      <c r="A789">
        <v>2300000432</v>
      </c>
      <c r="B789">
        <v>9400010157</v>
      </c>
      <c r="C789" s="10">
        <v>46172</v>
      </c>
      <c r="D789" t="s">
        <v>2032</v>
      </c>
      <c r="E789" s="11">
        <v>18853892</v>
      </c>
      <c r="F789" t="s">
        <v>583</v>
      </c>
      <c r="G789" t="s">
        <v>584</v>
      </c>
      <c r="H789" s="10">
        <v>46186</v>
      </c>
      <c r="I789">
        <v>302168.71000000002</v>
      </c>
      <c r="J789">
        <v>0</v>
      </c>
      <c r="K789">
        <v>302168.71000000002</v>
      </c>
    </row>
    <row r="790" spans="1:11" x14ac:dyDescent="0.35">
      <c r="A790">
        <v>7000000457</v>
      </c>
      <c r="B790">
        <v>9400010156</v>
      </c>
      <c r="C790" s="10">
        <v>46172</v>
      </c>
      <c r="D790" t="s">
        <v>2032</v>
      </c>
      <c r="E790" s="11">
        <v>18854044</v>
      </c>
      <c r="F790" t="s">
        <v>351</v>
      </c>
      <c r="G790" t="s">
        <v>352</v>
      </c>
      <c r="H790" s="10">
        <v>46217</v>
      </c>
      <c r="I790">
        <v>79092.039999999994</v>
      </c>
      <c r="J790">
        <v>0</v>
      </c>
      <c r="K790">
        <v>79092.039999999994</v>
      </c>
    </row>
    <row r="791" spans="1:11" x14ac:dyDescent="0.35">
      <c r="A791">
        <v>2730000466</v>
      </c>
      <c r="B791">
        <v>9400010153</v>
      </c>
      <c r="C791" s="10">
        <v>46172</v>
      </c>
      <c r="D791" t="s">
        <v>2032</v>
      </c>
      <c r="E791" s="11">
        <v>18853981</v>
      </c>
      <c r="F791" t="s">
        <v>120</v>
      </c>
      <c r="G791" t="s">
        <v>121</v>
      </c>
      <c r="H791" s="10">
        <v>46186</v>
      </c>
      <c r="I791">
        <v>177403.56</v>
      </c>
      <c r="J791">
        <v>0</v>
      </c>
      <c r="K791">
        <v>177403.56</v>
      </c>
    </row>
    <row r="792" spans="1:11" x14ac:dyDescent="0.35">
      <c r="A792">
        <v>9100000875</v>
      </c>
      <c r="B792">
        <v>9400010152</v>
      </c>
      <c r="C792" s="10">
        <v>46172</v>
      </c>
      <c r="D792" t="s">
        <v>2032</v>
      </c>
      <c r="E792" s="11">
        <v>18853926</v>
      </c>
      <c r="F792" t="s">
        <v>401</v>
      </c>
      <c r="G792" t="s">
        <v>402</v>
      </c>
      <c r="H792" s="10">
        <v>46186</v>
      </c>
      <c r="I792">
        <v>157216.92000000001</v>
      </c>
      <c r="J792">
        <v>0</v>
      </c>
      <c r="K792">
        <v>157216.92000000001</v>
      </c>
    </row>
    <row r="793" spans="1:11" x14ac:dyDescent="0.35">
      <c r="A793">
        <v>9100000874</v>
      </c>
      <c r="B793">
        <v>9400010151</v>
      </c>
      <c r="C793" s="10">
        <v>46172</v>
      </c>
      <c r="D793" t="s">
        <v>2032</v>
      </c>
      <c r="E793" s="11">
        <v>18842878</v>
      </c>
      <c r="F793" t="s">
        <v>186</v>
      </c>
      <c r="G793" t="s">
        <v>187</v>
      </c>
      <c r="H793" s="10">
        <v>46186</v>
      </c>
      <c r="I793">
        <v>368868</v>
      </c>
      <c r="J793">
        <v>0</v>
      </c>
      <c r="K793">
        <v>368868</v>
      </c>
    </row>
    <row r="794" spans="1:11" x14ac:dyDescent="0.35">
      <c r="A794">
        <v>7000000456</v>
      </c>
      <c r="B794">
        <v>9400010149</v>
      </c>
      <c r="C794" s="10">
        <v>46172</v>
      </c>
      <c r="D794" t="s">
        <v>2032</v>
      </c>
      <c r="E794" s="11">
        <v>18854044</v>
      </c>
      <c r="F794" t="s">
        <v>351</v>
      </c>
      <c r="G794" t="s">
        <v>352</v>
      </c>
      <c r="H794" s="10">
        <v>46186</v>
      </c>
      <c r="I794">
        <v>158605.22</v>
      </c>
      <c r="J794">
        <v>0</v>
      </c>
      <c r="K794">
        <v>158605.22</v>
      </c>
    </row>
    <row r="795" spans="1:11" x14ac:dyDescent="0.35">
      <c r="A795">
        <v>7000000455</v>
      </c>
      <c r="B795">
        <v>9400010145</v>
      </c>
      <c r="C795" s="10">
        <v>46172</v>
      </c>
      <c r="D795" t="s">
        <v>2032</v>
      </c>
      <c r="E795" s="11">
        <v>18854044</v>
      </c>
      <c r="F795" t="s">
        <v>351</v>
      </c>
      <c r="G795" t="s">
        <v>352</v>
      </c>
      <c r="H795" s="10">
        <v>46186</v>
      </c>
      <c r="I795">
        <v>291696</v>
      </c>
      <c r="J795">
        <v>0</v>
      </c>
      <c r="K795">
        <v>291696</v>
      </c>
    </row>
    <row r="796" spans="1:11" x14ac:dyDescent="0.35">
      <c r="A796">
        <v>7000000454</v>
      </c>
      <c r="B796">
        <v>9400010142</v>
      </c>
      <c r="C796" s="10">
        <v>46172</v>
      </c>
      <c r="D796" t="s">
        <v>2032</v>
      </c>
      <c r="E796" s="11">
        <v>18854044</v>
      </c>
      <c r="F796" t="s">
        <v>351</v>
      </c>
      <c r="G796" t="s">
        <v>352</v>
      </c>
      <c r="H796" s="10">
        <v>46186</v>
      </c>
      <c r="I796">
        <v>291696</v>
      </c>
      <c r="J796">
        <v>0</v>
      </c>
      <c r="K796">
        <v>291696</v>
      </c>
    </row>
    <row r="797" spans="1:11" x14ac:dyDescent="0.35">
      <c r="A797">
        <v>5200000292</v>
      </c>
      <c r="B797">
        <v>9400010137</v>
      </c>
      <c r="C797" s="10">
        <v>46172</v>
      </c>
      <c r="D797" t="s">
        <v>2032</v>
      </c>
      <c r="E797" s="11">
        <v>18853556</v>
      </c>
      <c r="F797" t="s">
        <v>1179</v>
      </c>
      <c r="G797" t="s">
        <v>1180</v>
      </c>
      <c r="H797" s="10">
        <v>46186</v>
      </c>
      <c r="I797">
        <v>245704.32000000001</v>
      </c>
      <c r="J797">
        <v>0</v>
      </c>
      <c r="K797">
        <v>245704.32000000001</v>
      </c>
    </row>
    <row r="798" spans="1:11" x14ac:dyDescent="0.35">
      <c r="A798">
        <v>2730000465</v>
      </c>
      <c r="B798">
        <v>9400010135</v>
      </c>
      <c r="C798" s="10">
        <v>46172</v>
      </c>
      <c r="D798" t="s">
        <v>2032</v>
      </c>
      <c r="E798" s="11">
        <v>18853737</v>
      </c>
      <c r="F798" t="s">
        <v>3557</v>
      </c>
      <c r="G798" t="s">
        <v>3558</v>
      </c>
      <c r="H798" s="10">
        <v>46217</v>
      </c>
      <c r="I798">
        <v>595215.6</v>
      </c>
      <c r="J798">
        <v>0</v>
      </c>
      <c r="K798">
        <v>595215.6</v>
      </c>
    </row>
    <row r="799" spans="1:11" x14ac:dyDescent="0.35">
      <c r="A799">
        <v>2730000464</v>
      </c>
      <c r="B799">
        <v>9400010130</v>
      </c>
      <c r="C799" s="10">
        <v>46172</v>
      </c>
      <c r="D799" t="s">
        <v>2032</v>
      </c>
      <c r="E799" s="11">
        <v>18853737</v>
      </c>
      <c r="F799" t="s">
        <v>3557</v>
      </c>
      <c r="G799" t="s">
        <v>3558</v>
      </c>
      <c r="H799" s="10">
        <v>46186</v>
      </c>
      <c r="I799">
        <v>557252.64</v>
      </c>
      <c r="J799">
        <v>0</v>
      </c>
      <c r="K799">
        <v>557252.64</v>
      </c>
    </row>
    <row r="800" spans="1:11" x14ac:dyDescent="0.35">
      <c r="A800">
        <v>9100000872</v>
      </c>
      <c r="B800">
        <v>9400010128</v>
      </c>
      <c r="C800" s="10">
        <v>46172</v>
      </c>
      <c r="D800" t="s">
        <v>2032</v>
      </c>
      <c r="E800" s="11">
        <v>18854047</v>
      </c>
      <c r="F800" t="s">
        <v>903</v>
      </c>
      <c r="G800" t="s">
        <v>904</v>
      </c>
      <c r="H800" s="10">
        <v>46217</v>
      </c>
      <c r="I800">
        <v>115613.97</v>
      </c>
      <c r="J800">
        <v>0</v>
      </c>
      <c r="K800">
        <v>115613.97</v>
      </c>
    </row>
    <row r="801" spans="1:11" x14ac:dyDescent="0.35">
      <c r="A801">
        <v>5200000291</v>
      </c>
      <c r="B801">
        <v>9400010127</v>
      </c>
      <c r="C801" s="10">
        <v>46172</v>
      </c>
      <c r="D801" t="s">
        <v>2032</v>
      </c>
      <c r="E801" s="11">
        <v>18853629</v>
      </c>
      <c r="F801" t="s">
        <v>326</v>
      </c>
      <c r="G801" t="s">
        <v>327</v>
      </c>
      <c r="H801" s="10">
        <v>46186</v>
      </c>
      <c r="I801">
        <v>215527</v>
      </c>
      <c r="J801">
        <v>0</v>
      </c>
      <c r="K801">
        <v>215527</v>
      </c>
    </row>
    <row r="802" spans="1:11" x14ac:dyDescent="0.35">
      <c r="A802">
        <v>9200000620</v>
      </c>
      <c r="B802">
        <v>9400010126</v>
      </c>
      <c r="C802" s="10">
        <v>46172</v>
      </c>
      <c r="D802" t="s">
        <v>2032</v>
      </c>
      <c r="E802" s="11">
        <v>18853505</v>
      </c>
      <c r="F802" t="s">
        <v>1277</v>
      </c>
      <c r="G802" t="s">
        <v>1278</v>
      </c>
      <c r="H802" s="10">
        <v>46217</v>
      </c>
      <c r="I802">
        <v>69138.28</v>
      </c>
      <c r="J802">
        <v>0</v>
      </c>
      <c r="K802">
        <v>69138.28</v>
      </c>
    </row>
    <row r="803" spans="1:11" x14ac:dyDescent="0.35">
      <c r="A803">
        <v>7000000447</v>
      </c>
      <c r="B803">
        <v>9400010109</v>
      </c>
      <c r="C803" s="10">
        <v>46172</v>
      </c>
      <c r="D803" t="s">
        <v>2032</v>
      </c>
      <c r="E803" s="11">
        <v>18822127</v>
      </c>
      <c r="F803" t="s">
        <v>341</v>
      </c>
      <c r="G803" t="s">
        <v>342</v>
      </c>
      <c r="H803" s="10">
        <v>46186</v>
      </c>
      <c r="I803">
        <v>259128</v>
      </c>
      <c r="J803">
        <v>0</v>
      </c>
      <c r="K803">
        <v>259128</v>
      </c>
    </row>
    <row r="804" spans="1:11" x14ac:dyDescent="0.35">
      <c r="A804">
        <v>7000000446</v>
      </c>
      <c r="B804">
        <v>9400010108</v>
      </c>
      <c r="C804" s="10">
        <v>46172</v>
      </c>
      <c r="D804" t="s">
        <v>2032</v>
      </c>
      <c r="E804" s="11">
        <v>18822127</v>
      </c>
      <c r="F804" t="s">
        <v>341</v>
      </c>
      <c r="G804" t="s">
        <v>342</v>
      </c>
      <c r="H804" s="10">
        <v>46186</v>
      </c>
      <c r="I804">
        <v>283698.44</v>
      </c>
      <c r="J804">
        <v>0</v>
      </c>
      <c r="K804">
        <v>283698.44</v>
      </c>
    </row>
    <row r="805" spans="1:11" x14ac:dyDescent="0.35">
      <c r="B805">
        <v>1400007197</v>
      </c>
      <c r="C805" s="10">
        <v>46172</v>
      </c>
      <c r="D805" t="s">
        <v>2037</v>
      </c>
      <c r="E805" s="11">
        <v>13368</v>
      </c>
      <c r="F805" t="s">
        <v>455</v>
      </c>
      <c r="G805" t="s">
        <v>456</v>
      </c>
      <c r="H805" s="10">
        <v>46172</v>
      </c>
      <c r="I805">
        <v>727860</v>
      </c>
      <c r="J805">
        <v>658399.84</v>
      </c>
      <c r="K805">
        <v>69460.160000000033</v>
      </c>
    </row>
    <row r="806" spans="1:11" x14ac:dyDescent="0.35">
      <c r="B806">
        <v>1400007195</v>
      </c>
      <c r="C806" s="10">
        <v>46172</v>
      </c>
      <c r="D806" t="s">
        <v>2037</v>
      </c>
      <c r="E806" s="11">
        <v>7</v>
      </c>
      <c r="F806" t="s">
        <v>415</v>
      </c>
      <c r="G806" t="s">
        <v>416</v>
      </c>
      <c r="H806" s="10">
        <v>46157</v>
      </c>
      <c r="I806">
        <v>24294</v>
      </c>
      <c r="J806">
        <v>0</v>
      </c>
      <c r="K806">
        <v>24294</v>
      </c>
    </row>
    <row r="807" spans="1:11" x14ac:dyDescent="0.35">
      <c r="B807">
        <v>1400007192</v>
      </c>
      <c r="C807" s="10">
        <v>46172</v>
      </c>
      <c r="D807" t="s">
        <v>2037</v>
      </c>
      <c r="E807" s="11">
        <v>740131</v>
      </c>
      <c r="F807" t="s">
        <v>817</v>
      </c>
      <c r="G807" t="s">
        <v>818</v>
      </c>
      <c r="H807" s="10">
        <v>46172</v>
      </c>
      <c r="I807">
        <v>59</v>
      </c>
      <c r="J807">
        <v>0</v>
      </c>
      <c r="K807">
        <v>59</v>
      </c>
    </row>
    <row r="808" spans="1:11" x14ac:dyDescent="0.35">
      <c r="B808">
        <v>1400007191</v>
      </c>
      <c r="C808" s="10">
        <v>46172</v>
      </c>
      <c r="D808" t="s">
        <v>2037</v>
      </c>
      <c r="E808" s="11">
        <v>333793</v>
      </c>
      <c r="F808" t="s">
        <v>875</v>
      </c>
      <c r="G808" t="s">
        <v>876</v>
      </c>
      <c r="H808" s="10">
        <v>46172</v>
      </c>
      <c r="I808">
        <v>59</v>
      </c>
      <c r="J808">
        <v>0</v>
      </c>
      <c r="K808">
        <v>59</v>
      </c>
    </row>
    <row r="809" spans="1:11" x14ac:dyDescent="0.35">
      <c r="B809">
        <v>1400007190</v>
      </c>
      <c r="C809" s="10">
        <v>46172</v>
      </c>
      <c r="D809" t="s">
        <v>2037</v>
      </c>
      <c r="E809" s="11">
        <v>562433</v>
      </c>
      <c r="F809" t="s">
        <v>745</v>
      </c>
      <c r="G809" t="s">
        <v>746</v>
      </c>
      <c r="H809" s="10">
        <v>46172</v>
      </c>
      <c r="I809">
        <v>59</v>
      </c>
      <c r="J809">
        <v>0</v>
      </c>
      <c r="K809">
        <v>59</v>
      </c>
    </row>
    <row r="810" spans="1:11" x14ac:dyDescent="0.35">
      <c r="B810">
        <v>1400007189</v>
      </c>
      <c r="C810" s="10">
        <v>46172</v>
      </c>
      <c r="D810" t="s">
        <v>2037</v>
      </c>
      <c r="E810" s="11">
        <v>167459</v>
      </c>
      <c r="F810" t="s">
        <v>1231</v>
      </c>
      <c r="G810" t="s">
        <v>1232</v>
      </c>
      <c r="H810" s="10">
        <v>46172</v>
      </c>
      <c r="I810">
        <v>59</v>
      </c>
      <c r="J810">
        <v>0</v>
      </c>
      <c r="K810">
        <v>59</v>
      </c>
    </row>
    <row r="811" spans="1:11" x14ac:dyDescent="0.35">
      <c r="B811">
        <v>1400007188</v>
      </c>
      <c r="C811" s="10">
        <v>46172</v>
      </c>
      <c r="D811" t="s">
        <v>2037</v>
      </c>
      <c r="E811" s="11">
        <v>796937</v>
      </c>
      <c r="F811" t="s">
        <v>397</v>
      </c>
      <c r="G811" t="s">
        <v>398</v>
      </c>
      <c r="H811" s="10">
        <v>46172</v>
      </c>
      <c r="I811">
        <v>59</v>
      </c>
      <c r="J811">
        <v>0</v>
      </c>
      <c r="K811">
        <v>59</v>
      </c>
    </row>
    <row r="812" spans="1:11" x14ac:dyDescent="0.35">
      <c r="B812">
        <v>1400007186</v>
      </c>
      <c r="C812" s="10">
        <v>46172</v>
      </c>
      <c r="D812" t="s">
        <v>2037</v>
      </c>
      <c r="E812" s="11">
        <v>30</v>
      </c>
      <c r="F812" t="s">
        <v>819</v>
      </c>
      <c r="G812" t="s">
        <v>820</v>
      </c>
      <c r="H812" s="10">
        <v>46172</v>
      </c>
      <c r="I812">
        <v>59</v>
      </c>
      <c r="J812">
        <v>0</v>
      </c>
      <c r="K812">
        <v>59</v>
      </c>
    </row>
    <row r="813" spans="1:11" x14ac:dyDescent="0.35">
      <c r="B813">
        <v>1400007184</v>
      </c>
      <c r="C813" s="10">
        <v>46172</v>
      </c>
      <c r="D813" t="s">
        <v>2037</v>
      </c>
      <c r="E813" s="11">
        <v>22</v>
      </c>
      <c r="F813" t="s">
        <v>219</v>
      </c>
      <c r="G813" t="s">
        <v>220</v>
      </c>
      <c r="H813" s="10">
        <v>46172</v>
      </c>
      <c r="I813">
        <v>59</v>
      </c>
      <c r="J813">
        <v>0</v>
      </c>
      <c r="K813">
        <v>59</v>
      </c>
    </row>
    <row r="814" spans="1:11" x14ac:dyDescent="0.35">
      <c r="B814">
        <v>1400007182</v>
      </c>
      <c r="C814" s="10">
        <v>46172</v>
      </c>
      <c r="D814" t="s">
        <v>2037</v>
      </c>
      <c r="E814" s="11">
        <v>33</v>
      </c>
      <c r="F814" t="s">
        <v>221</v>
      </c>
      <c r="G814" t="s">
        <v>222</v>
      </c>
      <c r="H814" s="10">
        <v>46172</v>
      </c>
      <c r="I814">
        <v>59</v>
      </c>
      <c r="J814">
        <v>0</v>
      </c>
      <c r="K814">
        <v>59</v>
      </c>
    </row>
    <row r="815" spans="1:11" x14ac:dyDescent="0.35">
      <c r="B815">
        <v>1400007180</v>
      </c>
      <c r="C815" s="10">
        <v>46172</v>
      </c>
      <c r="D815" t="s">
        <v>2037</v>
      </c>
      <c r="E815" s="11">
        <v>7</v>
      </c>
      <c r="F815" t="s">
        <v>215</v>
      </c>
      <c r="G815" t="s">
        <v>216</v>
      </c>
      <c r="H815" s="10">
        <v>46172</v>
      </c>
      <c r="I815">
        <v>59</v>
      </c>
      <c r="J815">
        <v>0</v>
      </c>
      <c r="K815">
        <v>59</v>
      </c>
    </row>
    <row r="816" spans="1:11" x14ac:dyDescent="0.35">
      <c r="B816">
        <v>1400007179</v>
      </c>
      <c r="C816" s="10">
        <v>46172</v>
      </c>
      <c r="D816" t="s">
        <v>2037</v>
      </c>
      <c r="E816" s="11">
        <v>76660</v>
      </c>
      <c r="F816" t="s">
        <v>306</v>
      </c>
      <c r="G816" t="s">
        <v>307</v>
      </c>
      <c r="H816" s="10">
        <v>46172</v>
      </c>
      <c r="I816">
        <v>59</v>
      </c>
      <c r="J816">
        <v>0</v>
      </c>
      <c r="K816">
        <v>59</v>
      </c>
    </row>
    <row r="817" spans="2:11" x14ac:dyDescent="0.35">
      <c r="B817">
        <v>1400007178</v>
      </c>
      <c r="C817" s="10">
        <v>46172</v>
      </c>
      <c r="D817" t="s">
        <v>2037</v>
      </c>
      <c r="E817" s="11">
        <v>807262</v>
      </c>
      <c r="F817" t="s">
        <v>302</v>
      </c>
      <c r="G817" t="s">
        <v>303</v>
      </c>
      <c r="H817" s="10">
        <v>46172</v>
      </c>
      <c r="I817">
        <v>59</v>
      </c>
      <c r="J817">
        <v>0</v>
      </c>
      <c r="K817">
        <v>59</v>
      </c>
    </row>
    <row r="818" spans="2:11" x14ac:dyDescent="0.35">
      <c r="B818">
        <v>1400007176</v>
      </c>
      <c r="C818" s="10">
        <v>46172</v>
      </c>
      <c r="D818" t="s">
        <v>2037</v>
      </c>
      <c r="E818" s="11">
        <v>423224</v>
      </c>
      <c r="F818" t="s">
        <v>304</v>
      </c>
      <c r="G818" t="s">
        <v>305</v>
      </c>
      <c r="H818" s="10">
        <v>46172</v>
      </c>
      <c r="I818">
        <v>59</v>
      </c>
      <c r="J818">
        <v>2.58</v>
      </c>
      <c r="K818">
        <v>56.42</v>
      </c>
    </row>
    <row r="819" spans="2:11" x14ac:dyDescent="0.35">
      <c r="B819">
        <v>1400007174</v>
      </c>
      <c r="C819" s="10">
        <v>46172</v>
      </c>
      <c r="D819" t="s">
        <v>2037</v>
      </c>
      <c r="E819" s="11">
        <v>3402</v>
      </c>
      <c r="F819" t="s">
        <v>294</v>
      </c>
      <c r="G819" t="s">
        <v>295</v>
      </c>
      <c r="H819" s="10">
        <v>46172</v>
      </c>
      <c r="I819">
        <v>59</v>
      </c>
      <c r="J819">
        <v>0</v>
      </c>
      <c r="K819">
        <v>59</v>
      </c>
    </row>
    <row r="820" spans="2:11" x14ac:dyDescent="0.35">
      <c r="B820">
        <v>1400007172</v>
      </c>
      <c r="C820" s="10">
        <v>46172</v>
      </c>
      <c r="D820" t="s">
        <v>2037</v>
      </c>
      <c r="E820" s="11">
        <v>346</v>
      </c>
      <c r="F820" t="s">
        <v>290</v>
      </c>
      <c r="G820" t="s">
        <v>291</v>
      </c>
      <c r="H820" s="10">
        <v>46172</v>
      </c>
      <c r="I820">
        <v>59</v>
      </c>
      <c r="J820">
        <v>0.33</v>
      </c>
      <c r="K820">
        <v>58.67</v>
      </c>
    </row>
    <row r="821" spans="2:11" x14ac:dyDescent="0.35">
      <c r="B821">
        <v>1400007167</v>
      </c>
      <c r="C821" s="10">
        <v>46172</v>
      </c>
      <c r="D821" t="s">
        <v>2037</v>
      </c>
      <c r="E821" s="11">
        <v>380889</v>
      </c>
      <c r="F821" t="s">
        <v>347</v>
      </c>
      <c r="G821" t="s">
        <v>348</v>
      </c>
      <c r="H821" s="10">
        <v>46172</v>
      </c>
      <c r="I821">
        <v>59</v>
      </c>
      <c r="J821">
        <v>0</v>
      </c>
      <c r="K821">
        <v>59</v>
      </c>
    </row>
    <row r="822" spans="2:11" x14ac:dyDescent="0.35">
      <c r="B822">
        <v>1400007166</v>
      </c>
      <c r="C822" s="10">
        <v>46172</v>
      </c>
      <c r="D822" t="s">
        <v>2037</v>
      </c>
      <c r="E822" s="11">
        <v>7</v>
      </c>
      <c r="F822" t="s">
        <v>415</v>
      </c>
      <c r="G822" t="s">
        <v>416</v>
      </c>
      <c r="H822" s="10">
        <v>46172</v>
      </c>
      <c r="I822">
        <v>59</v>
      </c>
      <c r="J822">
        <v>0</v>
      </c>
      <c r="K822">
        <v>59</v>
      </c>
    </row>
    <row r="823" spans="2:11" x14ac:dyDescent="0.35">
      <c r="B823">
        <v>1400007164</v>
      </c>
      <c r="C823" s="10">
        <v>46172</v>
      </c>
      <c r="D823" t="s">
        <v>2037</v>
      </c>
      <c r="E823" s="11">
        <v>626</v>
      </c>
      <c r="F823" t="s">
        <v>351</v>
      </c>
      <c r="G823" t="s">
        <v>352</v>
      </c>
      <c r="H823" s="10">
        <v>46172</v>
      </c>
      <c r="I823">
        <v>59</v>
      </c>
      <c r="J823">
        <v>0</v>
      </c>
      <c r="K823">
        <v>59</v>
      </c>
    </row>
    <row r="824" spans="2:11" x14ac:dyDescent="0.35">
      <c r="B824">
        <v>1400007160</v>
      </c>
      <c r="C824" s="10">
        <v>46172</v>
      </c>
      <c r="D824" t="s">
        <v>2037</v>
      </c>
      <c r="E824" s="11">
        <v>338424</v>
      </c>
      <c r="F824" t="s">
        <v>331</v>
      </c>
      <c r="G824" t="s">
        <v>332</v>
      </c>
      <c r="H824" s="10">
        <v>46172</v>
      </c>
      <c r="I824">
        <v>59</v>
      </c>
      <c r="J824">
        <v>0</v>
      </c>
      <c r="K824">
        <v>59</v>
      </c>
    </row>
    <row r="825" spans="2:11" x14ac:dyDescent="0.35">
      <c r="B825">
        <v>1400007158</v>
      </c>
      <c r="C825" s="10">
        <v>46172</v>
      </c>
      <c r="D825" t="s">
        <v>2037</v>
      </c>
      <c r="E825" s="11">
        <v>94771</v>
      </c>
      <c r="F825" t="s">
        <v>324</v>
      </c>
      <c r="G825" t="s">
        <v>325</v>
      </c>
      <c r="H825" s="10">
        <v>46172</v>
      </c>
      <c r="I825">
        <v>59</v>
      </c>
      <c r="J825">
        <v>0</v>
      </c>
      <c r="K825">
        <v>59</v>
      </c>
    </row>
    <row r="826" spans="2:11" x14ac:dyDescent="0.35">
      <c r="B826">
        <v>1400007151</v>
      </c>
      <c r="C826" s="10">
        <v>46172</v>
      </c>
      <c r="D826" t="s">
        <v>2037</v>
      </c>
      <c r="E826" s="11">
        <v>836844</v>
      </c>
      <c r="F826" t="s">
        <v>453</v>
      </c>
      <c r="G826" t="s">
        <v>454</v>
      </c>
      <c r="H826" s="10">
        <v>46172</v>
      </c>
      <c r="I826">
        <v>59</v>
      </c>
      <c r="J826">
        <v>0</v>
      </c>
      <c r="K826">
        <v>59</v>
      </c>
    </row>
    <row r="827" spans="2:11" x14ac:dyDescent="0.35">
      <c r="B827">
        <v>1400007150</v>
      </c>
      <c r="C827" s="10">
        <v>46172</v>
      </c>
      <c r="D827" t="s">
        <v>2037</v>
      </c>
      <c r="E827" s="11">
        <v>13368</v>
      </c>
      <c r="F827" t="s">
        <v>455</v>
      </c>
      <c r="G827" t="s">
        <v>456</v>
      </c>
      <c r="H827" s="10">
        <v>46172</v>
      </c>
      <c r="I827">
        <v>59</v>
      </c>
      <c r="J827">
        <v>0</v>
      </c>
      <c r="K827">
        <v>59</v>
      </c>
    </row>
    <row r="828" spans="2:11" x14ac:dyDescent="0.35">
      <c r="B828">
        <v>1400007149</v>
      </c>
      <c r="C828" s="10">
        <v>46172</v>
      </c>
      <c r="D828" t="s">
        <v>2037</v>
      </c>
      <c r="E828" s="11">
        <v>85920</v>
      </c>
      <c r="F828" t="s">
        <v>457</v>
      </c>
      <c r="G828" t="s">
        <v>458</v>
      </c>
      <c r="H828" s="10">
        <v>46172</v>
      </c>
      <c r="I828">
        <v>59</v>
      </c>
      <c r="J828">
        <v>0</v>
      </c>
      <c r="K828">
        <v>59</v>
      </c>
    </row>
    <row r="829" spans="2:11" x14ac:dyDescent="0.35">
      <c r="B829">
        <v>1400007148</v>
      </c>
      <c r="C829" s="10">
        <v>46172</v>
      </c>
      <c r="D829" t="s">
        <v>2037</v>
      </c>
      <c r="E829" s="11">
        <v>15624</v>
      </c>
      <c r="F829" t="s">
        <v>447</v>
      </c>
      <c r="G829" t="s">
        <v>448</v>
      </c>
      <c r="H829" s="10">
        <v>46172</v>
      </c>
      <c r="I829">
        <v>59</v>
      </c>
      <c r="J829">
        <v>0.6</v>
      </c>
      <c r="K829">
        <v>58.4</v>
      </c>
    </row>
    <row r="830" spans="2:11" x14ac:dyDescent="0.35">
      <c r="B830">
        <v>1400007126</v>
      </c>
      <c r="C830" s="10">
        <v>46172</v>
      </c>
      <c r="D830" t="s">
        <v>2037</v>
      </c>
      <c r="E830" s="11">
        <v>440874</v>
      </c>
      <c r="F830" t="s">
        <v>725</v>
      </c>
      <c r="G830" t="s">
        <v>726</v>
      </c>
      <c r="H830" s="10">
        <v>46172</v>
      </c>
      <c r="I830">
        <v>76814</v>
      </c>
      <c r="J830">
        <v>1.47</v>
      </c>
      <c r="K830">
        <v>76812.53</v>
      </c>
    </row>
    <row r="831" spans="2:11" x14ac:dyDescent="0.35">
      <c r="B831">
        <v>1400007123</v>
      </c>
      <c r="C831" s="10">
        <v>46172</v>
      </c>
      <c r="D831" t="s">
        <v>2037</v>
      </c>
      <c r="E831" s="11">
        <v>645027</v>
      </c>
      <c r="F831" t="s">
        <v>31</v>
      </c>
      <c r="G831" t="s">
        <v>32</v>
      </c>
      <c r="H831" s="10">
        <v>46172</v>
      </c>
      <c r="I831">
        <v>59</v>
      </c>
      <c r="J831">
        <v>0</v>
      </c>
      <c r="K831">
        <v>59</v>
      </c>
    </row>
    <row r="832" spans="2:11" x14ac:dyDescent="0.35">
      <c r="B832">
        <v>100001732</v>
      </c>
      <c r="C832" s="10">
        <v>46172</v>
      </c>
      <c r="D832" t="s">
        <v>2034</v>
      </c>
      <c r="E832" s="11"/>
      <c r="F832" t="s">
        <v>3597</v>
      </c>
      <c r="G832" t="s">
        <v>3598</v>
      </c>
      <c r="H832" s="10">
        <v>46172</v>
      </c>
      <c r="I832">
        <v>10000</v>
      </c>
      <c r="J832">
        <v>0</v>
      </c>
      <c r="K832">
        <v>10000</v>
      </c>
    </row>
    <row r="833" spans="1:11" x14ac:dyDescent="0.35">
      <c r="A833">
        <v>2710000766</v>
      </c>
      <c r="B833">
        <v>9400010953</v>
      </c>
      <c r="C833" s="10">
        <v>46171</v>
      </c>
      <c r="D833" t="s">
        <v>2032</v>
      </c>
      <c r="E833" s="11">
        <v>18852961</v>
      </c>
      <c r="F833" t="s">
        <v>144</v>
      </c>
      <c r="G833" t="s">
        <v>145</v>
      </c>
      <c r="H833" s="10">
        <v>46185</v>
      </c>
      <c r="I833">
        <v>91706.76</v>
      </c>
      <c r="J833">
        <v>0</v>
      </c>
      <c r="K833">
        <v>91706.76</v>
      </c>
    </row>
    <row r="834" spans="1:11" x14ac:dyDescent="0.35">
      <c r="A834">
        <v>5100000609</v>
      </c>
      <c r="B834">
        <v>9400010185</v>
      </c>
      <c r="C834" s="10">
        <v>46171</v>
      </c>
      <c r="D834" t="s">
        <v>2032</v>
      </c>
      <c r="E834" s="11">
        <v>18853146</v>
      </c>
      <c r="F834" t="s">
        <v>331</v>
      </c>
      <c r="G834" t="s">
        <v>332</v>
      </c>
      <c r="H834" s="10">
        <v>46216</v>
      </c>
      <c r="I834">
        <v>103798.56</v>
      </c>
      <c r="J834">
        <v>0</v>
      </c>
      <c r="K834">
        <v>103798.56</v>
      </c>
    </row>
    <row r="835" spans="1:11" x14ac:dyDescent="0.35">
      <c r="A835">
        <v>3000000787</v>
      </c>
      <c r="B835">
        <v>9400010103</v>
      </c>
      <c r="C835" s="10">
        <v>46171</v>
      </c>
      <c r="D835" t="s">
        <v>2032</v>
      </c>
      <c r="E835" s="11">
        <v>18853877</v>
      </c>
      <c r="F835" t="s">
        <v>365</v>
      </c>
      <c r="G835" t="s">
        <v>366</v>
      </c>
      <c r="H835" s="10">
        <v>46185</v>
      </c>
      <c r="I835">
        <v>98341.2</v>
      </c>
      <c r="J835">
        <v>0</v>
      </c>
      <c r="K835">
        <v>98341.2</v>
      </c>
    </row>
    <row r="836" spans="1:11" x14ac:dyDescent="0.35">
      <c r="A836">
        <v>3000000784</v>
      </c>
      <c r="B836">
        <v>9400010100</v>
      </c>
      <c r="C836" s="10">
        <v>46171</v>
      </c>
      <c r="D836" t="s">
        <v>2032</v>
      </c>
      <c r="E836" s="11" t="s">
        <v>2033</v>
      </c>
      <c r="F836" t="s">
        <v>955</v>
      </c>
      <c r="G836" t="s">
        <v>956</v>
      </c>
      <c r="H836" s="10">
        <v>46216</v>
      </c>
      <c r="I836">
        <v>35.42</v>
      </c>
      <c r="J836">
        <v>0</v>
      </c>
      <c r="K836">
        <v>35.42</v>
      </c>
    </row>
    <row r="837" spans="1:11" x14ac:dyDescent="0.35">
      <c r="A837">
        <v>8000000544</v>
      </c>
      <c r="B837">
        <v>9400010099</v>
      </c>
      <c r="C837" s="10">
        <v>46171</v>
      </c>
      <c r="D837" t="s">
        <v>2032</v>
      </c>
      <c r="E837" s="11">
        <v>18853779</v>
      </c>
      <c r="F837" t="s">
        <v>691</v>
      </c>
      <c r="G837" t="s">
        <v>692</v>
      </c>
      <c r="H837" s="10">
        <v>46216</v>
      </c>
      <c r="I837">
        <v>20560.32</v>
      </c>
      <c r="J837">
        <v>0</v>
      </c>
      <c r="K837">
        <v>20560.32</v>
      </c>
    </row>
    <row r="838" spans="1:11" x14ac:dyDescent="0.35">
      <c r="A838">
        <v>8000000543</v>
      </c>
      <c r="B838">
        <v>9400010098</v>
      </c>
      <c r="C838" s="10">
        <v>46171</v>
      </c>
      <c r="D838" t="s">
        <v>2032</v>
      </c>
      <c r="E838" s="11">
        <v>18853779</v>
      </c>
      <c r="F838" t="s">
        <v>691</v>
      </c>
      <c r="G838" t="s">
        <v>692</v>
      </c>
      <c r="H838" s="10">
        <v>46185</v>
      </c>
      <c r="I838">
        <v>132820.79999999999</v>
      </c>
      <c r="J838">
        <v>0</v>
      </c>
      <c r="K838">
        <v>132820.79999999999</v>
      </c>
    </row>
    <row r="839" spans="1:11" x14ac:dyDescent="0.35">
      <c r="A839">
        <v>8000000542</v>
      </c>
      <c r="B839">
        <v>9400010097</v>
      </c>
      <c r="C839" s="10">
        <v>46171</v>
      </c>
      <c r="D839" t="s">
        <v>2032</v>
      </c>
      <c r="E839" s="11">
        <v>18853778</v>
      </c>
      <c r="F839" t="s">
        <v>747</v>
      </c>
      <c r="G839" t="s">
        <v>748</v>
      </c>
      <c r="H839" s="10">
        <v>46185</v>
      </c>
      <c r="I839">
        <v>163689.60000000001</v>
      </c>
      <c r="J839">
        <v>0</v>
      </c>
      <c r="K839">
        <v>163689.60000000001</v>
      </c>
    </row>
    <row r="840" spans="1:11" x14ac:dyDescent="0.35">
      <c r="A840">
        <v>8000000541</v>
      </c>
      <c r="B840">
        <v>9400010096</v>
      </c>
      <c r="C840" s="10">
        <v>46171</v>
      </c>
      <c r="D840" t="s">
        <v>2032</v>
      </c>
      <c r="E840" s="11">
        <v>18853776</v>
      </c>
      <c r="F840" t="s">
        <v>797</v>
      </c>
      <c r="G840" t="s">
        <v>798</v>
      </c>
      <c r="H840" s="10">
        <v>46185</v>
      </c>
      <c r="I840">
        <v>74764.800000000003</v>
      </c>
      <c r="J840">
        <v>0</v>
      </c>
      <c r="K840">
        <v>74764.800000000003</v>
      </c>
    </row>
    <row r="841" spans="1:11" x14ac:dyDescent="0.35">
      <c r="A841">
        <v>8000000540</v>
      </c>
      <c r="B841">
        <v>9400010095</v>
      </c>
      <c r="C841" s="10">
        <v>46171</v>
      </c>
      <c r="D841" t="s">
        <v>2032</v>
      </c>
      <c r="E841" s="11">
        <v>18853763</v>
      </c>
      <c r="F841" t="s">
        <v>689</v>
      </c>
      <c r="G841" t="s">
        <v>690</v>
      </c>
      <c r="H841" s="10">
        <v>46216</v>
      </c>
      <c r="I841">
        <v>4528.3599999999997</v>
      </c>
      <c r="J841">
        <v>0</v>
      </c>
      <c r="K841">
        <v>4528.3599999999997</v>
      </c>
    </row>
    <row r="842" spans="1:11" x14ac:dyDescent="0.35">
      <c r="A842">
        <v>8000000539</v>
      </c>
      <c r="B842">
        <v>9400010094</v>
      </c>
      <c r="C842" s="10">
        <v>46171</v>
      </c>
      <c r="D842" t="s">
        <v>2032</v>
      </c>
      <c r="E842" s="11">
        <v>18853763</v>
      </c>
      <c r="F842" t="s">
        <v>689</v>
      </c>
      <c r="G842" t="s">
        <v>690</v>
      </c>
      <c r="H842" s="10">
        <v>46185</v>
      </c>
      <c r="I842">
        <v>150568</v>
      </c>
      <c r="J842">
        <v>0</v>
      </c>
      <c r="K842">
        <v>150568</v>
      </c>
    </row>
    <row r="843" spans="1:11" x14ac:dyDescent="0.35">
      <c r="A843">
        <v>3000000783</v>
      </c>
      <c r="B843">
        <v>9400010093</v>
      </c>
      <c r="C843" s="10">
        <v>46171</v>
      </c>
      <c r="D843" t="s">
        <v>2032</v>
      </c>
      <c r="E843" s="11">
        <v>18853335</v>
      </c>
      <c r="F843" t="s">
        <v>955</v>
      </c>
      <c r="G843" t="s">
        <v>956</v>
      </c>
      <c r="H843" s="10">
        <v>46216</v>
      </c>
      <c r="I843">
        <v>58667.12</v>
      </c>
      <c r="J843">
        <v>0</v>
      </c>
      <c r="K843">
        <v>58667.12</v>
      </c>
    </row>
    <row r="844" spans="1:11" x14ac:dyDescent="0.35">
      <c r="A844">
        <v>3000000782</v>
      </c>
      <c r="B844">
        <v>9400010090</v>
      </c>
      <c r="C844" s="10">
        <v>46171</v>
      </c>
      <c r="D844" t="s">
        <v>2032</v>
      </c>
      <c r="E844" s="11">
        <v>18853335</v>
      </c>
      <c r="F844" t="s">
        <v>955</v>
      </c>
      <c r="G844" t="s">
        <v>956</v>
      </c>
      <c r="H844" s="10">
        <v>46185</v>
      </c>
      <c r="I844">
        <v>151398.72</v>
      </c>
      <c r="J844">
        <v>0</v>
      </c>
      <c r="K844">
        <v>151398.72</v>
      </c>
    </row>
    <row r="845" spans="1:11" x14ac:dyDescent="0.35">
      <c r="A845">
        <v>9300000503</v>
      </c>
      <c r="B845">
        <v>9400010086</v>
      </c>
      <c r="C845" s="10">
        <v>46171</v>
      </c>
      <c r="D845" t="s">
        <v>2032</v>
      </c>
      <c r="E845" s="11">
        <v>18853113</v>
      </c>
      <c r="F845" t="s">
        <v>937</v>
      </c>
      <c r="G845" t="s">
        <v>938</v>
      </c>
      <c r="H845" s="10">
        <v>46216</v>
      </c>
      <c r="I845">
        <v>188461.72</v>
      </c>
      <c r="J845">
        <v>0</v>
      </c>
      <c r="K845">
        <v>188461.72</v>
      </c>
    </row>
    <row r="846" spans="1:11" x14ac:dyDescent="0.35">
      <c r="A846">
        <v>5100000612</v>
      </c>
      <c r="B846">
        <v>9400010085</v>
      </c>
      <c r="C846" s="10">
        <v>46171</v>
      </c>
      <c r="D846" t="s">
        <v>2032</v>
      </c>
      <c r="E846" s="11">
        <v>18853467</v>
      </c>
      <c r="F846" t="s">
        <v>213</v>
      </c>
      <c r="G846" t="s">
        <v>214</v>
      </c>
      <c r="H846" s="10">
        <v>46216</v>
      </c>
      <c r="I846">
        <v>12616.56</v>
      </c>
      <c r="J846">
        <v>0</v>
      </c>
      <c r="K846">
        <v>12616.56</v>
      </c>
    </row>
    <row r="847" spans="1:11" x14ac:dyDescent="0.35">
      <c r="A847">
        <v>9300000502</v>
      </c>
      <c r="B847">
        <v>9400010084</v>
      </c>
      <c r="C847" s="10">
        <v>46171</v>
      </c>
      <c r="D847" t="s">
        <v>2032</v>
      </c>
      <c r="E847" s="11">
        <v>18853113</v>
      </c>
      <c r="F847" t="s">
        <v>937</v>
      </c>
      <c r="G847" t="s">
        <v>938</v>
      </c>
      <c r="H847" s="10">
        <v>46185</v>
      </c>
      <c r="I847">
        <v>7534.3</v>
      </c>
      <c r="J847">
        <v>0</v>
      </c>
      <c r="K847">
        <v>7534.3</v>
      </c>
    </row>
    <row r="848" spans="1:11" x14ac:dyDescent="0.35">
      <c r="A848">
        <v>8000000533</v>
      </c>
      <c r="B848">
        <v>9400010083</v>
      </c>
      <c r="C848" s="10">
        <v>46171</v>
      </c>
      <c r="D848" t="s">
        <v>2032</v>
      </c>
      <c r="E848" s="11">
        <v>18853497</v>
      </c>
      <c r="F848" t="s">
        <v>255</v>
      </c>
      <c r="G848" t="s">
        <v>256</v>
      </c>
      <c r="H848" s="10">
        <v>46216</v>
      </c>
      <c r="I848">
        <v>27011.78</v>
      </c>
      <c r="J848">
        <v>0</v>
      </c>
      <c r="K848">
        <v>27011.78</v>
      </c>
    </row>
    <row r="849" spans="1:11" x14ac:dyDescent="0.35">
      <c r="A849">
        <v>9100000869</v>
      </c>
      <c r="B849">
        <v>9400010082</v>
      </c>
      <c r="C849" s="10">
        <v>46171</v>
      </c>
      <c r="D849" t="s">
        <v>2032</v>
      </c>
      <c r="E849" s="11">
        <v>18822489</v>
      </c>
      <c r="F849" t="s">
        <v>3599</v>
      </c>
      <c r="G849" t="s">
        <v>3600</v>
      </c>
      <c r="H849" s="10">
        <v>46171</v>
      </c>
      <c r="I849">
        <v>104984.73</v>
      </c>
      <c r="J849">
        <v>104409.84</v>
      </c>
      <c r="K849">
        <v>574.88999999999942</v>
      </c>
    </row>
    <row r="850" spans="1:11" x14ac:dyDescent="0.35">
      <c r="A850">
        <v>5200000290</v>
      </c>
      <c r="B850">
        <v>9400010081</v>
      </c>
      <c r="C850" s="10">
        <v>46171</v>
      </c>
      <c r="D850" t="s">
        <v>2032</v>
      </c>
      <c r="E850" s="11">
        <v>18842906</v>
      </c>
      <c r="F850" t="s">
        <v>557</v>
      </c>
      <c r="G850" t="s">
        <v>558</v>
      </c>
      <c r="H850" s="10">
        <v>46171</v>
      </c>
      <c r="I850">
        <v>19708.14</v>
      </c>
      <c r="J850">
        <v>0</v>
      </c>
      <c r="K850">
        <v>19708.14</v>
      </c>
    </row>
    <row r="851" spans="1:11" x14ac:dyDescent="0.35">
      <c r="A851">
        <v>9300000501</v>
      </c>
      <c r="B851">
        <v>9400010077</v>
      </c>
      <c r="C851" s="10">
        <v>46171</v>
      </c>
      <c r="D851" t="s">
        <v>2032</v>
      </c>
      <c r="E851" s="11">
        <v>18842882</v>
      </c>
      <c r="F851" t="s">
        <v>280</v>
      </c>
      <c r="G851" t="s">
        <v>281</v>
      </c>
      <c r="H851" s="10">
        <v>46216</v>
      </c>
      <c r="I851">
        <v>13197.68</v>
      </c>
      <c r="J851">
        <v>0</v>
      </c>
      <c r="K851">
        <v>13197.68</v>
      </c>
    </row>
    <row r="852" spans="1:11" x14ac:dyDescent="0.35">
      <c r="A852">
        <v>9300000500</v>
      </c>
      <c r="B852">
        <v>9400010074</v>
      </c>
      <c r="C852" s="10">
        <v>46171</v>
      </c>
      <c r="D852" t="s">
        <v>2032</v>
      </c>
      <c r="E852" s="11">
        <v>18842882</v>
      </c>
      <c r="F852" t="s">
        <v>280</v>
      </c>
      <c r="G852" t="s">
        <v>281</v>
      </c>
      <c r="H852" s="10">
        <v>46185</v>
      </c>
      <c r="I852">
        <v>351610.26</v>
      </c>
      <c r="J852">
        <v>0</v>
      </c>
      <c r="K852">
        <v>351610.26</v>
      </c>
    </row>
    <row r="853" spans="1:11" x14ac:dyDescent="0.35">
      <c r="A853">
        <v>5100000611</v>
      </c>
      <c r="B853">
        <v>9400010069</v>
      </c>
      <c r="C853" s="10">
        <v>46171</v>
      </c>
      <c r="D853" t="s">
        <v>2032</v>
      </c>
      <c r="E853" s="11">
        <v>18853374</v>
      </c>
      <c r="F853" t="s">
        <v>485</v>
      </c>
      <c r="G853" t="s">
        <v>486</v>
      </c>
      <c r="H853" s="10">
        <v>46185</v>
      </c>
      <c r="I853">
        <v>1016267.47</v>
      </c>
      <c r="J853">
        <v>0</v>
      </c>
      <c r="K853">
        <v>1016267.47</v>
      </c>
    </row>
    <row r="854" spans="1:11" x14ac:dyDescent="0.35">
      <c r="A854">
        <v>2000000175</v>
      </c>
      <c r="B854">
        <v>9400010067</v>
      </c>
      <c r="C854" s="10">
        <v>46171</v>
      </c>
      <c r="D854" t="s">
        <v>2032</v>
      </c>
      <c r="E854" s="11">
        <v>18853496</v>
      </c>
      <c r="F854" t="s">
        <v>96</v>
      </c>
      <c r="G854" t="s">
        <v>97</v>
      </c>
      <c r="H854" s="10">
        <v>46216</v>
      </c>
      <c r="I854">
        <v>709095.04</v>
      </c>
      <c r="J854">
        <v>0</v>
      </c>
      <c r="K854">
        <v>709095.04</v>
      </c>
    </row>
    <row r="855" spans="1:11" x14ac:dyDescent="0.35">
      <c r="A855">
        <v>2720000327</v>
      </c>
      <c r="B855">
        <v>9400010065</v>
      </c>
      <c r="C855" s="10">
        <v>46171</v>
      </c>
      <c r="D855" t="s">
        <v>2032</v>
      </c>
      <c r="E855" s="11">
        <v>18853593</v>
      </c>
      <c r="F855" t="s">
        <v>833</v>
      </c>
      <c r="G855" t="s">
        <v>834</v>
      </c>
      <c r="H855" s="10">
        <v>46216</v>
      </c>
      <c r="I855">
        <v>29962.560000000001</v>
      </c>
      <c r="J855">
        <v>0</v>
      </c>
      <c r="K855">
        <v>29962.560000000001</v>
      </c>
    </row>
    <row r="856" spans="1:11" x14ac:dyDescent="0.35">
      <c r="A856">
        <v>5100000610</v>
      </c>
      <c r="B856">
        <v>9400010062</v>
      </c>
      <c r="C856" s="10">
        <v>46171</v>
      </c>
      <c r="D856" t="s">
        <v>2032</v>
      </c>
      <c r="E856" s="11">
        <v>18853149</v>
      </c>
      <c r="F856" t="s">
        <v>335</v>
      </c>
      <c r="G856" t="s">
        <v>336</v>
      </c>
      <c r="H856" s="10">
        <v>46185</v>
      </c>
      <c r="I856">
        <v>204512.88</v>
      </c>
      <c r="J856">
        <v>0</v>
      </c>
      <c r="K856">
        <v>204512.88</v>
      </c>
    </row>
    <row r="857" spans="1:11" x14ac:dyDescent="0.35">
      <c r="A857">
        <v>9300000499</v>
      </c>
      <c r="B857">
        <v>9400010060</v>
      </c>
      <c r="C857" s="10">
        <v>46171</v>
      </c>
      <c r="D857" t="s">
        <v>2032</v>
      </c>
      <c r="E857" s="11">
        <v>18822440</v>
      </c>
      <c r="F857" t="s">
        <v>877</v>
      </c>
      <c r="G857" t="s">
        <v>878</v>
      </c>
      <c r="H857" s="10">
        <v>46216</v>
      </c>
      <c r="I857">
        <v>61622.06</v>
      </c>
      <c r="J857">
        <v>0</v>
      </c>
      <c r="K857">
        <v>61622.06</v>
      </c>
    </row>
    <row r="858" spans="1:11" x14ac:dyDescent="0.35">
      <c r="A858">
        <v>9300000498</v>
      </c>
      <c r="B858">
        <v>9400010058</v>
      </c>
      <c r="C858" s="10">
        <v>46171</v>
      </c>
      <c r="D858" t="s">
        <v>2032</v>
      </c>
      <c r="E858" s="11">
        <v>18853418</v>
      </c>
      <c r="F858" t="s">
        <v>421</v>
      </c>
      <c r="G858" t="s">
        <v>422</v>
      </c>
      <c r="H858" s="10">
        <v>46216</v>
      </c>
      <c r="I858">
        <v>13235.72</v>
      </c>
      <c r="J858">
        <v>0</v>
      </c>
      <c r="K858">
        <v>13235.72</v>
      </c>
    </row>
    <row r="859" spans="1:11" x14ac:dyDescent="0.35">
      <c r="A859">
        <v>9100000860</v>
      </c>
      <c r="B859">
        <v>9400010054</v>
      </c>
      <c r="C859" s="10">
        <v>46171</v>
      </c>
      <c r="D859" t="s">
        <v>2032</v>
      </c>
      <c r="E859" s="11">
        <v>18820610</v>
      </c>
      <c r="F859" t="s">
        <v>192</v>
      </c>
      <c r="G859" t="s">
        <v>193</v>
      </c>
      <c r="H859" s="10">
        <v>46216</v>
      </c>
      <c r="I859">
        <v>155656.16</v>
      </c>
      <c r="J859">
        <v>0</v>
      </c>
      <c r="K859">
        <v>155656.16</v>
      </c>
    </row>
    <row r="860" spans="1:11" x14ac:dyDescent="0.35">
      <c r="A860">
        <v>5100000608</v>
      </c>
      <c r="B860">
        <v>9400010053</v>
      </c>
      <c r="C860" s="10">
        <v>46171</v>
      </c>
      <c r="D860" t="s">
        <v>2032</v>
      </c>
      <c r="E860" s="11">
        <v>18853141</v>
      </c>
      <c r="F860" t="s">
        <v>887</v>
      </c>
      <c r="G860" t="s">
        <v>888</v>
      </c>
      <c r="H860" s="10">
        <v>46185</v>
      </c>
      <c r="I860">
        <v>469995.88</v>
      </c>
      <c r="J860">
        <v>0</v>
      </c>
      <c r="K860">
        <v>469995.88</v>
      </c>
    </row>
    <row r="861" spans="1:11" x14ac:dyDescent="0.35">
      <c r="A861">
        <v>9300000497</v>
      </c>
      <c r="B861">
        <v>9400010051</v>
      </c>
      <c r="C861" s="10">
        <v>46171</v>
      </c>
      <c r="D861" t="s">
        <v>2032</v>
      </c>
      <c r="E861" s="11">
        <v>18822440</v>
      </c>
      <c r="F861" t="s">
        <v>877</v>
      </c>
      <c r="G861" t="s">
        <v>878</v>
      </c>
      <c r="H861" s="10">
        <v>46185</v>
      </c>
      <c r="I861">
        <v>65808.600000000006</v>
      </c>
      <c r="J861">
        <v>0</v>
      </c>
      <c r="K861">
        <v>65808.600000000006</v>
      </c>
    </row>
    <row r="862" spans="1:11" x14ac:dyDescent="0.35">
      <c r="A862">
        <v>2000000174</v>
      </c>
      <c r="B862">
        <v>9400010049</v>
      </c>
      <c r="C862" s="10">
        <v>46171</v>
      </c>
      <c r="D862" t="s">
        <v>2032</v>
      </c>
      <c r="E862" s="11">
        <v>18853011</v>
      </c>
      <c r="F862" t="s">
        <v>857</v>
      </c>
      <c r="G862" t="s">
        <v>858</v>
      </c>
      <c r="H862" s="10">
        <v>46216</v>
      </c>
      <c r="I862">
        <v>13971.8</v>
      </c>
      <c r="J862">
        <v>0</v>
      </c>
      <c r="K862">
        <v>13971.8</v>
      </c>
    </row>
    <row r="863" spans="1:11" x14ac:dyDescent="0.35">
      <c r="A863">
        <v>5100000606</v>
      </c>
      <c r="B863">
        <v>9400010048</v>
      </c>
      <c r="C863" s="10">
        <v>46171</v>
      </c>
      <c r="D863" t="s">
        <v>2032</v>
      </c>
      <c r="E863" s="11">
        <v>18853134</v>
      </c>
      <c r="F863" t="s">
        <v>1073</v>
      </c>
      <c r="G863" t="s">
        <v>1074</v>
      </c>
      <c r="H863" s="10">
        <v>46216</v>
      </c>
      <c r="I863">
        <v>34936.980000000003</v>
      </c>
      <c r="J863">
        <v>0</v>
      </c>
      <c r="K863">
        <v>34936.980000000003</v>
      </c>
    </row>
    <row r="864" spans="1:11" x14ac:dyDescent="0.35">
      <c r="A864">
        <v>9300000496</v>
      </c>
      <c r="B864">
        <v>9400010047</v>
      </c>
      <c r="C864" s="10">
        <v>46171</v>
      </c>
      <c r="D864" t="s">
        <v>2032</v>
      </c>
      <c r="E864" s="11">
        <v>18853418</v>
      </c>
      <c r="F864" t="s">
        <v>421</v>
      </c>
      <c r="G864" t="s">
        <v>422</v>
      </c>
      <c r="H864" s="10">
        <v>46185</v>
      </c>
      <c r="I864">
        <v>165672</v>
      </c>
      <c r="J864">
        <v>0</v>
      </c>
      <c r="K864">
        <v>165672</v>
      </c>
    </row>
    <row r="865" spans="1:11" x14ac:dyDescent="0.35">
      <c r="A865">
        <v>5200000286</v>
      </c>
      <c r="B865">
        <v>9400010045</v>
      </c>
      <c r="C865" s="10">
        <v>46171</v>
      </c>
      <c r="D865" t="s">
        <v>2032</v>
      </c>
      <c r="E865" s="11">
        <v>18853237</v>
      </c>
      <c r="F865" t="s">
        <v>3559</v>
      </c>
      <c r="G865" t="s">
        <v>3560</v>
      </c>
      <c r="H865" s="10">
        <v>46185</v>
      </c>
      <c r="I865">
        <v>184434</v>
      </c>
      <c r="J865">
        <v>0</v>
      </c>
      <c r="K865">
        <v>184434</v>
      </c>
    </row>
    <row r="866" spans="1:11" x14ac:dyDescent="0.35">
      <c r="A866">
        <v>3000000780</v>
      </c>
      <c r="B866">
        <v>9400010044</v>
      </c>
      <c r="C866" s="10">
        <v>46171</v>
      </c>
      <c r="D866" t="s">
        <v>2032</v>
      </c>
      <c r="E866" s="11">
        <v>18853444</v>
      </c>
      <c r="F866" t="s">
        <v>365</v>
      </c>
      <c r="G866" t="s">
        <v>366</v>
      </c>
      <c r="H866" s="10">
        <v>46216</v>
      </c>
      <c r="I866">
        <v>21497.54</v>
      </c>
      <c r="J866">
        <v>0</v>
      </c>
      <c r="K866">
        <v>21497.54</v>
      </c>
    </row>
    <row r="867" spans="1:11" x14ac:dyDescent="0.35">
      <c r="A867">
        <v>9100000858</v>
      </c>
      <c r="B867">
        <v>9400010043</v>
      </c>
      <c r="C867" s="10">
        <v>46171</v>
      </c>
      <c r="D867" t="s">
        <v>2032</v>
      </c>
      <c r="E867" s="11">
        <v>18853164</v>
      </c>
      <c r="F867" t="s">
        <v>907</v>
      </c>
      <c r="G867" t="s">
        <v>908</v>
      </c>
      <c r="H867" s="10">
        <v>46216</v>
      </c>
      <c r="I867">
        <v>5928.8</v>
      </c>
      <c r="J867">
        <v>0</v>
      </c>
      <c r="K867">
        <v>5928.8</v>
      </c>
    </row>
    <row r="868" spans="1:11" x14ac:dyDescent="0.35">
      <c r="A868">
        <v>3000000779</v>
      </c>
      <c r="B868">
        <v>9400010042</v>
      </c>
      <c r="C868" s="10">
        <v>46171</v>
      </c>
      <c r="D868" t="s">
        <v>2032</v>
      </c>
      <c r="E868" s="11">
        <v>18853444</v>
      </c>
      <c r="F868" t="s">
        <v>365</v>
      </c>
      <c r="G868" t="s">
        <v>366</v>
      </c>
      <c r="H868" s="10">
        <v>46186</v>
      </c>
      <c r="I868">
        <v>233807.3</v>
      </c>
      <c r="J868">
        <v>0</v>
      </c>
      <c r="K868">
        <v>233807.3</v>
      </c>
    </row>
    <row r="869" spans="1:11" x14ac:dyDescent="0.35">
      <c r="A869">
        <v>9100000857</v>
      </c>
      <c r="B869">
        <v>9400010041</v>
      </c>
      <c r="C869" s="10">
        <v>46171</v>
      </c>
      <c r="D869" t="s">
        <v>2032</v>
      </c>
      <c r="E869" s="11">
        <v>18820610</v>
      </c>
      <c r="F869" t="s">
        <v>192</v>
      </c>
      <c r="G869" t="s">
        <v>193</v>
      </c>
      <c r="H869" s="10">
        <v>46216</v>
      </c>
      <c r="I869">
        <v>74198.52</v>
      </c>
      <c r="J869">
        <v>0</v>
      </c>
      <c r="K869">
        <v>74198.52</v>
      </c>
    </row>
    <row r="870" spans="1:11" x14ac:dyDescent="0.35">
      <c r="A870">
        <v>9100000856</v>
      </c>
      <c r="B870">
        <v>9400010040</v>
      </c>
      <c r="C870" s="10">
        <v>46171</v>
      </c>
      <c r="D870" t="s">
        <v>2032</v>
      </c>
      <c r="E870" s="11">
        <v>18853164</v>
      </c>
      <c r="F870" t="s">
        <v>907</v>
      </c>
      <c r="G870" t="s">
        <v>908</v>
      </c>
      <c r="H870" s="10">
        <v>46185</v>
      </c>
      <c r="I870">
        <v>251481.60000000001</v>
      </c>
      <c r="J870">
        <v>0</v>
      </c>
      <c r="K870">
        <v>251481.60000000001</v>
      </c>
    </row>
    <row r="871" spans="1:11" x14ac:dyDescent="0.35">
      <c r="A871">
        <v>2000000173</v>
      </c>
      <c r="B871">
        <v>9400010039</v>
      </c>
      <c r="C871" s="10">
        <v>46171</v>
      </c>
      <c r="D871" t="s">
        <v>2032</v>
      </c>
      <c r="E871" s="11">
        <v>18853011</v>
      </c>
      <c r="F871" t="s">
        <v>857</v>
      </c>
      <c r="G871" t="s">
        <v>858</v>
      </c>
      <c r="H871" s="10">
        <v>46186</v>
      </c>
      <c r="I871">
        <v>79790.759999999995</v>
      </c>
      <c r="J871">
        <v>0</v>
      </c>
      <c r="K871">
        <v>79790.759999999995</v>
      </c>
    </row>
    <row r="872" spans="1:11" x14ac:dyDescent="0.35">
      <c r="A872">
        <v>5200000285</v>
      </c>
      <c r="B872">
        <v>9400010038</v>
      </c>
      <c r="C872" s="10">
        <v>46171</v>
      </c>
      <c r="D872" t="s">
        <v>2032</v>
      </c>
      <c r="E872" s="11">
        <v>18853266</v>
      </c>
      <c r="F872" t="s">
        <v>3100</v>
      </c>
      <c r="G872" t="s">
        <v>3101</v>
      </c>
      <c r="H872" s="10">
        <v>46185</v>
      </c>
      <c r="I872">
        <v>53258.12</v>
      </c>
      <c r="J872">
        <v>0</v>
      </c>
      <c r="K872">
        <v>53258.12</v>
      </c>
    </row>
    <row r="873" spans="1:11" x14ac:dyDescent="0.35">
      <c r="A873">
        <v>5100000605</v>
      </c>
      <c r="B873">
        <v>9400010037</v>
      </c>
      <c r="C873" s="10">
        <v>46171</v>
      </c>
      <c r="D873" t="s">
        <v>2032</v>
      </c>
      <c r="E873" s="11">
        <v>18822774</v>
      </c>
      <c r="F873" t="s">
        <v>335</v>
      </c>
      <c r="G873" t="s">
        <v>336</v>
      </c>
      <c r="H873" s="10">
        <v>46216</v>
      </c>
      <c r="I873">
        <v>23056.36</v>
      </c>
      <c r="J873">
        <v>0</v>
      </c>
      <c r="K873">
        <v>23056.36</v>
      </c>
    </row>
    <row r="874" spans="1:11" x14ac:dyDescent="0.35">
      <c r="A874">
        <v>2000000172</v>
      </c>
      <c r="B874">
        <v>9400010035</v>
      </c>
      <c r="C874" s="10">
        <v>46171</v>
      </c>
      <c r="D874" t="s">
        <v>2032</v>
      </c>
      <c r="E874" s="11">
        <v>18853125</v>
      </c>
      <c r="F874" t="s">
        <v>847</v>
      </c>
      <c r="G874" t="s">
        <v>848</v>
      </c>
      <c r="H874" s="10">
        <v>46216</v>
      </c>
      <c r="I874">
        <v>9859.7199999999993</v>
      </c>
      <c r="J874">
        <v>0</v>
      </c>
      <c r="K874">
        <v>9859.7199999999993</v>
      </c>
    </row>
    <row r="875" spans="1:11" x14ac:dyDescent="0.35">
      <c r="A875">
        <v>9100000855</v>
      </c>
      <c r="B875">
        <v>9400010034</v>
      </c>
      <c r="C875" s="10">
        <v>46171</v>
      </c>
      <c r="D875" t="s">
        <v>2032</v>
      </c>
      <c r="E875" s="11">
        <v>18853205</v>
      </c>
      <c r="F875" t="s">
        <v>3603</v>
      </c>
      <c r="G875" t="s">
        <v>3604</v>
      </c>
      <c r="H875" s="10">
        <v>46216</v>
      </c>
      <c r="I875">
        <v>187218.88</v>
      </c>
      <c r="J875">
        <v>0</v>
      </c>
      <c r="K875">
        <v>187218.88</v>
      </c>
    </row>
    <row r="876" spans="1:11" x14ac:dyDescent="0.35">
      <c r="A876">
        <v>2730000461</v>
      </c>
      <c r="B876">
        <v>9400010033</v>
      </c>
      <c r="C876" s="10">
        <v>46171</v>
      </c>
      <c r="D876" t="s">
        <v>2032</v>
      </c>
      <c r="E876" s="11">
        <v>18853142</v>
      </c>
      <c r="F876" t="s">
        <v>1061</v>
      </c>
      <c r="G876" t="s">
        <v>1062</v>
      </c>
      <c r="H876" s="10">
        <v>46185</v>
      </c>
      <c r="I876">
        <v>19540.8</v>
      </c>
      <c r="J876">
        <v>0</v>
      </c>
      <c r="K876">
        <v>19540.8</v>
      </c>
    </row>
    <row r="877" spans="1:11" x14ac:dyDescent="0.35">
      <c r="A877">
        <v>5200000284</v>
      </c>
      <c r="B877">
        <v>9400010032</v>
      </c>
      <c r="C877" s="10">
        <v>46171</v>
      </c>
      <c r="D877" t="s">
        <v>2032</v>
      </c>
      <c r="E877" s="11">
        <v>18853223</v>
      </c>
      <c r="F877" t="s">
        <v>917</v>
      </c>
      <c r="G877" t="s">
        <v>918</v>
      </c>
      <c r="H877" s="10">
        <v>46185</v>
      </c>
      <c r="I877">
        <v>41760.400000000001</v>
      </c>
      <c r="J877">
        <v>0</v>
      </c>
      <c r="K877">
        <v>41760.400000000001</v>
      </c>
    </row>
    <row r="878" spans="1:11" x14ac:dyDescent="0.35">
      <c r="A878">
        <v>5100000603</v>
      </c>
      <c r="B878">
        <v>9400010029</v>
      </c>
      <c r="C878" s="10">
        <v>46171</v>
      </c>
      <c r="D878" t="s">
        <v>2032</v>
      </c>
      <c r="E878" s="11">
        <v>18822465</v>
      </c>
      <c r="F878" t="s">
        <v>551</v>
      </c>
      <c r="G878" t="s">
        <v>552</v>
      </c>
      <c r="H878" s="10">
        <v>46171</v>
      </c>
      <c r="I878">
        <v>12564.28</v>
      </c>
      <c r="J878">
        <v>10590.49</v>
      </c>
      <c r="K878">
        <v>1973.7900000000009</v>
      </c>
    </row>
    <row r="879" spans="1:11" x14ac:dyDescent="0.35">
      <c r="A879">
        <v>2000000171</v>
      </c>
      <c r="B879">
        <v>9400010028</v>
      </c>
      <c r="C879" s="10">
        <v>46171</v>
      </c>
      <c r="D879" t="s">
        <v>2032</v>
      </c>
      <c r="E879" s="11">
        <v>18853125</v>
      </c>
      <c r="F879" t="s">
        <v>847</v>
      </c>
      <c r="G879" t="s">
        <v>848</v>
      </c>
      <c r="H879" s="10">
        <v>46186</v>
      </c>
      <c r="I879">
        <v>54835.22</v>
      </c>
      <c r="J879">
        <v>0</v>
      </c>
      <c r="K879">
        <v>54835.22</v>
      </c>
    </row>
    <row r="880" spans="1:11" x14ac:dyDescent="0.35">
      <c r="A880">
        <v>9100000854</v>
      </c>
      <c r="B880">
        <v>9400010027</v>
      </c>
      <c r="C880" s="10">
        <v>46171</v>
      </c>
      <c r="D880" t="s">
        <v>2032</v>
      </c>
      <c r="E880" s="11">
        <v>18853205</v>
      </c>
      <c r="F880" t="s">
        <v>3603</v>
      </c>
      <c r="G880" t="s">
        <v>3604</v>
      </c>
      <c r="H880" s="10">
        <v>46185</v>
      </c>
      <c r="I880">
        <v>64279.32</v>
      </c>
      <c r="J880">
        <v>0</v>
      </c>
      <c r="K880">
        <v>64279.32</v>
      </c>
    </row>
    <row r="881" spans="1:11" x14ac:dyDescent="0.35">
      <c r="A881">
        <v>5100000602</v>
      </c>
      <c r="B881">
        <v>9400010026</v>
      </c>
      <c r="C881" s="10">
        <v>46171</v>
      </c>
      <c r="D881" t="s">
        <v>2032</v>
      </c>
      <c r="E881" s="11">
        <v>18822321</v>
      </c>
      <c r="F881" t="s">
        <v>911</v>
      </c>
      <c r="G881" t="s">
        <v>912</v>
      </c>
      <c r="H881" s="10">
        <v>46185</v>
      </c>
      <c r="I881">
        <v>48641.72</v>
      </c>
      <c r="J881">
        <v>0</v>
      </c>
      <c r="K881">
        <v>48641.72</v>
      </c>
    </row>
    <row r="882" spans="1:11" x14ac:dyDescent="0.35">
      <c r="A882">
        <v>3000000776</v>
      </c>
      <c r="B882">
        <v>9400010025</v>
      </c>
      <c r="C882" s="10">
        <v>46171</v>
      </c>
      <c r="D882" t="s">
        <v>2032</v>
      </c>
      <c r="E882" s="11">
        <v>18822067</v>
      </c>
      <c r="F882" t="s">
        <v>995</v>
      </c>
      <c r="G882" t="s">
        <v>996</v>
      </c>
      <c r="H882" s="10">
        <v>46171</v>
      </c>
      <c r="I882">
        <v>68440.41</v>
      </c>
      <c r="J882">
        <v>65120.24</v>
      </c>
      <c r="K882">
        <v>3320.1700000000055</v>
      </c>
    </row>
    <row r="883" spans="1:11" x14ac:dyDescent="0.35">
      <c r="A883">
        <v>2730000460</v>
      </c>
      <c r="B883">
        <v>9400010023</v>
      </c>
      <c r="C883" s="10">
        <v>46171</v>
      </c>
      <c r="D883" t="s">
        <v>2032</v>
      </c>
      <c r="E883" s="11">
        <v>18853423</v>
      </c>
      <c r="F883" t="s">
        <v>89</v>
      </c>
      <c r="G883" t="s">
        <v>90</v>
      </c>
      <c r="H883" s="10">
        <v>46185</v>
      </c>
      <c r="I883">
        <v>327804</v>
      </c>
      <c r="J883">
        <v>0</v>
      </c>
      <c r="K883">
        <v>327804</v>
      </c>
    </row>
    <row r="884" spans="1:11" x14ac:dyDescent="0.35">
      <c r="A884">
        <v>2720000326</v>
      </c>
      <c r="B884">
        <v>9400010018</v>
      </c>
      <c r="C884" s="10">
        <v>46171</v>
      </c>
      <c r="D884" t="s">
        <v>2032</v>
      </c>
      <c r="E884" s="11">
        <v>18822725</v>
      </c>
      <c r="F884" t="s">
        <v>1057</v>
      </c>
      <c r="G884" t="s">
        <v>1058</v>
      </c>
      <c r="H884" s="10">
        <v>46185</v>
      </c>
      <c r="I884">
        <v>128148</v>
      </c>
      <c r="J884">
        <v>0</v>
      </c>
      <c r="K884">
        <v>128148</v>
      </c>
    </row>
    <row r="885" spans="1:11" x14ac:dyDescent="0.35">
      <c r="A885">
        <v>3000000774</v>
      </c>
      <c r="B885">
        <v>9400010017</v>
      </c>
      <c r="C885" s="10">
        <v>46171</v>
      </c>
      <c r="D885" t="s">
        <v>2032</v>
      </c>
      <c r="E885" s="11">
        <v>18853220</v>
      </c>
      <c r="F885" t="s">
        <v>1023</v>
      </c>
      <c r="G885" t="s">
        <v>1024</v>
      </c>
      <c r="H885" s="10">
        <v>46216</v>
      </c>
      <c r="I885">
        <v>400462.22</v>
      </c>
      <c r="J885">
        <v>0</v>
      </c>
      <c r="K885">
        <v>400462.22</v>
      </c>
    </row>
    <row r="886" spans="1:11" x14ac:dyDescent="0.35">
      <c r="A886">
        <v>3000000773</v>
      </c>
      <c r="B886">
        <v>9400010015</v>
      </c>
      <c r="C886" s="10">
        <v>46171</v>
      </c>
      <c r="D886" t="s">
        <v>2032</v>
      </c>
      <c r="E886" s="11">
        <v>18822778</v>
      </c>
      <c r="F886" t="s">
        <v>188</v>
      </c>
      <c r="G886" t="s">
        <v>189</v>
      </c>
      <c r="H886" s="10">
        <v>46216</v>
      </c>
      <c r="I886">
        <v>86367.5</v>
      </c>
      <c r="J886">
        <v>0</v>
      </c>
      <c r="K886">
        <v>86367.5</v>
      </c>
    </row>
    <row r="887" spans="1:11" x14ac:dyDescent="0.35">
      <c r="A887">
        <v>9100000853</v>
      </c>
      <c r="B887">
        <v>9400010014</v>
      </c>
      <c r="C887" s="10">
        <v>46171</v>
      </c>
      <c r="D887" t="s">
        <v>2032</v>
      </c>
      <c r="E887" s="11">
        <v>18853169</v>
      </c>
      <c r="F887" t="s">
        <v>1265</v>
      </c>
      <c r="G887" t="s">
        <v>1266</v>
      </c>
      <c r="H887" s="10">
        <v>46216</v>
      </c>
      <c r="I887">
        <v>37391.94</v>
      </c>
      <c r="J887">
        <v>0</v>
      </c>
      <c r="K887">
        <v>37391.94</v>
      </c>
    </row>
    <row r="888" spans="1:11" x14ac:dyDescent="0.35">
      <c r="A888">
        <v>5100000600</v>
      </c>
      <c r="B888">
        <v>9400010012</v>
      </c>
      <c r="C888" s="10">
        <v>46171</v>
      </c>
      <c r="D888" t="s">
        <v>2032</v>
      </c>
      <c r="E888" s="11">
        <v>18822266</v>
      </c>
      <c r="F888" t="s">
        <v>451</v>
      </c>
      <c r="G888" t="s">
        <v>452</v>
      </c>
      <c r="H888" s="10">
        <v>46216</v>
      </c>
      <c r="I888">
        <v>10324.34</v>
      </c>
      <c r="J888">
        <v>0</v>
      </c>
      <c r="K888">
        <v>10324.34</v>
      </c>
    </row>
    <row r="889" spans="1:11" x14ac:dyDescent="0.35">
      <c r="A889">
        <v>3000000772</v>
      </c>
      <c r="B889">
        <v>9400010011</v>
      </c>
      <c r="C889" s="10">
        <v>46171</v>
      </c>
      <c r="D889" t="s">
        <v>2032</v>
      </c>
      <c r="E889" s="11">
        <v>18853069</v>
      </c>
      <c r="F889" t="s">
        <v>1001</v>
      </c>
      <c r="G889" t="s">
        <v>1002</v>
      </c>
      <c r="H889" s="10">
        <v>46216</v>
      </c>
      <c r="I889">
        <v>136470.54</v>
      </c>
      <c r="J889">
        <v>0</v>
      </c>
      <c r="K889">
        <v>136470.54</v>
      </c>
    </row>
    <row r="890" spans="1:11" x14ac:dyDescent="0.35">
      <c r="A890">
        <v>3000000770</v>
      </c>
      <c r="B890">
        <v>9400010009</v>
      </c>
      <c r="C890" s="10">
        <v>46171</v>
      </c>
      <c r="D890" t="s">
        <v>2032</v>
      </c>
      <c r="E890" s="11">
        <v>18853179</v>
      </c>
      <c r="F890" t="s">
        <v>3516</v>
      </c>
      <c r="G890" t="s">
        <v>3517</v>
      </c>
      <c r="H890" s="10">
        <v>46216</v>
      </c>
      <c r="I890">
        <v>114396.35</v>
      </c>
      <c r="J890">
        <v>0</v>
      </c>
      <c r="K890">
        <v>114396.35</v>
      </c>
    </row>
    <row r="891" spans="1:11" x14ac:dyDescent="0.35">
      <c r="A891">
        <v>5100000599</v>
      </c>
      <c r="B891">
        <v>9400010008</v>
      </c>
      <c r="C891" s="10">
        <v>46171</v>
      </c>
      <c r="D891" t="s">
        <v>2032</v>
      </c>
      <c r="E891" s="11">
        <v>18822266</v>
      </c>
      <c r="F891" t="s">
        <v>451</v>
      </c>
      <c r="G891" t="s">
        <v>452</v>
      </c>
      <c r="H891" s="10">
        <v>46185</v>
      </c>
      <c r="I891">
        <v>238650</v>
      </c>
      <c r="J891">
        <v>0</v>
      </c>
      <c r="K891">
        <v>238650</v>
      </c>
    </row>
    <row r="892" spans="1:11" x14ac:dyDescent="0.35">
      <c r="A892">
        <v>2000000170</v>
      </c>
      <c r="B892">
        <v>9400010007</v>
      </c>
      <c r="C892" s="10">
        <v>46171</v>
      </c>
      <c r="D892" t="s">
        <v>2032</v>
      </c>
      <c r="E892" s="11">
        <v>18822777</v>
      </c>
      <c r="F892" t="s">
        <v>3605</v>
      </c>
      <c r="G892" t="s">
        <v>3606</v>
      </c>
      <c r="H892" s="10">
        <v>46216</v>
      </c>
      <c r="I892">
        <v>13911.72</v>
      </c>
      <c r="J892">
        <v>0</v>
      </c>
      <c r="K892">
        <v>13911.72</v>
      </c>
    </row>
    <row r="893" spans="1:11" x14ac:dyDescent="0.35">
      <c r="A893">
        <v>2730000459</v>
      </c>
      <c r="B893">
        <v>9400010004</v>
      </c>
      <c r="C893" s="10">
        <v>46171</v>
      </c>
      <c r="D893" t="s">
        <v>2032</v>
      </c>
      <c r="E893" s="11">
        <v>18853142</v>
      </c>
      <c r="F893" t="s">
        <v>1061</v>
      </c>
      <c r="G893" t="s">
        <v>1062</v>
      </c>
      <c r="H893" s="10">
        <v>46185</v>
      </c>
      <c r="I893">
        <v>25624.18</v>
      </c>
      <c r="J893">
        <v>0</v>
      </c>
      <c r="K893">
        <v>25624.18</v>
      </c>
    </row>
    <row r="894" spans="1:11" x14ac:dyDescent="0.35">
      <c r="A894">
        <v>2720000325</v>
      </c>
      <c r="B894">
        <v>9400010002</v>
      </c>
      <c r="C894" s="10">
        <v>46171</v>
      </c>
      <c r="D894" t="s">
        <v>2032</v>
      </c>
      <c r="E894" s="11">
        <v>18853331</v>
      </c>
      <c r="F894" t="s">
        <v>22</v>
      </c>
      <c r="G894" t="s">
        <v>23</v>
      </c>
      <c r="H894" s="10">
        <v>46216</v>
      </c>
      <c r="I894">
        <v>102801.60000000001</v>
      </c>
      <c r="J894">
        <v>0</v>
      </c>
      <c r="K894">
        <v>102801.60000000001</v>
      </c>
    </row>
    <row r="895" spans="1:11" x14ac:dyDescent="0.35">
      <c r="A895">
        <v>5100000597</v>
      </c>
      <c r="B895">
        <v>9400009999</v>
      </c>
      <c r="C895" s="10">
        <v>46171</v>
      </c>
      <c r="D895" t="s">
        <v>2032</v>
      </c>
      <c r="E895" s="11">
        <v>18822260</v>
      </c>
      <c r="F895" t="s">
        <v>304</v>
      </c>
      <c r="G895" t="s">
        <v>305</v>
      </c>
      <c r="H895" s="10">
        <v>46216</v>
      </c>
      <c r="I895">
        <v>58432.32</v>
      </c>
      <c r="J895">
        <v>0</v>
      </c>
      <c r="K895">
        <v>58432.32</v>
      </c>
    </row>
    <row r="896" spans="1:11" x14ac:dyDescent="0.35">
      <c r="A896">
        <v>2000000168</v>
      </c>
      <c r="B896">
        <v>9400009997</v>
      </c>
      <c r="C896" s="10">
        <v>46171</v>
      </c>
      <c r="D896" t="s">
        <v>2032</v>
      </c>
      <c r="E896" s="11">
        <v>18822820</v>
      </c>
      <c r="F896" t="s">
        <v>563</v>
      </c>
      <c r="G896" t="s">
        <v>564</v>
      </c>
      <c r="H896" s="10">
        <v>46216</v>
      </c>
      <c r="I896">
        <v>464332.7</v>
      </c>
      <c r="J896">
        <v>0</v>
      </c>
      <c r="K896">
        <v>464332.7</v>
      </c>
    </row>
    <row r="897" spans="1:11" x14ac:dyDescent="0.35">
      <c r="A897">
        <v>8000000529</v>
      </c>
      <c r="B897">
        <v>9400009996</v>
      </c>
      <c r="C897" s="10">
        <v>46171</v>
      </c>
      <c r="D897" t="s">
        <v>2032</v>
      </c>
      <c r="E897" s="11">
        <v>18853357</v>
      </c>
      <c r="F897" t="s">
        <v>265</v>
      </c>
      <c r="G897" t="s">
        <v>266</v>
      </c>
      <c r="H897" s="10">
        <v>46185</v>
      </c>
      <c r="I897">
        <v>107026.94</v>
      </c>
      <c r="J897">
        <v>0</v>
      </c>
      <c r="K897">
        <v>107026.94</v>
      </c>
    </row>
    <row r="898" spans="1:11" x14ac:dyDescent="0.35">
      <c r="A898">
        <v>3000000768</v>
      </c>
      <c r="B898">
        <v>9400009995</v>
      </c>
      <c r="C898" s="10">
        <v>46171</v>
      </c>
      <c r="D898" t="s">
        <v>2032</v>
      </c>
      <c r="E898" s="11">
        <v>18853179</v>
      </c>
      <c r="F898" t="s">
        <v>3516</v>
      </c>
      <c r="G898" t="s">
        <v>3517</v>
      </c>
      <c r="H898" s="10">
        <v>46185</v>
      </c>
      <c r="I898">
        <v>222835.92</v>
      </c>
      <c r="J898">
        <v>0</v>
      </c>
      <c r="K898">
        <v>222835.92</v>
      </c>
    </row>
    <row r="899" spans="1:11" x14ac:dyDescent="0.35">
      <c r="A899">
        <v>9200000616</v>
      </c>
      <c r="B899">
        <v>9400009993</v>
      </c>
      <c r="C899" s="10">
        <v>46171</v>
      </c>
      <c r="D899" t="s">
        <v>2032</v>
      </c>
      <c r="E899" s="11">
        <v>18853353</v>
      </c>
      <c r="F899" t="s">
        <v>208</v>
      </c>
      <c r="G899" t="s">
        <v>209</v>
      </c>
      <c r="H899" s="10">
        <v>46216</v>
      </c>
      <c r="I899">
        <v>15209.82</v>
      </c>
      <c r="J899">
        <v>0</v>
      </c>
      <c r="K899">
        <v>15209.82</v>
      </c>
    </row>
    <row r="900" spans="1:11" x14ac:dyDescent="0.35">
      <c r="A900">
        <v>8000000528</v>
      </c>
      <c r="B900">
        <v>9400009991</v>
      </c>
      <c r="C900" s="10">
        <v>46171</v>
      </c>
      <c r="D900" t="s">
        <v>2032</v>
      </c>
      <c r="E900" s="11">
        <v>18853370</v>
      </c>
      <c r="F900" t="s">
        <v>3607</v>
      </c>
      <c r="G900" t="s">
        <v>3608</v>
      </c>
      <c r="H900" s="10">
        <v>46185</v>
      </c>
      <c r="I900">
        <v>46430.64</v>
      </c>
      <c r="J900">
        <v>0</v>
      </c>
      <c r="K900">
        <v>46430.64</v>
      </c>
    </row>
    <row r="901" spans="1:11" x14ac:dyDescent="0.35">
      <c r="A901">
        <v>2720000324</v>
      </c>
      <c r="B901">
        <v>9400009990</v>
      </c>
      <c r="C901" s="10">
        <v>46171</v>
      </c>
      <c r="D901" t="s">
        <v>2032</v>
      </c>
      <c r="E901" s="11">
        <v>18853287</v>
      </c>
      <c r="F901" t="s">
        <v>80</v>
      </c>
      <c r="G901" t="s">
        <v>81</v>
      </c>
      <c r="H901" s="10">
        <v>46216</v>
      </c>
      <c r="I901">
        <v>43200.52</v>
      </c>
      <c r="J901">
        <v>0</v>
      </c>
      <c r="K901">
        <v>43200.52</v>
      </c>
    </row>
    <row r="902" spans="1:11" x14ac:dyDescent="0.35">
      <c r="A902">
        <v>2710000705</v>
      </c>
      <c r="B902">
        <v>9400009988</v>
      </c>
      <c r="C902" s="10">
        <v>46171</v>
      </c>
      <c r="D902" t="s">
        <v>2032</v>
      </c>
      <c r="E902" s="11">
        <v>18853130</v>
      </c>
      <c r="F902" t="s">
        <v>505</v>
      </c>
      <c r="G902" t="s">
        <v>506</v>
      </c>
      <c r="H902" s="10">
        <v>46216</v>
      </c>
      <c r="I902">
        <v>26254.06</v>
      </c>
      <c r="J902">
        <v>0</v>
      </c>
      <c r="K902">
        <v>26254.06</v>
      </c>
    </row>
    <row r="903" spans="1:11" x14ac:dyDescent="0.35">
      <c r="A903">
        <v>2710000704</v>
      </c>
      <c r="B903">
        <v>9400009986</v>
      </c>
      <c r="C903" s="10">
        <v>46171</v>
      </c>
      <c r="D903" t="s">
        <v>2032</v>
      </c>
      <c r="E903" s="11">
        <v>18853130</v>
      </c>
      <c r="F903" t="s">
        <v>505</v>
      </c>
      <c r="G903" t="s">
        <v>506</v>
      </c>
      <c r="H903" s="10">
        <v>46185</v>
      </c>
      <c r="I903">
        <v>126779.29</v>
      </c>
      <c r="J903">
        <v>0</v>
      </c>
      <c r="K903">
        <v>126779.29</v>
      </c>
    </row>
    <row r="904" spans="1:11" x14ac:dyDescent="0.35">
      <c r="A904">
        <v>2710000703</v>
      </c>
      <c r="B904">
        <v>9400009985</v>
      </c>
      <c r="C904" s="10">
        <v>46171</v>
      </c>
      <c r="D904" t="s">
        <v>2032</v>
      </c>
      <c r="E904" s="11">
        <v>18853102</v>
      </c>
      <c r="F904" t="s">
        <v>66</v>
      </c>
      <c r="G904" t="s">
        <v>67</v>
      </c>
      <c r="H904" s="10">
        <v>46216</v>
      </c>
      <c r="I904">
        <v>209200.78</v>
      </c>
      <c r="J904">
        <v>0</v>
      </c>
      <c r="K904">
        <v>209200.78</v>
      </c>
    </row>
    <row r="905" spans="1:11" x14ac:dyDescent="0.35">
      <c r="A905">
        <v>2710000702</v>
      </c>
      <c r="B905">
        <v>9400009984</v>
      </c>
      <c r="C905" s="10">
        <v>46171</v>
      </c>
      <c r="D905" t="s">
        <v>2032</v>
      </c>
      <c r="E905" s="11">
        <v>18853037</v>
      </c>
      <c r="F905" t="s">
        <v>579</v>
      </c>
      <c r="G905" t="s">
        <v>580</v>
      </c>
      <c r="H905" s="10">
        <v>46185</v>
      </c>
      <c r="I905">
        <v>404108.7</v>
      </c>
      <c r="J905">
        <v>0</v>
      </c>
      <c r="K905">
        <v>404108.7</v>
      </c>
    </row>
    <row r="906" spans="1:11" x14ac:dyDescent="0.35">
      <c r="A906">
        <v>2720000323</v>
      </c>
      <c r="B906">
        <v>9400009983</v>
      </c>
      <c r="C906" s="10">
        <v>46171</v>
      </c>
      <c r="D906" t="s">
        <v>2032</v>
      </c>
      <c r="E906" s="11">
        <v>18853287</v>
      </c>
      <c r="F906" t="s">
        <v>80</v>
      </c>
      <c r="G906" t="s">
        <v>81</v>
      </c>
      <c r="H906" s="10">
        <v>46185</v>
      </c>
      <c r="I906">
        <v>168988.28</v>
      </c>
      <c r="J906">
        <v>0</v>
      </c>
      <c r="K906">
        <v>168988.28</v>
      </c>
    </row>
    <row r="907" spans="1:11" x14ac:dyDescent="0.35">
      <c r="A907">
        <v>2710000701</v>
      </c>
      <c r="B907">
        <v>9400009982</v>
      </c>
      <c r="C907" s="10">
        <v>46171</v>
      </c>
      <c r="D907" t="s">
        <v>2032</v>
      </c>
      <c r="E907" s="11">
        <v>18852961</v>
      </c>
      <c r="F907" t="s">
        <v>144</v>
      </c>
      <c r="G907" t="s">
        <v>145</v>
      </c>
      <c r="H907" s="10">
        <v>46216</v>
      </c>
      <c r="I907">
        <v>8594.98</v>
      </c>
      <c r="J907">
        <v>0</v>
      </c>
      <c r="K907">
        <v>8594.98</v>
      </c>
    </row>
    <row r="908" spans="1:11" x14ac:dyDescent="0.35">
      <c r="A908">
        <v>2300000429</v>
      </c>
      <c r="B908">
        <v>9400009979</v>
      </c>
      <c r="C908" s="10">
        <v>46171</v>
      </c>
      <c r="D908" t="s">
        <v>2032</v>
      </c>
      <c r="E908" s="11">
        <v>18853332</v>
      </c>
      <c r="F908" t="s">
        <v>709</v>
      </c>
      <c r="G908" t="s">
        <v>710</v>
      </c>
      <c r="H908" s="10">
        <v>46216</v>
      </c>
      <c r="I908">
        <v>31435.200000000001</v>
      </c>
      <c r="J908">
        <v>0</v>
      </c>
      <c r="K908">
        <v>31435.200000000001</v>
      </c>
    </row>
    <row r="909" spans="1:11" x14ac:dyDescent="0.35">
      <c r="A909">
        <v>3000000766</v>
      </c>
      <c r="B909">
        <v>9400009977</v>
      </c>
      <c r="C909" s="10">
        <v>46171</v>
      </c>
      <c r="D909" t="s">
        <v>2032</v>
      </c>
      <c r="E909" s="11">
        <v>18853220</v>
      </c>
      <c r="F909" t="s">
        <v>1023</v>
      </c>
      <c r="G909" t="s">
        <v>1024</v>
      </c>
      <c r="H909" s="10">
        <v>46216</v>
      </c>
      <c r="I909">
        <v>204089.14</v>
      </c>
      <c r="J909">
        <v>0</v>
      </c>
      <c r="K909">
        <v>204089.14</v>
      </c>
    </row>
    <row r="910" spans="1:11" x14ac:dyDescent="0.35">
      <c r="A910">
        <v>8000000525</v>
      </c>
      <c r="B910">
        <v>9400009972</v>
      </c>
      <c r="C910" s="10">
        <v>46171</v>
      </c>
      <c r="D910" t="s">
        <v>2032</v>
      </c>
      <c r="E910" s="11">
        <v>18822844</v>
      </c>
      <c r="F910" t="s">
        <v>719</v>
      </c>
      <c r="G910" t="s">
        <v>720</v>
      </c>
      <c r="H910" s="10">
        <v>46216</v>
      </c>
      <c r="I910">
        <v>107398.9</v>
      </c>
      <c r="J910">
        <v>0</v>
      </c>
      <c r="K910">
        <v>107398.9</v>
      </c>
    </row>
    <row r="911" spans="1:11" x14ac:dyDescent="0.35">
      <c r="A911">
        <v>8000000524</v>
      </c>
      <c r="B911">
        <v>9400009971</v>
      </c>
      <c r="C911" s="10">
        <v>46171</v>
      </c>
      <c r="D911" t="s">
        <v>2032</v>
      </c>
      <c r="E911" s="11">
        <v>18822354</v>
      </c>
      <c r="F911" t="s">
        <v>721</v>
      </c>
      <c r="G911" t="s">
        <v>722</v>
      </c>
      <c r="H911" s="10">
        <v>46216</v>
      </c>
      <c r="I911">
        <v>78641.02</v>
      </c>
      <c r="J911">
        <v>0</v>
      </c>
      <c r="K911">
        <v>78641.02</v>
      </c>
    </row>
    <row r="912" spans="1:11" x14ac:dyDescent="0.35">
      <c r="A912">
        <v>9200000614</v>
      </c>
      <c r="B912">
        <v>9400009968</v>
      </c>
      <c r="C912" s="10">
        <v>46171</v>
      </c>
      <c r="D912" t="s">
        <v>2032</v>
      </c>
      <c r="E912" s="11">
        <v>18821435</v>
      </c>
      <c r="F912" t="s">
        <v>124</v>
      </c>
      <c r="G912" t="s">
        <v>125</v>
      </c>
      <c r="H912" s="10">
        <v>46216</v>
      </c>
      <c r="I912">
        <v>141805.32</v>
      </c>
      <c r="J912">
        <v>0</v>
      </c>
      <c r="K912">
        <v>141805.32</v>
      </c>
    </row>
    <row r="913" spans="1:11" x14ac:dyDescent="0.35">
      <c r="A913">
        <v>9100000847</v>
      </c>
      <c r="B913">
        <v>9400009965</v>
      </c>
      <c r="C913" s="10">
        <v>46171</v>
      </c>
      <c r="D913" t="s">
        <v>2032</v>
      </c>
      <c r="E913" s="11">
        <v>18853093</v>
      </c>
      <c r="F913" t="s">
        <v>409</v>
      </c>
      <c r="G913" t="s">
        <v>410</v>
      </c>
      <c r="H913" s="10">
        <v>46171</v>
      </c>
      <c r="I913">
        <v>145241.34</v>
      </c>
      <c r="J913">
        <v>144417.82</v>
      </c>
      <c r="K913">
        <v>823.51999999998952</v>
      </c>
    </row>
    <row r="914" spans="1:11" x14ac:dyDescent="0.35">
      <c r="A914">
        <v>3000000764</v>
      </c>
      <c r="B914">
        <v>9400009962</v>
      </c>
      <c r="C914" s="10">
        <v>46171</v>
      </c>
      <c r="D914" t="s">
        <v>2032</v>
      </c>
      <c r="E914" s="11">
        <v>18853194</v>
      </c>
      <c r="F914" t="s">
        <v>785</v>
      </c>
      <c r="G914" t="s">
        <v>786</v>
      </c>
      <c r="H914" s="10">
        <v>46216</v>
      </c>
      <c r="I914">
        <v>105012.33</v>
      </c>
      <c r="J914">
        <v>0</v>
      </c>
      <c r="K914">
        <v>105012.33</v>
      </c>
    </row>
    <row r="915" spans="1:11" x14ac:dyDescent="0.35">
      <c r="A915">
        <v>9300000494</v>
      </c>
      <c r="B915">
        <v>9400009961</v>
      </c>
      <c r="C915" s="10">
        <v>46171</v>
      </c>
      <c r="D915" t="s">
        <v>2032</v>
      </c>
      <c r="E915" s="11">
        <v>18822384</v>
      </c>
      <c r="F915" t="s">
        <v>549</v>
      </c>
      <c r="G915" t="s">
        <v>550</v>
      </c>
      <c r="H915" s="10">
        <v>46171</v>
      </c>
      <c r="I915">
        <v>211658.67</v>
      </c>
      <c r="J915">
        <v>211587.1</v>
      </c>
      <c r="K915">
        <v>71.570000000006985</v>
      </c>
    </row>
    <row r="916" spans="1:11" x14ac:dyDescent="0.35">
      <c r="A916">
        <v>2710000699</v>
      </c>
      <c r="B916">
        <v>9400009958</v>
      </c>
      <c r="C916" s="10">
        <v>46171</v>
      </c>
      <c r="D916" t="s">
        <v>2032</v>
      </c>
      <c r="E916" s="11">
        <v>18822847</v>
      </c>
      <c r="F916" t="s">
        <v>148</v>
      </c>
      <c r="G916" t="s">
        <v>149</v>
      </c>
      <c r="H916" s="10">
        <v>46216</v>
      </c>
      <c r="I916">
        <v>13738.76</v>
      </c>
      <c r="J916">
        <v>0</v>
      </c>
      <c r="K916">
        <v>13738.76</v>
      </c>
    </row>
    <row r="917" spans="1:11" x14ac:dyDescent="0.35">
      <c r="A917">
        <v>3000000763</v>
      </c>
      <c r="B917">
        <v>9400009957</v>
      </c>
      <c r="C917" s="10">
        <v>46171</v>
      </c>
      <c r="D917" t="s">
        <v>2032</v>
      </c>
      <c r="E917" s="11">
        <v>18822720</v>
      </c>
      <c r="F917" t="s">
        <v>933</v>
      </c>
      <c r="G917" t="s">
        <v>934</v>
      </c>
      <c r="H917" s="10">
        <v>46216</v>
      </c>
      <c r="I917">
        <v>46075.93</v>
      </c>
      <c r="J917">
        <v>0</v>
      </c>
      <c r="K917">
        <v>46075.93</v>
      </c>
    </row>
    <row r="918" spans="1:11" x14ac:dyDescent="0.35">
      <c r="A918">
        <v>2000000167</v>
      </c>
      <c r="B918">
        <v>9400009956</v>
      </c>
      <c r="C918" s="10">
        <v>46171</v>
      </c>
      <c r="D918" t="s">
        <v>2032</v>
      </c>
      <c r="E918" s="11">
        <v>18822820</v>
      </c>
      <c r="F918" t="s">
        <v>563</v>
      </c>
      <c r="G918" t="s">
        <v>564</v>
      </c>
      <c r="H918" s="10">
        <v>46216</v>
      </c>
      <c r="I918">
        <v>753016.82</v>
      </c>
      <c r="J918">
        <v>0</v>
      </c>
      <c r="K918">
        <v>753016.82</v>
      </c>
    </row>
    <row r="919" spans="1:11" x14ac:dyDescent="0.35">
      <c r="A919">
        <v>5100000595</v>
      </c>
      <c r="B919">
        <v>9400009955</v>
      </c>
      <c r="C919" s="10">
        <v>46171</v>
      </c>
      <c r="D919" t="s">
        <v>2032</v>
      </c>
      <c r="E919" s="11">
        <v>18822765</v>
      </c>
      <c r="F919" t="s">
        <v>887</v>
      </c>
      <c r="G919" t="s">
        <v>888</v>
      </c>
      <c r="H919" s="10">
        <v>46216</v>
      </c>
      <c r="I919">
        <v>27999.66</v>
      </c>
      <c r="J919">
        <v>0</v>
      </c>
      <c r="K919">
        <v>27999.66</v>
      </c>
    </row>
    <row r="920" spans="1:11" x14ac:dyDescent="0.35">
      <c r="A920">
        <v>2710000698</v>
      </c>
      <c r="B920">
        <v>9400009954</v>
      </c>
      <c r="C920" s="10">
        <v>46171</v>
      </c>
      <c r="D920" t="s">
        <v>2032</v>
      </c>
      <c r="E920" s="11">
        <v>18842895</v>
      </c>
      <c r="F920" t="s">
        <v>791</v>
      </c>
      <c r="G920" t="s">
        <v>792</v>
      </c>
      <c r="H920" s="10">
        <v>46185</v>
      </c>
      <c r="I920">
        <v>109810.8</v>
      </c>
      <c r="J920">
        <v>0</v>
      </c>
      <c r="K920">
        <v>109810.8</v>
      </c>
    </row>
    <row r="921" spans="1:11" x14ac:dyDescent="0.35">
      <c r="A921">
        <v>9200000613</v>
      </c>
      <c r="B921">
        <v>9400009953</v>
      </c>
      <c r="C921" s="10">
        <v>46171</v>
      </c>
      <c r="D921" t="s">
        <v>2032</v>
      </c>
      <c r="E921" s="11">
        <v>18842913</v>
      </c>
      <c r="F921" t="s">
        <v>377</v>
      </c>
      <c r="G921" t="s">
        <v>378</v>
      </c>
      <c r="H921" s="10">
        <v>46185</v>
      </c>
      <c r="I921">
        <v>163642.4</v>
      </c>
      <c r="J921">
        <v>0</v>
      </c>
      <c r="K921">
        <v>163642.4</v>
      </c>
    </row>
    <row r="922" spans="1:11" x14ac:dyDescent="0.35">
      <c r="A922">
        <v>2710000697</v>
      </c>
      <c r="B922">
        <v>9400009950</v>
      </c>
      <c r="C922" s="10">
        <v>46171</v>
      </c>
      <c r="D922" t="s">
        <v>2032</v>
      </c>
      <c r="E922" s="11">
        <v>18822847</v>
      </c>
      <c r="F922" t="s">
        <v>148</v>
      </c>
      <c r="G922" t="s">
        <v>149</v>
      </c>
      <c r="H922" s="10">
        <v>46185</v>
      </c>
      <c r="I922">
        <v>50976</v>
      </c>
      <c r="J922">
        <v>0</v>
      </c>
      <c r="K922">
        <v>50976</v>
      </c>
    </row>
    <row r="923" spans="1:11" x14ac:dyDescent="0.35">
      <c r="A923">
        <v>2710000696</v>
      </c>
      <c r="B923">
        <v>9400009949</v>
      </c>
      <c r="C923" s="10">
        <v>46171</v>
      </c>
      <c r="D923" t="s">
        <v>2032</v>
      </c>
      <c r="E923" s="11">
        <v>18822760</v>
      </c>
      <c r="F923" t="s">
        <v>597</v>
      </c>
      <c r="G923" t="s">
        <v>598</v>
      </c>
      <c r="H923" s="10">
        <v>46185</v>
      </c>
      <c r="I923">
        <v>33999.440000000002</v>
      </c>
      <c r="J923">
        <v>0</v>
      </c>
      <c r="K923">
        <v>33999.440000000002</v>
      </c>
    </row>
    <row r="924" spans="1:11" x14ac:dyDescent="0.35">
      <c r="A924">
        <v>2720000322</v>
      </c>
      <c r="B924">
        <v>9400009947</v>
      </c>
      <c r="C924" s="10">
        <v>46171</v>
      </c>
      <c r="D924" t="s">
        <v>2032</v>
      </c>
      <c r="E924" s="11">
        <v>18853257</v>
      </c>
      <c r="F924" t="s">
        <v>162</v>
      </c>
      <c r="G924" t="s">
        <v>163</v>
      </c>
      <c r="H924" s="10">
        <v>46185</v>
      </c>
      <c r="I924">
        <v>125507.16</v>
      </c>
      <c r="J924">
        <v>0</v>
      </c>
      <c r="K924">
        <v>125507.16</v>
      </c>
    </row>
    <row r="925" spans="1:11" x14ac:dyDescent="0.35">
      <c r="A925">
        <v>2710000695</v>
      </c>
      <c r="B925">
        <v>9400009946</v>
      </c>
      <c r="C925" s="10">
        <v>46171</v>
      </c>
      <c r="D925" t="s">
        <v>2032</v>
      </c>
      <c r="E925" s="11">
        <v>18822755</v>
      </c>
      <c r="F925" t="s">
        <v>599</v>
      </c>
      <c r="G925" t="s">
        <v>600</v>
      </c>
      <c r="H925" s="10">
        <v>46216</v>
      </c>
      <c r="I925">
        <v>8018.8</v>
      </c>
      <c r="J925">
        <v>0</v>
      </c>
      <c r="K925">
        <v>8018.8</v>
      </c>
    </row>
    <row r="926" spans="1:11" x14ac:dyDescent="0.35">
      <c r="A926">
        <v>7000000442</v>
      </c>
      <c r="B926">
        <v>9400009945</v>
      </c>
      <c r="C926" s="10">
        <v>46171</v>
      </c>
      <c r="D926" t="s">
        <v>2032</v>
      </c>
      <c r="E926" s="11">
        <v>18853307</v>
      </c>
      <c r="F926" t="s">
        <v>3510</v>
      </c>
      <c r="G926" t="s">
        <v>3511</v>
      </c>
      <c r="H926" s="10">
        <v>46185</v>
      </c>
      <c r="I926">
        <v>319166.40000000002</v>
      </c>
      <c r="J926">
        <v>0</v>
      </c>
      <c r="K926">
        <v>319166.40000000002</v>
      </c>
    </row>
    <row r="927" spans="1:11" x14ac:dyDescent="0.35">
      <c r="A927">
        <v>2710000694</v>
      </c>
      <c r="B927">
        <v>9400009944</v>
      </c>
      <c r="C927" s="10">
        <v>46171</v>
      </c>
      <c r="D927" t="s">
        <v>2032</v>
      </c>
      <c r="E927" s="11">
        <v>18822755</v>
      </c>
      <c r="F927" t="s">
        <v>599</v>
      </c>
      <c r="G927" t="s">
        <v>600</v>
      </c>
      <c r="H927" s="10">
        <v>46185</v>
      </c>
      <c r="I927">
        <v>16371.32</v>
      </c>
      <c r="J927">
        <v>0</v>
      </c>
      <c r="K927">
        <v>16371.32</v>
      </c>
    </row>
    <row r="928" spans="1:11" x14ac:dyDescent="0.35">
      <c r="A928">
        <v>9100000846</v>
      </c>
      <c r="B928">
        <v>9400009943</v>
      </c>
      <c r="C928" s="10">
        <v>46171</v>
      </c>
      <c r="D928" t="s">
        <v>2032</v>
      </c>
      <c r="E928" s="11">
        <v>18822845</v>
      </c>
      <c r="F928" t="s">
        <v>989</v>
      </c>
      <c r="G928" t="s">
        <v>990</v>
      </c>
      <c r="H928" s="10">
        <v>46216</v>
      </c>
      <c r="I928">
        <v>5928.8</v>
      </c>
      <c r="J928">
        <v>0</v>
      </c>
      <c r="K928">
        <v>5928.8</v>
      </c>
    </row>
    <row r="929" spans="1:11" x14ac:dyDescent="0.35">
      <c r="A929">
        <v>9100000845</v>
      </c>
      <c r="B929">
        <v>9400009941</v>
      </c>
      <c r="C929" s="10">
        <v>46171</v>
      </c>
      <c r="D929" t="s">
        <v>2032</v>
      </c>
      <c r="E929" s="11">
        <v>18822568</v>
      </c>
      <c r="F929" t="s">
        <v>235</v>
      </c>
      <c r="G929" t="s">
        <v>236</v>
      </c>
      <c r="H929" s="10">
        <v>46185</v>
      </c>
      <c r="I929">
        <v>168348.24</v>
      </c>
      <c r="J929">
        <v>0</v>
      </c>
      <c r="K929">
        <v>168348.24</v>
      </c>
    </row>
    <row r="930" spans="1:11" x14ac:dyDescent="0.35">
      <c r="A930">
        <v>9100000844</v>
      </c>
      <c r="B930">
        <v>9400009940</v>
      </c>
      <c r="C930" s="10">
        <v>46171</v>
      </c>
      <c r="D930" t="s">
        <v>2032</v>
      </c>
      <c r="E930" s="11">
        <v>18822845</v>
      </c>
      <c r="F930" t="s">
        <v>989</v>
      </c>
      <c r="G930" t="s">
        <v>990</v>
      </c>
      <c r="H930" s="10">
        <v>46185</v>
      </c>
      <c r="I930">
        <v>339840</v>
      </c>
      <c r="J930">
        <v>0</v>
      </c>
      <c r="K930">
        <v>339840</v>
      </c>
    </row>
    <row r="931" spans="1:11" x14ac:dyDescent="0.35">
      <c r="A931">
        <v>9200000612</v>
      </c>
      <c r="B931">
        <v>9400009938</v>
      </c>
      <c r="C931" s="10">
        <v>46171</v>
      </c>
      <c r="D931" t="s">
        <v>2032</v>
      </c>
      <c r="E931" s="11">
        <v>18853032</v>
      </c>
      <c r="F931" t="s">
        <v>208</v>
      </c>
      <c r="G931" t="s">
        <v>209</v>
      </c>
      <c r="H931" s="10">
        <v>46216</v>
      </c>
      <c r="I931">
        <v>96677.119999999995</v>
      </c>
      <c r="J931">
        <v>0</v>
      </c>
      <c r="K931">
        <v>96677.119999999995</v>
      </c>
    </row>
    <row r="932" spans="1:11" x14ac:dyDescent="0.35">
      <c r="A932">
        <v>9200000611</v>
      </c>
      <c r="B932">
        <v>9400009937</v>
      </c>
      <c r="C932" s="10">
        <v>46171</v>
      </c>
      <c r="D932" t="s">
        <v>2032</v>
      </c>
      <c r="E932" s="11">
        <v>18853032</v>
      </c>
      <c r="F932" t="s">
        <v>208</v>
      </c>
      <c r="G932" t="s">
        <v>209</v>
      </c>
      <c r="H932" s="10">
        <v>46185</v>
      </c>
      <c r="I932">
        <v>21523.200000000001</v>
      </c>
      <c r="J932">
        <v>0</v>
      </c>
      <c r="K932">
        <v>21523.200000000001</v>
      </c>
    </row>
    <row r="933" spans="1:11" x14ac:dyDescent="0.35">
      <c r="A933">
        <v>7000000441</v>
      </c>
      <c r="B933">
        <v>9400009936</v>
      </c>
      <c r="C933" s="10">
        <v>46171</v>
      </c>
      <c r="D933" t="s">
        <v>2032</v>
      </c>
      <c r="E933" s="11">
        <v>18853307</v>
      </c>
      <c r="F933" t="s">
        <v>3510</v>
      </c>
      <c r="G933" t="s">
        <v>3511</v>
      </c>
      <c r="H933" s="10">
        <v>46185</v>
      </c>
      <c r="I933">
        <v>310387.20000000001</v>
      </c>
      <c r="J933">
        <v>0</v>
      </c>
      <c r="K933">
        <v>310387.20000000001</v>
      </c>
    </row>
    <row r="934" spans="1:11" x14ac:dyDescent="0.35">
      <c r="A934">
        <v>5100000592</v>
      </c>
      <c r="B934">
        <v>9400009935</v>
      </c>
      <c r="C934" s="10">
        <v>46171</v>
      </c>
      <c r="D934" t="s">
        <v>2032</v>
      </c>
      <c r="E934" s="11">
        <v>18822779</v>
      </c>
      <c r="F934" t="s">
        <v>126</v>
      </c>
      <c r="G934" t="s">
        <v>127</v>
      </c>
      <c r="H934" s="10">
        <v>46171</v>
      </c>
      <c r="I934">
        <v>4312.99</v>
      </c>
      <c r="J934">
        <v>4173.3100000000004</v>
      </c>
      <c r="K934">
        <v>139.67999999999938</v>
      </c>
    </row>
    <row r="935" spans="1:11" x14ac:dyDescent="0.35">
      <c r="A935">
        <v>9200000610</v>
      </c>
      <c r="B935">
        <v>9400009933</v>
      </c>
      <c r="C935" s="10">
        <v>46171</v>
      </c>
      <c r="D935" t="s">
        <v>2032</v>
      </c>
      <c r="E935" s="11">
        <v>18852936</v>
      </c>
      <c r="F935" t="s">
        <v>617</v>
      </c>
      <c r="G935" t="s">
        <v>618</v>
      </c>
      <c r="H935" s="10">
        <v>46216</v>
      </c>
      <c r="I935">
        <v>41531.279999999999</v>
      </c>
      <c r="J935">
        <v>0</v>
      </c>
      <c r="K935">
        <v>41531.279999999999</v>
      </c>
    </row>
    <row r="936" spans="1:11" x14ac:dyDescent="0.35">
      <c r="A936">
        <v>3000000761</v>
      </c>
      <c r="B936">
        <v>9400009931</v>
      </c>
      <c r="C936" s="10">
        <v>46171</v>
      </c>
      <c r="D936" t="s">
        <v>2032</v>
      </c>
      <c r="E936" s="11">
        <v>18852958</v>
      </c>
      <c r="F936" t="s">
        <v>3609</v>
      </c>
      <c r="G936" t="s">
        <v>3610</v>
      </c>
      <c r="H936" s="10">
        <v>46186</v>
      </c>
      <c r="I936">
        <v>124437.23</v>
      </c>
      <c r="J936">
        <v>0</v>
      </c>
      <c r="K936">
        <v>124437.23</v>
      </c>
    </row>
    <row r="937" spans="1:11" x14ac:dyDescent="0.35">
      <c r="A937">
        <v>9100000843</v>
      </c>
      <c r="B937">
        <v>9400009930</v>
      </c>
      <c r="C937" s="10">
        <v>46171</v>
      </c>
      <c r="D937" t="s">
        <v>2032</v>
      </c>
      <c r="E937" s="11">
        <v>18821970</v>
      </c>
      <c r="F937" t="s">
        <v>969</v>
      </c>
      <c r="G937" t="s">
        <v>970</v>
      </c>
      <c r="H937" s="10">
        <v>46171</v>
      </c>
      <c r="I937">
        <v>7145.87</v>
      </c>
      <c r="J937">
        <v>4912.05</v>
      </c>
      <c r="K937">
        <v>2233.8199999999997</v>
      </c>
    </row>
    <row r="938" spans="1:11" x14ac:dyDescent="0.35">
      <c r="A938">
        <v>8000000523</v>
      </c>
      <c r="B938">
        <v>9400009929</v>
      </c>
      <c r="C938" s="10">
        <v>46171</v>
      </c>
      <c r="D938" t="s">
        <v>2032</v>
      </c>
      <c r="E938" s="11">
        <v>18853263</v>
      </c>
      <c r="F938" t="s">
        <v>693</v>
      </c>
      <c r="G938" t="s">
        <v>694</v>
      </c>
      <c r="H938" s="10">
        <v>46216</v>
      </c>
      <c r="I938">
        <v>187880.2</v>
      </c>
      <c r="J938">
        <v>0</v>
      </c>
      <c r="K938">
        <v>187880.2</v>
      </c>
    </row>
    <row r="939" spans="1:11" x14ac:dyDescent="0.35">
      <c r="A939">
        <v>9200000609</v>
      </c>
      <c r="B939">
        <v>9400009927</v>
      </c>
      <c r="C939" s="10">
        <v>46171</v>
      </c>
      <c r="D939" t="s">
        <v>2032</v>
      </c>
      <c r="E939" s="11">
        <v>18853256</v>
      </c>
      <c r="F939" t="s">
        <v>249</v>
      </c>
      <c r="G939" t="s">
        <v>250</v>
      </c>
      <c r="H939" s="10">
        <v>46216</v>
      </c>
      <c r="I939">
        <v>278982.42</v>
      </c>
      <c r="J939">
        <v>0</v>
      </c>
      <c r="K939">
        <v>278982.42</v>
      </c>
    </row>
    <row r="940" spans="1:11" x14ac:dyDescent="0.35">
      <c r="A940">
        <v>3000000760</v>
      </c>
      <c r="B940">
        <v>9400009926</v>
      </c>
      <c r="C940" s="10">
        <v>46171</v>
      </c>
      <c r="D940" t="s">
        <v>2032</v>
      </c>
      <c r="E940" s="11">
        <v>18853069</v>
      </c>
      <c r="F940" t="s">
        <v>1001</v>
      </c>
      <c r="G940" t="s">
        <v>1002</v>
      </c>
      <c r="H940" s="10">
        <v>46185</v>
      </c>
      <c r="I940">
        <v>336347.2</v>
      </c>
      <c r="J940">
        <v>0</v>
      </c>
      <c r="K940">
        <v>336347.2</v>
      </c>
    </row>
    <row r="941" spans="1:11" x14ac:dyDescent="0.35">
      <c r="A941">
        <v>8000000522</v>
      </c>
      <c r="B941">
        <v>9400009925</v>
      </c>
      <c r="C941" s="10">
        <v>46171</v>
      </c>
      <c r="D941" t="s">
        <v>2032</v>
      </c>
      <c r="E941" s="11">
        <v>18853082</v>
      </c>
      <c r="F941" t="s">
        <v>3607</v>
      </c>
      <c r="G941" t="s">
        <v>3608</v>
      </c>
      <c r="H941" s="10">
        <v>46185</v>
      </c>
      <c r="I941">
        <v>111283.44</v>
      </c>
      <c r="J941">
        <v>0</v>
      </c>
      <c r="K941">
        <v>111283.44</v>
      </c>
    </row>
    <row r="942" spans="1:11" x14ac:dyDescent="0.35">
      <c r="A942">
        <v>9100000842</v>
      </c>
      <c r="B942">
        <v>9400009923</v>
      </c>
      <c r="C942" s="10">
        <v>46171</v>
      </c>
      <c r="D942" t="s">
        <v>2032</v>
      </c>
      <c r="E942" s="11">
        <v>18821970</v>
      </c>
      <c r="F942" t="s">
        <v>969</v>
      </c>
      <c r="G942" t="s">
        <v>970</v>
      </c>
      <c r="H942" s="10">
        <v>46171</v>
      </c>
      <c r="I942">
        <v>4956.01</v>
      </c>
      <c r="J942">
        <v>0</v>
      </c>
      <c r="K942">
        <v>4956.01</v>
      </c>
    </row>
    <row r="943" spans="1:11" x14ac:dyDescent="0.35">
      <c r="A943">
        <v>2000000166</v>
      </c>
      <c r="B943">
        <v>9400009921</v>
      </c>
      <c r="C943" s="10">
        <v>46171</v>
      </c>
      <c r="D943" t="s">
        <v>2032</v>
      </c>
      <c r="E943" s="11">
        <v>18822738</v>
      </c>
      <c r="F943" t="s">
        <v>105</v>
      </c>
      <c r="G943" t="s">
        <v>106</v>
      </c>
      <c r="H943" s="10">
        <v>46216</v>
      </c>
      <c r="I943">
        <v>206169.36</v>
      </c>
      <c r="J943">
        <v>0</v>
      </c>
      <c r="K943">
        <v>206169.36</v>
      </c>
    </row>
    <row r="944" spans="1:11" x14ac:dyDescent="0.35">
      <c r="A944">
        <v>7000000440</v>
      </c>
      <c r="B944">
        <v>9400009916</v>
      </c>
      <c r="C944" s="10">
        <v>46171</v>
      </c>
      <c r="D944" t="s">
        <v>2032</v>
      </c>
      <c r="E944" s="11">
        <v>18853124</v>
      </c>
      <c r="F944" t="s">
        <v>165</v>
      </c>
      <c r="G944" t="s">
        <v>166</v>
      </c>
      <c r="H944" s="10">
        <v>46185</v>
      </c>
      <c r="I944">
        <v>302021.48</v>
      </c>
      <c r="J944">
        <v>0</v>
      </c>
      <c r="K944">
        <v>302021.48</v>
      </c>
    </row>
    <row r="945" spans="1:11" x14ac:dyDescent="0.35">
      <c r="A945">
        <v>9100000841</v>
      </c>
      <c r="B945">
        <v>9400009910</v>
      </c>
      <c r="C945" s="10">
        <v>46171</v>
      </c>
      <c r="D945" t="s">
        <v>2032</v>
      </c>
      <c r="E945" s="11">
        <v>18821970</v>
      </c>
      <c r="F945" t="s">
        <v>969</v>
      </c>
      <c r="G945" t="s">
        <v>970</v>
      </c>
      <c r="H945" s="10">
        <v>46185</v>
      </c>
      <c r="I945">
        <v>276639.2</v>
      </c>
      <c r="J945">
        <v>0</v>
      </c>
      <c r="K945">
        <v>276639.2</v>
      </c>
    </row>
    <row r="946" spans="1:11" x14ac:dyDescent="0.35">
      <c r="A946">
        <v>7000000439</v>
      </c>
      <c r="B946">
        <v>9400009908</v>
      </c>
      <c r="C946" s="10">
        <v>46171</v>
      </c>
      <c r="D946" t="s">
        <v>2032</v>
      </c>
      <c r="E946" s="11">
        <v>18853056</v>
      </c>
      <c r="F946" t="s">
        <v>735</v>
      </c>
      <c r="G946" t="s">
        <v>736</v>
      </c>
      <c r="H946" s="10">
        <v>46185</v>
      </c>
      <c r="I946">
        <v>350601.6</v>
      </c>
      <c r="J946">
        <v>0</v>
      </c>
      <c r="K946">
        <v>350601.6</v>
      </c>
    </row>
    <row r="947" spans="1:11" x14ac:dyDescent="0.35">
      <c r="A947">
        <v>9200000606</v>
      </c>
      <c r="B947">
        <v>9400009904</v>
      </c>
      <c r="C947" s="10">
        <v>46171</v>
      </c>
      <c r="D947" t="s">
        <v>2032</v>
      </c>
      <c r="E947" s="11">
        <v>18822365</v>
      </c>
      <c r="F947" t="s">
        <v>899</v>
      </c>
      <c r="G947" t="s">
        <v>900</v>
      </c>
      <c r="H947" s="10">
        <v>46216</v>
      </c>
      <c r="I947">
        <v>3070</v>
      </c>
      <c r="J947">
        <v>0</v>
      </c>
      <c r="K947">
        <v>3070</v>
      </c>
    </row>
    <row r="948" spans="1:11" x14ac:dyDescent="0.35">
      <c r="A948">
        <v>2730000458</v>
      </c>
      <c r="B948">
        <v>9400009903</v>
      </c>
      <c r="C948" s="10">
        <v>46171</v>
      </c>
      <c r="D948" t="s">
        <v>2032</v>
      </c>
      <c r="E948" s="11">
        <v>18852949</v>
      </c>
      <c r="F948" t="s">
        <v>3611</v>
      </c>
      <c r="G948" t="s">
        <v>3612</v>
      </c>
      <c r="H948" s="10">
        <v>46216</v>
      </c>
      <c r="I948">
        <v>50400.54</v>
      </c>
      <c r="J948">
        <v>0</v>
      </c>
      <c r="K948">
        <v>50400.54</v>
      </c>
    </row>
    <row r="949" spans="1:11" x14ac:dyDescent="0.35">
      <c r="A949">
        <v>3000000758</v>
      </c>
      <c r="B949">
        <v>9400009902</v>
      </c>
      <c r="C949" s="10">
        <v>46171</v>
      </c>
      <c r="D949" t="s">
        <v>2032</v>
      </c>
      <c r="E949" s="11">
        <v>18853208</v>
      </c>
      <c r="F949" t="s">
        <v>1023</v>
      </c>
      <c r="G949" t="s">
        <v>1024</v>
      </c>
      <c r="H949" s="10">
        <v>46185</v>
      </c>
      <c r="I949">
        <v>581976</v>
      </c>
      <c r="J949">
        <v>0</v>
      </c>
      <c r="K949">
        <v>581976</v>
      </c>
    </row>
    <row r="950" spans="1:11" x14ac:dyDescent="0.35">
      <c r="A950">
        <v>8000000521</v>
      </c>
      <c r="B950">
        <v>9400009901</v>
      </c>
      <c r="C950" s="10">
        <v>46171</v>
      </c>
      <c r="D950" t="s">
        <v>2032</v>
      </c>
      <c r="E950" s="11">
        <v>18853170</v>
      </c>
      <c r="F950" t="s">
        <v>893</v>
      </c>
      <c r="G950" t="s">
        <v>894</v>
      </c>
      <c r="H950" s="10">
        <v>46216</v>
      </c>
      <c r="I950">
        <v>10874.88</v>
      </c>
      <c r="J950">
        <v>0</v>
      </c>
      <c r="K950">
        <v>10874.88</v>
      </c>
    </row>
    <row r="951" spans="1:11" x14ac:dyDescent="0.35">
      <c r="A951">
        <v>8000000520</v>
      </c>
      <c r="B951">
        <v>9400009899</v>
      </c>
      <c r="C951" s="10">
        <v>46171</v>
      </c>
      <c r="D951" t="s">
        <v>2032</v>
      </c>
      <c r="E951" s="11">
        <v>18853170</v>
      </c>
      <c r="F951" t="s">
        <v>893</v>
      </c>
      <c r="G951" t="s">
        <v>894</v>
      </c>
      <c r="H951" s="10">
        <v>46185</v>
      </c>
      <c r="I951">
        <v>32641.64</v>
      </c>
      <c r="J951">
        <v>0</v>
      </c>
      <c r="K951">
        <v>32641.64</v>
      </c>
    </row>
    <row r="952" spans="1:11" x14ac:dyDescent="0.35">
      <c r="A952">
        <v>2300000423</v>
      </c>
      <c r="B952">
        <v>9400009898</v>
      </c>
      <c r="C952" s="10">
        <v>46171</v>
      </c>
      <c r="D952" t="s">
        <v>2032</v>
      </c>
      <c r="E952" s="11">
        <v>18852986</v>
      </c>
      <c r="F952" t="s">
        <v>391</v>
      </c>
      <c r="G952" t="s">
        <v>392</v>
      </c>
      <c r="H952" s="10">
        <v>46185</v>
      </c>
      <c r="I952">
        <v>167315.85</v>
      </c>
      <c r="J952">
        <v>0</v>
      </c>
      <c r="K952">
        <v>167315.85</v>
      </c>
    </row>
    <row r="953" spans="1:11" x14ac:dyDescent="0.35">
      <c r="A953">
        <v>2730000457</v>
      </c>
      <c r="B953">
        <v>9400009897</v>
      </c>
      <c r="C953" s="10">
        <v>46171</v>
      </c>
      <c r="D953" t="s">
        <v>2032</v>
      </c>
      <c r="E953" s="11">
        <v>18852949</v>
      </c>
      <c r="F953" t="s">
        <v>3611</v>
      </c>
      <c r="G953" t="s">
        <v>3612</v>
      </c>
      <c r="H953" s="10">
        <v>46185</v>
      </c>
      <c r="I953">
        <v>171183.08</v>
      </c>
      <c r="J953">
        <v>0</v>
      </c>
      <c r="K953">
        <v>171183.08</v>
      </c>
    </row>
    <row r="954" spans="1:11" x14ac:dyDescent="0.35">
      <c r="A954">
        <v>2300000428</v>
      </c>
      <c r="B954">
        <v>9400009896</v>
      </c>
      <c r="C954" s="10">
        <v>46171</v>
      </c>
      <c r="D954" t="s">
        <v>2032</v>
      </c>
      <c r="E954" s="11">
        <v>18853157</v>
      </c>
      <c r="F954" t="s">
        <v>68</v>
      </c>
      <c r="G954" t="s">
        <v>69</v>
      </c>
      <c r="H954" s="10">
        <v>46216</v>
      </c>
      <c r="I954">
        <v>40220.54</v>
      </c>
      <c r="J954">
        <v>0</v>
      </c>
      <c r="K954">
        <v>40220.54</v>
      </c>
    </row>
    <row r="955" spans="1:11" x14ac:dyDescent="0.35">
      <c r="A955">
        <v>2000000165</v>
      </c>
      <c r="B955">
        <v>9400009895</v>
      </c>
      <c r="C955" s="10">
        <v>46171</v>
      </c>
      <c r="D955" t="s">
        <v>2032</v>
      </c>
      <c r="E955" s="11">
        <v>18822738</v>
      </c>
      <c r="F955" t="s">
        <v>105</v>
      </c>
      <c r="G955" t="s">
        <v>106</v>
      </c>
      <c r="H955" s="10">
        <v>46216</v>
      </c>
      <c r="I955">
        <v>567275.30000000005</v>
      </c>
      <c r="J955">
        <v>0</v>
      </c>
      <c r="K955">
        <v>567275.30000000005</v>
      </c>
    </row>
    <row r="956" spans="1:11" x14ac:dyDescent="0.35">
      <c r="A956">
        <v>8000000519</v>
      </c>
      <c r="B956">
        <v>9400009894</v>
      </c>
      <c r="C956" s="10">
        <v>46171</v>
      </c>
      <c r="D956" t="s">
        <v>2032</v>
      </c>
      <c r="E956" s="11">
        <v>18853188</v>
      </c>
      <c r="F956" t="s">
        <v>673</v>
      </c>
      <c r="G956" t="s">
        <v>674</v>
      </c>
      <c r="H956" s="10">
        <v>46216</v>
      </c>
      <c r="I956">
        <v>13083.26</v>
      </c>
      <c r="J956">
        <v>0</v>
      </c>
      <c r="K956">
        <v>13083.26</v>
      </c>
    </row>
    <row r="957" spans="1:11" x14ac:dyDescent="0.35">
      <c r="A957">
        <v>2710000692</v>
      </c>
      <c r="B957">
        <v>9400009892</v>
      </c>
      <c r="C957" s="10">
        <v>46171</v>
      </c>
      <c r="D957" t="s">
        <v>2032</v>
      </c>
      <c r="E957" s="11">
        <v>18822578</v>
      </c>
      <c r="F957" t="s">
        <v>66</v>
      </c>
      <c r="G957" t="s">
        <v>67</v>
      </c>
      <c r="H957" s="10">
        <v>46216</v>
      </c>
      <c r="I957">
        <v>38698.050000000003</v>
      </c>
      <c r="J957">
        <v>0</v>
      </c>
      <c r="K957">
        <v>38698.050000000003</v>
      </c>
    </row>
    <row r="958" spans="1:11" x14ac:dyDescent="0.35">
      <c r="A958">
        <v>5200000280</v>
      </c>
      <c r="B958">
        <v>9400009889</v>
      </c>
      <c r="C958" s="10">
        <v>46171</v>
      </c>
      <c r="D958" t="s">
        <v>2032</v>
      </c>
      <c r="E958" s="11">
        <v>18821541</v>
      </c>
      <c r="F958" t="s">
        <v>3613</v>
      </c>
      <c r="G958" t="s">
        <v>3614</v>
      </c>
      <c r="H958" s="10">
        <v>46186</v>
      </c>
      <c r="I958">
        <v>150534.96</v>
      </c>
      <c r="J958">
        <v>0</v>
      </c>
      <c r="K958">
        <v>150534.96</v>
      </c>
    </row>
    <row r="959" spans="1:11" x14ac:dyDescent="0.35">
      <c r="A959">
        <v>2300000427</v>
      </c>
      <c r="B959">
        <v>9400009886</v>
      </c>
      <c r="C959" s="10">
        <v>46171</v>
      </c>
      <c r="D959" t="s">
        <v>2032</v>
      </c>
      <c r="E959" s="11">
        <v>18853157</v>
      </c>
      <c r="F959" t="s">
        <v>68</v>
      </c>
      <c r="G959" t="s">
        <v>69</v>
      </c>
      <c r="H959" s="10">
        <v>46185</v>
      </c>
      <c r="I959">
        <v>29739.06</v>
      </c>
      <c r="J959">
        <v>0</v>
      </c>
      <c r="K959">
        <v>29739.06</v>
      </c>
    </row>
    <row r="960" spans="1:11" x14ac:dyDescent="0.35">
      <c r="A960">
        <v>2710000689</v>
      </c>
      <c r="B960">
        <v>9400009885</v>
      </c>
      <c r="C960" s="10">
        <v>46171</v>
      </c>
      <c r="D960" t="s">
        <v>2032</v>
      </c>
      <c r="E960" s="11">
        <v>18822528</v>
      </c>
      <c r="F960" t="s">
        <v>66</v>
      </c>
      <c r="G960" t="s">
        <v>67</v>
      </c>
      <c r="H960" s="10">
        <v>46185</v>
      </c>
      <c r="I960">
        <v>607251.6</v>
      </c>
      <c r="J960">
        <v>0</v>
      </c>
      <c r="K960">
        <v>607251.6</v>
      </c>
    </row>
    <row r="961" spans="1:11" x14ac:dyDescent="0.35">
      <c r="A961">
        <v>2710000688</v>
      </c>
      <c r="B961">
        <v>9400009883</v>
      </c>
      <c r="C961" s="10">
        <v>46171</v>
      </c>
      <c r="D961" t="s">
        <v>2032</v>
      </c>
      <c r="E961" s="11">
        <v>18821944</v>
      </c>
      <c r="F961" t="s">
        <v>70</v>
      </c>
      <c r="G961" t="s">
        <v>71</v>
      </c>
      <c r="H961" s="10">
        <v>46216</v>
      </c>
      <c r="I961">
        <v>6917.16</v>
      </c>
      <c r="J961">
        <v>0</v>
      </c>
      <c r="K961">
        <v>6917.16</v>
      </c>
    </row>
    <row r="962" spans="1:11" x14ac:dyDescent="0.35">
      <c r="A962">
        <v>9300000491</v>
      </c>
      <c r="B962">
        <v>9400009882</v>
      </c>
      <c r="C962" s="10">
        <v>46171</v>
      </c>
      <c r="D962" t="s">
        <v>2032</v>
      </c>
      <c r="E962" s="11">
        <v>18822491</v>
      </c>
      <c r="F962" t="s">
        <v>537</v>
      </c>
      <c r="G962" t="s">
        <v>538</v>
      </c>
      <c r="H962" s="10">
        <v>46216</v>
      </c>
      <c r="I962">
        <v>84590.38</v>
      </c>
      <c r="J962">
        <v>0</v>
      </c>
      <c r="K962">
        <v>84590.38</v>
      </c>
    </row>
    <row r="963" spans="1:11" x14ac:dyDescent="0.35">
      <c r="A963">
        <v>5100000587</v>
      </c>
      <c r="B963">
        <v>9400009880</v>
      </c>
      <c r="C963" s="10">
        <v>46171</v>
      </c>
      <c r="D963" t="s">
        <v>2032</v>
      </c>
      <c r="E963" s="11">
        <v>18822832</v>
      </c>
      <c r="F963" t="s">
        <v>863</v>
      </c>
      <c r="G963" t="s">
        <v>864</v>
      </c>
      <c r="H963" s="10">
        <v>46185</v>
      </c>
      <c r="I963">
        <v>135936</v>
      </c>
      <c r="J963">
        <v>0</v>
      </c>
      <c r="K963">
        <v>135936</v>
      </c>
    </row>
    <row r="964" spans="1:11" x14ac:dyDescent="0.35">
      <c r="A964">
        <v>2710000686</v>
      </c>
      <c r="B964">
        <v>9400009876</v>
      </c>
      <c r="C964" s="10">
        <v>46171</v>
      </c>
      <c r="D964" t="s">
        <v>2032</v>
      </c>
      <c r="E964" s="11">
        <v>18821030</v>
      </c>
      <c r="F964" t="s">
        <v>757</v>
      </c>
      <c r="G964" t="s">
        <v>758</v>
      </c>
      <c r="H964" s="10">
        <v>46216</v>
      </c>
      <c r="I964">
        <v>8366.01</v>
      </c>
      <c r="J964">
        <v>0</v>
      </c>
      <c r="K964">
        <v>8366.01</v>
      </c>
    </row>
    <row r="965" spans="1:11" x14ac:dyDescent="0.35">
      <c r="A965">
        <v>2710000685</v>
      </c>
      <c r="B965">
        <v>9400009871</v>
      </c>
      <c r="C965" s="10">
        <v>46171</v>
      </c>
      <c r="D965" t="s">
        <v>2032</v>
      </c>
      <c r="E965" s="11">
        <v>18821007</v>
      </c>
      <c r="F965" t="s">
        <v>427</v>
      </c>
      <c r="G965" t="s">
        <v>428</v>
      </c>
      <c r="H965" s="10">
        <v>46216</v>
      </c>
      <c r="I965">
        <v>22106.59</v>
      </c>
      <c r="J965">
        <v>0</v>
      </c>
      <c r="K965">
        <v>22106.59</v>
      </c>
    </row>
    <row r="966" spans="1:11" x14ac:dyDescent="0.35">
      <c r="A966">
        <v>2710000684</v>
      </c>
      <c r="B966">
        <v>9400009869</v>
      </c>
      <c r="C966" s="10">
        <v>46171</v>
      </c>
      <c r="D966" t="s">
        <v>2032</v>
      </c>
      <c r="E966" s="11">
        <v>18822459</v>
      </c>
      <c r="F966" t="s">
        <v>138</v>
      </c>
      <c r="G966" t="s">
        <v>139</v>
      </c>
      <c r="H966" s="10">
        <v>46216</v>
      </c>
      <c r="I966">
        <v>13197.69</v>
      </c>
      <c r="J966">
        <v>0</v>
      </c>
      <c r="K966">
        <v>13197.69</v>
      </c>
    </row>
    <row r="967" spans="1:11" x14ac:dyDescent="0.35">
      <c r="A967">
        <v>2730000456</v>
      </c>
      <c r="B967">
        <v>9400009868</v>
      </c>
      <c r="C967" s="10">
        <v>46171</v>
      </c>
      <c r="D967" t="s">
        <v>2032</v>
      </c>
      <c r="E967" s="11">
        <v>18842891</v>
      </c>
      <c r="F967" t="s">
        <v>84</v>
      </c>
      <c r="G967" t="s">
        <v>85</v>
      </c>
      <c r="H967" s="10">
        <v>46185</v>
      </c>
      <c r="I967">
        <v>73160</v>
      </c>
      <c r="J967">
        <v>0</v>
      </c>
      <c r="K967">
        <v>73160</v>
      </c>
    </row>
    <row r="968" spans="1:11" x14ac:dyDescent="0.35">
      <c r="A968">
        <v>2710000683</v>
      </c>
      <c r="B968">
        <v>9400009866</v>
      </c>
      <c r="C968" s="10">
        <v>46171</v>
      </c>
      <c r="D968" t="s">
        <v>2032</v>
      </c>
      <c r="E968" s="11">
        <v>18822459</v>
      </c>
      <c r="F968" t="s">
        <v>138</v>
      </c>
      <c r="G968" t="s">
        <v>139</v>
      </c>
      <c r="H968" s="10">
        <v>46185</v>
      </c>
      <c r="I968">
        <v>146518.71</v>
      </c>
      <c r="J968">
        <v>0</v>
      </c>
      <c r="K968">
        <v>146518.71</v>
      </c>
    </row>
    <row r="969" spans="1:11" x14ac:dyDescent="0.35">
      <c r="A969">
        <v>5200000279</v>
      </c>
      <c r="B969">
        <v>9400009864</v>
      </c>
      <c r="C969" s="10">
        <v>46171</v>
      </c>
      <c r="D969" t="s">
        <v>2032</v>
      </c>
      <c r="E969" s="11">
        <v>18822718</v>
      </c>
      <c r="F969" t="s">
        <v>326</v>
      </c>
      <c r="G969" t="s">
        <v>327</v>
      </c>
      <c r="H969" s="10">
        <v>46185</v>
      </c>
      <c r="I969">
        <v>102801.60000000001</v>
      </c>
      <c r="J969">
        <v>0</v>
      </c>
      <c r="K969">
        <v>102801.60000000001</v>
      </c>
    </row>
    <row r="970" spans="1:11" x14ac:dyDescent="0.35">
      <c r="A970">
        <v>5100000585</v>
      </c>
      <c r="B970">
        <v>9400009859</v>
      </c>
      <c r="C970" s="10">
        <v>46171</v>
      </c>
      <c r="D970" t="s">
        <v>2032</v>
      </c>
      <c r="E970" s="11">
        <v>18853038</v>
      </c>
      <c r="F970" t="s">
        <v>211</v>
      </c>
      <c r="G970" t="s">
        <v>212</v>
      </c>
      <c r="H970" s="10">
        <v>46185</v>
      </c>
      <c r="I970">
        <v>135433.79999999999</v>
      </c>
      <c r="J970">
        <v>0</v>
      </c>
      <c r="K970">
        <v>135433.79999999999</v>
      </c>
    </row>
    <row r="971" spans="1:11" x14ac:dyDescent="0.35">
      <c r="A971">
        <v>9300000490</v>
      </c>
      <c r="B971">
        <v>9400009858</v>
      </c>
      <c r="C971" s="10">
        <v>46171</v>
      </c>
      <c r="D971" t="s">
        <v>2032</v>
      </c>
      <c r="E971" s="11">
        <v>18822491</v>
      </c>
      <c r="F971" t="s">
        <v>537</v>
      </c>
      <c r="G971" t="s">
        <v>538</v>
      </c>
      <c r="H971" s="10">
        <v>46185</v>
      </c>
      <c r="I971">
        <v>145331.16</v>
      </c>
      <c r="J971">
        <v>0</v>
      </c>
      <c r="K971">
        <v>145331.16</v>
      </c>
    </row>
    <row r="972" spans="1:11" x14ac:dyDescent="0.35">
      <c r="A972">
        <v>2300000426</v>
      </c>
      <c r="B972">
        <v>9400009857</v>
      </c>
      <c r="C972" s="10">
        <v>46171</v>
      </c>
      <c r="D972" t="s">
        <v>2032</v>
      </c>
      <c r="E972" s="11">
        <v>18853107</v>
      </c>
      <c r="F972" t="s">
        <v>705</v>
      </c>
      <c r="G972" t="s">
        <v>706</v>
      </c>
      <c r="H972" s="10">
        <v>46216</v>
      </c>
      <c r="I972">
        <v>148918.96</v>
      </c>
      <c r="J972">
        <v>0</v>
      </c>
      <c r="K972">
        <v>148918.96</v>
      </c>
    </row>
    <row r="973" spans="1:11" x14ac:dyDescent="0.35">
      <c r="A973">
        <v>5100000584</v>
      </c>
      <c r="B973">
        <v>9400009856</v>
      </c>
      <c r="C973" s="10">
        <v>46171</v>
      </c>
      <c r="D973" t="s">
        <v>2032</v>
      </c>
      <c r="E973" s="11">
        <v>18853065</v>
      </c>
      <c r="F973" t="s">
        <v>211</v>
      </c>
      <c r="G973" t="s">
        <v>212</v>
      </c>
      <c r="H973" s="10">
        <v>46216</v>
      </c>
      <c r="I973">
        <v>103778.04</v>
      </c>
      <c r="J973">
        <v>0</v>
      </c>
      <c r="K973">
        <v>103778.04</v>
      </c>
    </row>
    <row r="974" spans="1:11" x14ac:dyDescent="0.35">
      <c r="A974">
        <v>2300000425</v>
      </c>
      <c r="B974">
        <v>9400009852</v>
      </c>
      <c r="C974" s="10">
        <v>46171</v>
      </c>
      <c r="D974" t="s">
        <v>2032</v>
      </c>
      <c r="E974" s="11">
        <v>18853066</v>
      </c>
      <c r="F974" t="s">
        <v>3615</v>
      </c>
      <c r="G974" t="s">
        <v>3616</v>
      </c>
      <c r="H974" s="10">
        <v>46216</v>
      </c>
      <c r="I974">
        <v>48495.58</v>
      </c>
      <c r="J974">
        <v>0</v>
      </c>
      <c r="K974">
        <v>48495.58</v>
      </c>
    </row>
    <row r="975" spans="1:11" x14ac:dyDescent="0.35">
      <c r="A975">
        <v>8000000518</v>
      </c>
      <c r="B975">
        <v>9400009851</v>
      </c>
      <c r="C975" s="10">
        <v>46171</v>
      </c>
      <c r="D975" t="s">
        <v>2032</v>
      </c>
      <c r="E975" s="11">
        <v>18853008</v>
      </c>
      <c r="F975" t="s">
        <v>202</v>
      </c>
      <c r="G975" t="s">
        <v>203</v>
      </c>
      <c r="H975" s="10">
        <v>46185</v>
      </c>
      <c r="I975">
        <v>299625.59999999998</v>
      </c>
      <c r="J975">
        <v>0</v>
      </c>
      <c r="K975">
        <v>299625.59999999998</v>
      </c>
    </row>
    <row r="976" spans="1:11" x14ac:dyDescent="0.35">
      <c r="A976">
        <v>9200000603</v>
      </c>
      <c r="B976">
        <v>9400009847</v>
      </c>
      <c r="C976" s="10">
        <v>46171</v>
      </c>
      <c r="D976" t="s">
        <v>2032</v>
      </c>
      <c r="E976" s="11">
        <v>18822579</v>
      </c>
      <c r="F976" t="s">
        <v>320</v>
      </c>
      <c r="G976" t="s">
        <v>321</v>
      </c>
      <c r="H976" s="10">
        <v>46216</v>
      </c>
      <c r="I976">
        <v>66015.62</v>
      </c>
      <c r="J976">
        <v>0</v>
      </c>
      <c r="K976">
        <v>66015.62</v>
      </c>
    </row>
    <row r="977" spans="1:11" x14ac:dyDescent="0.35">
      <c r="A977">
        <v>9200000602</v>
      </c>
      <c r="B977">
        <v>9400009845</v>
      </c>
      <c r="C977" s="10">
        <v>46171</v>
      </c>
      <c r="D977" t="s">
        <v>2032</v>
      </c>
      <c r="E977" s="11">
        <v>18822579</v>
      </c>
      <c r="F977" t="s">
        <v>320</v>
      </c>
      <c r="G977" t="s">
        <v>321</v>
      </c>
      <c r="H977" s="10">
        <v>46185</v>
      </c>
      <c r="I977">
        <v>56356.800000000003</v>
      </c>
      <c r="J977">
        <v>0</v>
      </c>
      <c r="K977">
        <v>56356.800000000003</v>
      </c>
    </row>
    <row r="978" spans="1:11" x14ac:dyDescent="0.35">
      <c r="A978">
        <v>5100000583</v>
      </c>
      <c r="B978">
        <v>9400009844</v>
      </c>
      <c r="C978" s="10">
        <v>46171</v>
      </c>
      <c r="D978" t="s">
        <v>2032</v>
      </c>
      <c r="E978" s="11">
        <v>18822167</v>
      </c>
      <c r="F978" t="s">
        <v>211</v>
      </c>
      <c r="G978" t="s">
        <v>212</v>
      </c>
      <c r="H978" s="10">
        <v>46216</v>
      </c>
      <c r="I978">
        <v>15209.54</v>
      </c>
      <c r="J978">
        <v>0</v>
      </c>
      <c r="K978">
        <v>15209.54</v>
      </c>
    </row>
    <row r="979" spans="1:11" x14ac:dyDescent="0.35">
      <c r="A979">
        <v>8000000517</v>
      </c>
      <c r="B979">
        <v>9400009843</v>
      </c>
      <c r="C979" s="10">
        <v>46171</v>
      </c>
      <c r="D979" t="s">
        <v>2032</v>
      </c>
      <c r="E979" s="11">
        <v>18822380</v>
      </c>
      <c r="F979" t="s">
        <v>403</v>
      </c>
      <c r="G979" t="s">
        <v>404</v>
      </c>
      <c r="H979" s="10">
        <v>46216</v>
      </c>
      <c r="I979">
        <v>113846.39999999999</v>
      </c>
      <c r="J979">
        <v>0</v>
      </c>
      <c r="K979">
        <v>113846.39999999999</v>
      </c>
    </row>
    <row r="980" spans="1:11" x14ac:dyDescent="0.35">
      <c r="A980">
        <v>8000000516</v>
      </c>
      <c r="B980">
        <v>9400009842</v>
      </c>
      <c r="C980" s="10">
        <v>46171</v>
      </c>
      <c r="D980" t="s">
        <v>2032</v>
      </c>
      <c r="E980" s="11">
        <v>18822380</v>
      </c>
      <c r="F980" t="s">
        <v>403</v>
      </c>
      <c r="G980" t="s">
        <v>404</v>
      </c>
      <c r="H980" s="10">
        <v>46185</v>
      </c>
      <c r="I980">
        <v>465189.04</v>
      </c>
      <c r="J980">
        <v>0</v>
      </c>
      <c r="K980">
        <v>465189.04</v>
      </c>
    </row>
    <row r="981" spans="1:11" x14ac:dyDescent="0.35">
      <c r="A981">
        <v>8000000515</v>
      </c>
      <c r="B981">
        <v>9400009840</v>
      </c>
      <c r="C981" s="10">
        <v>46171</v>
      </c>
      <c r="D981" t="s">
        <v>2032</v>
      </c>
      <c r="E981" s="11">
        <v>18822468</v>
      </c>
      <c r="F981" t="s">
        <v>693</v>
      </c>
      <c r="G981" t="s">
        <v>694</v>
      </c>
      <c r="H981" s="10">
        <v>46216</v>
      </c>
      <c r="I981">
        <v>79692.479999999996</v>
      </c>
      <c r="J981">
        <v>0</v>
      </c>
      <c r="K981">
        <v>79692.479999999996</v>
      </c>
    </row>
    <row r="982" spans="1:11" x14ac:dyDescent="0.35">
      <c r="A982">
        <v>2720000319</v>
      </c>
      <c r="B982">
        <v>9400009834</v>
      </c>
      <c r="C982" s="10">
        <v>46171</v>
      </c>
      <c r="D982" t="s">
        <v>2032</v>
      </c>
      <c r="E982" s="11">
        <v>18853061</v>
      </c>
      <c r="F982" t="s">
        <v>17</v>
      </c>
      <c r="G982" t="s">
        <v>18</v>
      </c>
      <c r="H982" s="10">
        <v>46216</v>
      </c>
      <c r="I982">
        <v>102801.60000000001</v>
      </c>
      <c r="J982">
        <v>0</v>
      </c>
      <c r="K982">
        <v>102801.60000000001</v>
      </c>
    </row>
    <row r="983" spans="1:11" x14ac:dyDescent="0.35">
      <c r="A983">
        <v>2730000454</v>
      </c>
      <c r="B983">
        <v>9400009828</v>
      </c>
      <c r="C983" s="10">
        <v>46171</v>
      </c>
      <c r="D983" t="s">
        <v>2032</v>
      </c>
      <c r="E983" s="11">
        <v>18822082</v>
      </c>
      <c r="F983" t="s">
        <v>273</v>
      </c>
      <c r="G983" t="s">
        <v>274</v>
      </c>
      <c r="H983" s="10">
        <v>46216</v>
      </c>
      <c r="I983">
        <v>159921.32</v>
      </c>
      <c r="J983">
        <v>0</v>
      </c>
      <c r="K983">
        <v>159921.32</v>
      </c>
    </row>
    <row r="984" spans="1:11" x14ac:dyDescent="0.35">
      <c r="A984">
        <v>3000000749</v>
      </c>
      <c r="B984">
        <v>9400009827</v>
      </c>
      <c r="C984" s="10">
        <v>46171</v>
      </c>
      <c r="D984" t="s">
        <v>2032</v>
      </c>
      <c r="E984" s="11">
        <v>18822058</v>
      </c>
      <c r="F984" t="s">
        <v>477</v>
      </c>
      <c r="G984" t="s">
        <v>478</v>
      </c>
      <c r="H984" s="10">
        <v>46186</v>
      </c>
      <c r="I984">
        <v>274043.2</v>
      </c>
      <c r="J984">
        <v>0</v>
      </c>
      <c r="K984">
        <v>274043.2</v>
      </c>
    </row>
    <row r="985" spans="1:11" x14ac:dyDescent="0.35">
      <c r="A985">
        <v>2730000453</v>
      </c>
      <c r="B985">
        <v>9400009823</v>
      </c>
      <c r="C985" s="10">
        <v>46171</v>
      </c>
      <c r="D985" t="s">
        <v>2032</v>
      </c>
      <c r="E985" s="11">
        <v>18822107</v>
      </c>
      <c r="F985" t="s">
        <v>267</v>
      </c>
      <c r="G985" t="s">
        <v>268</v>
      </c>
      <c r="H985" s="10">
        <v>46216</v>
      </c>
      <c r="I985">
        <v>22795.14</v>
      </c>
      <c r="J985">
        <v>0</v>
      </c>
      <c r="K985">
        <v>22795.14</v>
      </c>
    </row>
    <row r="986" spans="1:11" x14ac:dyDescent="0.35">
      <c r="A986">
        <v>2730000452</v>
      </c>
      <c r="B986">
        <v>9400009821</v>
      </c>
      <c r="C986" s="10">
        <v>46171</v>
      </c>
      <c r="D986" t="s">
        <v>2032</v>
      </c>
      <c r="E986" s="11">
        <v>18822107</v>
      </c>
      <c r="F986" t="s">
        <v>267</v>
      </c>
      <c r="G986" t="s">
        <v>268</v>
      </c>
      <c r="H986" s="10">
        <v>46185</v>
      </c>
      <c r="I986">
        <v>124466.4</v>
      </c>
      <c r="J986">
        <v>0</v>
      </c>
      <c r="K986">
        <v>124466.4</v>
      </c>
    </row>
    <row r="987" spans="1:11" x14ac:dyDescent="0.35">
      <c r="A987">
        <v>2720000318</v>
      </c>
      <c r="B987">
        <v>9400009816</v>
      </c>
      <c r="C987" s="10">
        <v>46171</v>
      </c>
      <c r="D987" t="s">
        <v>2032</v>
      </c>
      <c r="E987" s="11">
        <v>18809853</v>
      </c>
      <c r="F987" t="s">
        <v>136</v>
      </c>
      <c r="G987" t="s">
        <v>137</v>
      </c>
      <c r="H987" s="10">
        <v>46216</v>
      </c>
      <c r="I987">
        <v>59521.56</v>
      </c>
      <c r="J987">
        <v>0</v>
      </c>
      <c r="K987">
        <v>59521.56</v>
      </c>
    </row>
    <row r="988" spans="1:11" x14ac:dyDescent="0.35">
      <c r="A988">
        <v>2730000451</v>
      </c>
      <c r="B988">
        <v>9400009812</v>
      </c>
      <c r="C988" s="10">
        <v>46171</v>
      </c>
      <c r="D988" t="s">
        <v>2032</v>
      </c>
      <c r="E988" s="11">
        <v>18822107</v>
      </c>
      <c r="F988" t="s">
        <v>267</v>
      </c>
      <c r="G988" t="s">
        <v>268</v>
      </c>
      <c r="H988" s="10">
        <v>46185</v>
      </c>
      <c r="I988">
        <v>199276.04</v>
      </c>
      <c r="J988">
        <v>0</v>
      </c>
      <c r="K988">
        <v>199276.04</v>
      </c>
    </row>
    <row r="989" spans="1:11" x14ac:dyDescent="0.35">
      <c r="A989">
        <v>9300000489</v>
      </c>
      <c r="B989">
        <v>9400009807</v>
      </c>
      <c r="C989" s="10">
        <v>46171</v>
      </c>
      <c r="D989" t="s">
        <v>2032</v>
      </c>
      <c r="E989" s="11">
        <v>18821418</v>
      </c>
      <c r="F989" t="s">
        <v>184</v>
      </c>
      <c r="G989" t="s">
        <v>185</v>
      </c>
      <c r="H989" s="10">
        <v>46185</v>
      </c>
      <c r="I989">
        <v>250396</v>
      </c>
      <c r="J989">
        <v>0</v>
      </c>
      <c r="K989">
        <v>250396</v>
      </c>
    </row>
    <row r="990" spans="1:11" x14ac:dyDescent="0.35">
      <c r="A990">
        <v>2720000317</v>
      </c>
      <c r="B990">
        <v>9400009805</v>
      </c>
      <c r="C990" s="10">
        <v>46171</v>
      </c>
      <c r="D990" t="s">
        <v>2032</v>
      </c>
      <c r="E990" s="11">
        <v>18809807</v>
      </c>
      <c r="F990" t="s">
        <v>58</v>
      </c>
      <c r="G990" t="s">
        <v>59</v>
      </c>
      <c r="H990" s="10">
        <v>46216</v>
      </c>
      <c r="I990">
        <v>30840.48</v>
      </c>
      <c r="J990">
        <v>0</v>
      </c>
      <c r="K990">
        <v>30840.48</v>
      </c>
    </row>
    <row r="991" spans="1:11" x14ac:dyDescent="0.35">
      <c r="A991">
        <v>9200000600</v>
      </c>
      <c r="B991">
        <v>9400009804</v>
      </c>
      <c r="C991" s="10">
        <v>46171</v>
      </c>
      <c r="D991" t="s">
        <v>2032</v>
      </c>
      <c r="E991" s="11">
        <v>18822669</v>
      </c>
      <c r="F991" t="s">
        <v>98</v>
      </c>
      <c r="G991" t="s">
        <v>99</v>
      </c>
      <c r="H991" s="10">
        <v>46185</v>
      </c>
      <c r="I991">
        <v>80277.759999999995</v>
      </c>
      <c r="J991">
        <v>0</v>
      </c>
      <c r="K991">
        <v>80277.759999999995</v>
      </c>
    </row>
    <row r="992" spans="1:11" x14ac:dyDescent="0.35">
      <c r="A992">
        <v>9300000488</v>
      </c>
      <c r="B992">
        <v>9400009803</v>
      </c>
      <c r="C992" s="10">
        <v>46171</v>
      </c>
      <c r="D992" t="s">
        <v>2032</v>
      </c>
      <c r="E992" s="11">
        <v>18822351</v>
      </c>
      <c r="F992" t="s">
        <v>445</v>
      </c>
      <c r="G992" t="s">
        <v>446</v>
      </c>
      <c r="H992" s="10">
        <v>46216</v>
      </c>
      <c r="I992">
        <v>22060.720000000001</v>
      </c>
      <c r="J992">
        <v>0</v>
      </c>
      <c r="K992">
        <v>22060.720000000001</v>
      </c>
    </row>
    <row r="993" spans="1:11" x14ac:dyDescent="0.35">
      <c r="A993">
        <v>2720000316</v>
      </c>
      <c r="B993">
        <v>9400009799</v>
      </c>
      <c r="C993" s="10">
        <v>46171</v>
      </c>
      <c r="D993" t="s">
        <v>2032</v>
      </c>
      <c r="E993" s="11">
        <v>18798753</v>
      </c>
      <c r="F993" t="s">
        <v>1057</v>
      </c>
      <c r="G993" t="s">
        <v>1058</v>
      </c>
      <c r="H993" s="10">
        <v>46216</v>
      </c>
      <c r="I993">
        <v>148803.9</v>
      </c>
      <c r="J993">
        <v>0</v>
      </c>
      <c r="K993">
        <v>148803.9</v>
      </c>
    </row>
    <row r="994" spans="1:11" x14ac:dyDescent="0.35">
      <c r="A994">
        <v>9300000487</v>
      </c>
      <c r="B994">
        <v>9400009798</v>
      </c>
      <c r="C994" s="10">
        <v>46171</v>
      </c>
      <c r="D994" t="s">
        <v>2032</v>
      </c>
      <c r="E994" s="11">
        <v>18822351</v>
      </c>
      <c r="F994" t="s">
        <v>445</v>
      </c>
      <c r="G994" t="s">
        <v>446</v>
      </c>
      <c r="H994" s="10">
        <v>46185</v>
      </c>
      <c r="I994">
        <v>51037.74</v>
      </c>
      <c r="J994">
        <v>0</v>
      </c>
      <c r="K994">
        <v>51037.74</v>
      </c>
    </row>
    <row r="995" spans="1:11" x14ac:dyDescent="0.35">
      <c r="A995">
        <v>9200000599</v>
      </c>
      <c r="B995">
        <v>9400009796</v>
      </c>
      <c r="C995" s="10">
        <v>46171</v>
      </c>
      <c r="D995" t="s">
        <v>2032</v>
      </c>
      <c r="E995" s="11">
        <v>18822794</v>
      </c>
      <c r="F995" t="s">
        <v>322</v>
      </c>
      <c r="G995" t="s">
        <v>323</v>
      </c>
      <c r="H995" s="10">
        <v>46216</v>
      </c>
      <c r="I995">
        <v>36432.78</v>
      </c>
      <c r="J995">
        <v>0</v>
      </c>
      <c r="K995">
        <v>36432.78</v>
      </c>
    </row>
    <row r="996" spans="1:11" x14ac:dyDescent="0.35">
      <c r="A996">
        <v>9200000598</v>
      </c>
      <c r="B996">
        <v>9400009795</v>
      </c>
      <c r="C996" s="10">
        <v>46171</v>
      </c>
      <c r="D996" t="s">
        <v>2032</v>
      </c>
      <c r="E996" s="11">
        <v>18822794</v>
      </c>
      <c r="F996" t="s">
        <v>322</v>
      </c>
      <c r="G996" t="s">
        <v>323</v>
      </c>
      <c r="H996" s="10">
        <v>46185</v>
      </c>
      <c r="I996">
        <v>200378.16</v>
      </c>
      <c r="J996">
        <v>0</v>
      </c>
      <c r="K996">
        <v>200378.16</v>
      </c>
    </row>
    <row r="997" spans="1:11" x14ac:dyDescent="0.35">
      <c r="A997">
        <v>7000000433</v>
      </c>
      <c r="B997">
        <v>9400009794</v>
      </c>
      <c r="C997" s="10">
        <v>46171</v>
      </c>
      <c r="D997" t="s">
        <v>2032</v>
      </c>
      <c r="E997" s="11">
        <v>18822807</v>
      </c>
      <c r="F997" t="s">
        <v>3512</v>
      </c>
      <c r="G997" t="s">
        <v>3513</v>
      </c>
      <c r="H997" s="10">
        <v>46185</v>
      </c>
      <c r="I997">
        <v>199503.08</v>
      </c>
      <c r="J997">
        <v>0</v>
      </c>
      <c r="K997">
        <v>199503.08</v>
      </c>
    </row>
    <row r="998" spans="1:11" x14ac:dyDescent="0.35">
      <c r="A998">
        <v>2720000315</v>
      </c>
      <c r="B998">
        <v>9400009793</v>
      </c>
      <c r="C998" s="10">
        <v>46171</v>
      </c>
      <c r="D998" t="s">
        <v>2032</v>
      </c>
      <c r="E998" s="11">
        <v>18822487</v>
      </c>
      <c r="F998" t="s">
        <v>314</v>
      </c>
      <c r="G998" t="s">
        <v>315</v>
      </c>
      <c r="H998" s="10">
        <v>46216</v>
      </c>
      <c r="I998">
        <v>16924.740000000002</v>
      </c>
      <c r="J998">
        <v>0</v>
      </c>
      <c r="K998">
        <v>16924.740000000002</v>
      </c>
    </row>
    <row r="999" spans="1:11" x14ac:dyDescent="0.35">
      <c r="A999">
        <v>8000000512</v>
      </c>
      <c r="B999">
        <v>9400009792</v>
      </c>
      <c r="C999" s="10">
        <v>46171</v>
      </c>
      <c r="D999" t="s">
        <v>2032</v>
      </c>
      <c r="E999" s="11">
        <v>18822844</v>
      </c>
      <c r="F999" t="s">
        <v>719</v>
      </c>
      <c r="G999" t="s">
        <v>720</v>
      </c>
      <c r="H999" s="10">
        <v>46185</v>
      </c>
      <c r="I999">
        <v>372936.64</v>
      </c>
      <c r="J999">
        <v>0</v>
      </c>
      <c r="K999">
        <v>372936.64</v>
      </c>
    </row>
    <row r="1000" spans="1:11" x14ac:dyDescent="0.35">
      <c r="A1000">
        <v>7000000432</v>
      </c>
      <c r="B1000">
        <v>9400009791</v>
      </c>
      <c r="C1000" s="10">
        <v>46171</v>
      </c>
      <c r="D1000" t="s">
        <v>2032</v>
      </c>
      <c r="E1000" s="11">
        <v>18822807</v>
      </c>
      <c r="F1000" t="s">
        <v>3512</v>
      </c>
      <c r="G1000" t="s">
        <v>3513</v>
      </c>
      <c r="H1000" s="10">
        <v>46185</v>
      </c>
      <c r="I1000">
        <v>209511.36</v>
      </c>
      <c r="J1000">
        <v>0</v>
      </c>
      <c r="K1000">
        <v>209511.36</v>
      </c>
    </row>
    <row r="1001" spans="1:11" x14ac:dyDescent="0.35">
      <c r="A1001">
        <v>2720000314</v>
      </c>
      <c r="B1001">
        <v>9400009788</v>
      </c>
      <c r="C1001" s="10">
        <v>46171</v>
      </c>
      <c r="D1001" t="s">
        <v>2032</v>
      </c>
      <c r="E1001" s="11">
        <v>18822650</v>
      </c>
      <c r="F1001" t="s">
        <v>245</v>
      </c>
      <c r="G1001" t="s">
        <v>246</v>
      </c>
      <c r="H1001" s="10">
        <v>46216</v>
      </c>
      <c r="I1001">
        <v>78516.08</v>
      </c>
      <c r="J1001">
        <v>0</v>
      </c>
      <c r="K1001">
        <v>78516.08</v>
      </c>
    </row>
    <row r="1002" spans="1:11" x14ac:dyDescent="0.35">
      <c r="A1002">
        <v>8000000508</v>
      </c>
      <c r="B1002">
        <v>9400009782</v>
      </c>
      <c r="C1002" s="10">
        <v>46171</v>
      </c>
      <c r="D1002" t="s">
        <v>2032</v>
      </c>
      <c r="E1002" s="11">
        <v>18822371</v>
      </c>
      <c r="F1002" t="s">
        <v>263</v>
      </c>
      <c r="G1002" t="s">
        <v>264</v>
      </c>
      <c r="H1002" s="10">
        <v>46185</v>
      </c>
      <c r="I1002">
        <v>192349.44</v>
      </c>
      <c r="J1002">
        <v>0</v>
      </c>
      <c r="K1002">
        <v>192349.44</v>
      </c>
    </row>
    <row r="1003" spans="1:11" x14ac:dyDescent="0.35">
      <c r="A1003">
        <v>9200000597</v>
      </c>
      <c r="B1003">
        <v>9400009781</v>
      </c>
      <c r="C1003" s="10">
        <v>46171</v>
      </c>
      <c r="D1003" t="s">
        <v>2032</v>
      </c>
      <c r="E1003" s="11">
        <v>18822356</v>
      </c>
      <c r="F1003" t="s">
        <v>3617</v>
      </c>
      <c r="G1003" t="s">
        <v>3618</v>
      </c>
      <c r="H1003" s="10">
        <v>46216</v>
      </c>
      <c r="I1003">
        <v>20937.259999999998</v>
      </c>
      <c r="J1003">
        <v>0</v>
      </c>
      <c r="K1003">
        <v>20937.259999999998</v>
      </c>
    </row>
    <row r="1004" spans="1:11" x14ac:dyDescent="0.35">
      <c r="A1004">
        <v>2710000680</v>
      </c>
      <c r="B1004">
        <v>9400009779</v>
      </c>
      <c r="C1004" s="10">
        <v>46171</v>
      </c>
      <c r="D1004" t="s">
        <v>2032</v>
      </c>
      <c r="E1004" s="11">
        <v>18822374</v>
      </c>
      <c r="F1004" t="s">
        <v>767</v>
      </c>
      <c r="G1004" t="s">
        <v>768</v>
      </c>
      <c r="H1004" s="10">
        <v>46185</v>
      </c>
      <c r="I1004">
        <v>414018.16</v>
      </c>
      <c r="J1004">
        <v>0</v>
      </c>
      <c r="K1004">
        <v>414018.16</v>
      </c>
    </row>
    <row r="1005" spans="1:11" x14ac:dyDescent="0.35">
      <c r="A1005">
        <v>9200000595</v>
      </c>
      <c r="B1005">
        <v>9400009777</v>
      </c>
      <c r="C1005" s="10">
        <v>46171</v>
      </c>
      <c r="D1005" t="s">
        <v>2032</v>
      </c>
      <c r="E1005" s="11">
        <v>18822185</v>
      </c>
      <c r="F1005" t="s">
        <v>635</v>
      </c>
      <c r="G1005" t="s">
        <v>636</v>
      </c>
      <c r="H1005" s="10">
        <v>46216</v>
      </c>
      <c r="I1005">
        <v>28468</v>
      </c>
      <c r="J1005">
        <v>0</v>
      </c>
      <c r="K1005">
        <v>28468</v>
      </c>
    </row>
    <row r="1006" spans="1:11" x14ac:dyDescent="0.35">
      <c r="A1006">
        <v>8000000507</v>
      </c>
      <c r="B1006">
        <v>9400009776</v>
      </c>
      <c r="C1006" s="10">
        <v>46171</v>
      </c>
      <c r="D1006" t="s">
        <v>2032</v>
      </c>
      <c r="E1006" s="11">
        <v>18822468</v>
      </c>
      <c r="F1006" t="s">
        <v>693</v>
      </c>
      <c r="G1006" t="s">
        <v>694</v>
      </c>
      <c r="H1006" s="10">
        <v>46185</v>
      </c>
      <c r="I1006">
        <v>314493.59999999998</v>
      </c>
      <c r="J1006">
        <v>0</v>
      </c>
      <c r="K1006">
        <v>314493.59999999998</v>
      </c>
    </row>
    <row r="1007" spans="1:11" x14ac:dyDescent="0.35">
      <c r="A1007">
        <v>9200000594</v>
      </c>
      <c r="B1007">
        <v>9400009775</v>
      </c>
      <c r="C1007" s="10">
        <v>46171</v>
      </c>
      <c r="D1007" t="s">
        <v>2032</v>
      </c>
      <c r="E1007" s="11">
        <v>18822185</v>
      </c>
      <c r="F1007" t="s">
        <v>635</v>
      </c>
      <c r="G1007" t="s">
        <v>636</v>
      </c>
      <c r="H1007" s="10">
        <v>46185</v>
      </c>
      <c r="I1007">
        <v>134557.76000000001</v>
      </c>
      <c r="J1007">
        <v>0</v>
      </c>
      <c r="K1007">
        <v>134557.76000000001</v>
      </c>
    </row>
    <row r="1008" spans="1:11" x14ac:dyDescent="0.35">
      <c r="A1008">
        <v>2710000679</v>
      </c>
      <c r="B1008">
        <v>9400009769</v>
      </c>
      <c r="C1008" s="10">
        <v>46171</v>
      </c>
      <c r="D1008" t="s">
        <v>2032</v>
      </c>
      <c r="E1008" s="11">
        <v>18822355</v>
      </c>
      <c r="F1008" t="s">
        <v>28</v>
      </c>
      <c r="G1008" t="s">
        <v>29</v>
      </c>
      <c r="H1008" s="10">
        <v>46216</v>
      </c>
      <c r="I1008">
        <v>7218.06</v>
      </c>
      <c r="J1008">
        <v>0</v>
      </c>
      <c r="K1008">
        <v>7218.06</v>
      </c>
    </row>
    <row r="1009" spans="1:11" x14ac:dyDescent="0.35">
      <c r="A1009">
        <v>8000000505</v>
      </c>
      <c r="B1009">
        <v>9400009767</v>
      </c>
      <c r="C1009" s="10">
        <v>46171</v>
      </c>
      <c r="D1009" t="s">
        <v>2032</v>
      </c>
      <c r="E1009" s="11">
        <v>18822354</v>
      </c>
      <c r="F1009" t="s">
        <v>721</v>
      </c>
      <c r="G1009" t="s">
        <v>722</v>
      </c>
      <c r="H1009" s="10">
        <v>46185</v>
      </c>
      <c r="I1009">
        <v>152484.32</v>
      </c>
      <c r="J1009">
        <v>0</v>
      </c>
      <c r="K1009">
        <v>152484.32</v>
      </c>
    </row>
    <row r="1010" spans="1:11" x14ac:dyDescent="0.35">
      <c r="A1010">
        <v>2710000678</v>
      </c>
      <c r="B1010">
        <v>9400009765</v>
      </c>
      <c r="C1010" s="10">
        <v>46171</v>
      </c>
      <c r="D1010" t="s">
        <v>2032</v>
      </c>
      <c r="E1010" s="11">
        <v>18822355</v>
      </c>
      <c r="F1010" t="s">
        <v>28</v>
      </c>
      <c r="G1010" t="s">
        <v>29</v>
      </c>
      <c r="H1010" s="10">
        <v>46185</v>
      </c>
      <c r="I1010">
        <v>197321.72</v>
      </c>
      <c r="J1010">
        <v>0</v>
      </c>
      <c r="K1010">
        <v>197321.72</v>
      </c>
    </row>
    <row r="1011" spans="1:11" x14ac:dyDescent="0.35">
      <c r="A1011">
        <v>2710000677</v>
      </c>
      <c r="B1011">
        <v>9400009762</v>
      </c>
      <c r="C1011" s="10">
        <v>46171</v>
      </c>
      <c r="D1011" t="s">
        <v>2032</v>
      </c>
      <c r="E1011" s="11">
        <v>18822323</v>
      </c>
      <c r="F1011" t="s">
        <v>134</v>
      </c>
      <c r="G1011" t="s">
        <v>135</v>
      </c>
      <c r="H1011" s="10">
        <v>46216</v>
      </c>
      <c r="I1011">
        <v>7194.64</v>
      </c>
      <c r="J1011">
        <v>0</v>
      </c>
      <c r="K1011">
        <v>7194.64</v>
      </c>
    </row>
    <row r="1012" spans="1:11" x14ac:dyDescent="0.35">
      <c r="A1012">
        <v>2710000676</v>
      </c>
      <c r="B1012">
        <v>9400009761</v>
      </c>
      <c r="C1012" s="10">
        <v>46171</v>
      </c>
      <c r="D1012" t="s">
        <v>2032</v>
      </c>
      <c r="E1012" s="11">
        <v>18822323</v>
      </c>
      <c r="F1012" t="s">
        <v>134</v>
      </c>
      <c r="G1012" t="s">
        <v>135</v>
      </c>
      <c r="H1012" s="10">
        <v>46185</v>
      </c>
      <c r="I1012">
        <v>10195.200000000001</v>
      </c>
      <c r="J1012">
        <v>0</v>
      </c>
      <c r="K1012">
        <v>10195.200000000001</v>
      </c>
    </row>
    <row r="1013" spans="1:11" x14ac:dyDescent="0.35">
      <c r="A1013">
        <v>2710000675</v>
      </c>
      <c r="B1013">
        <v>9400009755</v>
      </c>
      <c r="C1013" s="10">
        <v>46171</v>
      </c>
      <c r="D1013" t="s">
        <v>2032</v>
      </c>
      <c r="E1013" s="11">
        <v>18822323</v>
      </c>
      <c r="F1013" t="s">
        <v>134</v>
      </c>
      <c r="G1013" t="s">
        <v>135</v>
      </c>
      <c r="H1013" s="10">
        <v>46185</v>
      </c>
      <c r="I1013">
        <v>8799.6200000000008</v>
      </c>
      <c r="J1013">
        <v>0</v>
      </c>
      <c r="K1013">
        <v>8799.6200000000008</v>
      </c>
    </row>
    <row r="1014" spans="1:11" x14ac:dyDescent="0.35">
      <c r="A1014">
        <v>2710000673</v>
      </c>
      <c r="B1014">
        <v>9400009748</v>
      </c>
      <c r="C1014" s="10">
        <v>46171</v>
      </c>
      <c r="D1014" t="s">
        <v>2032</v>
      </c>
      <c r="E1014" s="11">
        <v>18822269</v>
      </c>
      <c r="F1014" t="s">
        <v>577</v>
      </c>
      <c r="G1014" t="s">
        <v>578</v>
      </c>
      <c r="H1014" s="10">
        <v>46171</v>
      </c>
      <c r="I1014">
        <v>76141.09</v>
      </c>
      <c r="J1014">
        <v>29540.54</v>
      </c>
      <c r="K1014">
        <v>46600.549999999996</v>
      </c>
    </row>
    <row r="1015" spans="1:11" x14ac:dyDescent="0.35">
      <c r="A1015">
        <v>2720000313</v>
      </c>
      <c r="B1015">
        <v>9400009745</v>
      </c>
      <c r="C1015" s="10">
        <v>46171</v>
      </c>
      <c r="D1015" t="s">
        <v>2032</v>
      </c>
      <c r="E1015" s="11">
        <v>18822487</v>
      </c>
      <c r="F1015" t="s">
        <v>314</v>
      </c>
      <c r="G1015" t="s">
        <v>315</v>
      </c>
      <c r="H1015" s="10">
        <v>46185</v>
      </c>
      <c r="I1015">
        <v>79692.479999999996</v>
      </c>
      <c r="J1015">
        <v>0</v>
      </c>
      <c r="K1015">
        <v>79692.479999999996</v>
      </c>
    </row>
    <row r="1016" spans="1:11" x14ac:dyDescent="0.35">
      <c r="A1016">
        <v>9100000832</v>
      </c>
      <c r="B1016">
        <v>9400009742</v>
      </c>
      <c r="C1016" s="10">
        <v>46171</v>
      </c>
      <c r="D1016" t="s">
        <v>2032</v>
      </c>
      <c r="E1016" s="11">
        <v>123</v>
      </c>
      <c r="F1016" t="s">
        <v>489</v>
      </c>
      <c r="G1016" t="s">
        <v>490</v>
      </c>
      <c r="H1016" s="10">
        <v>46185</v>
      </c>
      <c r="I1016">
        <v>117152.76</v>
      </c>
      <c r="J1016">
        <v>0</v>
      </c>
      <c r="K1016">
        <v>117152.76</v>
      </c>
    </row>
    <row r="1017" spans="1:11" x14ac:dyDescent="0.35">
      <c r="A1017">
        <v>9200000590</v>
      </c>
      <c r="B1017">
        <v>9400009737</v>
      </c>
      <c r="C1017" s="10">
        <v>46171</v>
      </c>
      <c r="D1017" t="s">
        <v>2032</v>
      </c>
      <c r="E1017" s="11">
        <v>18822071</v>
      </c>
      <c r="F1017" t="s">
        <v>653</v>
      </c>
      <c r="G1017" t="s">
        <v>654</v>
      </c>
      <c r="H1017" s="10">
        <v>46216</v>
      </c>
      <c r="I1017">
        <v>93179.88</v>
      </c>
      <c r="J1017">
        <v>0</v>
      </c>
      <c r="K1017">
        <v>93179.88</v>
      </c>
    </row>
    <row r="1018" spans="1:11" x14ac:dyDescent="0.35">
      <c r="A1018">
        <v>9200000589</v>
      </c>
      <c r="B1018">
        <v>9400009736</v>
      </c>
      <c r="C1018" s="10">
        <v>46171</v>
      </c>
      <c r="D1018" t="s">
        <v>2032</v>
      </c>
      <c r="E1018" s="11">
        <v>18822071</v>
      </c>
      <c r="F1018" t="s">
        <v>653</v>
      </c>
      <c r="G1018" t="s">
        <v>654</v>
      </c>
      <c r="H1018" s="10">
        <v>46185</v>
      </c>
      <c r="I1018">
        <v>57772.800000000003</v>
      </c>
      <c r="J1018">
        <v>0</v>
      </c>
      <c r="K1018">
        <v>57772.800000000003</v>
      </c>
    </row>
    <row r="1019" spans="1:11" x14ac:dyDescent="0.35">
      <c r="A1019">
        <v>2720000312</v>
      </c>
      <c r="B1019">
        <v>9400009733</v>
      </c>
      <c r="C1019" s="10">
        <v>46171</v>
      </c>
      <c r="D1019" t="s">
        <v>2032</v>
      </c>
      <c r="E1019" s="11">
        <v>18822251</v>
      </c>
      <c r="F1019" t="s">
        <v>575</v>
      </c>
      <c r="G1019" t="s">
        <v>576</v>
      </c>
      <c r="H1019" s="10">
        <v>46216</v>
      </c>
      <c r="I1019">
        <v>28139.84</v>
      </c>
      <c r="J1019">
        <v>0</v>
      </c>
      <c r="K1019">
        <v>28139.84</v>
      </c>
    </row>
    <row r="1020" spans="1:11" x14ac:dyDescent="0.35">
      <c r="A1020">
        <v>2720000311</v>
      </c>
      <c r="B1020">
        <v>9400009726</v>
      </c>
      <c r="C1020" s="10">
        <v>46171</v>
      </c>
      <c r="D1020" t="s">
        <v>2032</v>
      </c>
      <c r="E1020" s="11">
        <v>18822251</v>
      </c>
      <c r="F1020" t="s">
        <v>575</v>
      </c>
      <c r="G1020" t="s">
        <v>576</v>
      </c>
      <c r="H1020" s="10">
        <v>46185</v>
      </c>
      <c r="I1020">
        <v>38406.18</v>
      </c>
      <c r="J1020">
        <v>0</v>
      </c>
      <c r="K1020">
        <v>38406.18</v>
      </c>
    </row>
    <row r="1021" spans="1:11" x14ac:dyDescent="0.35">
      <c r="A1021">
        <v>9300000486</v>
      </c>
      <c r="B1021">
        <v>9400009721</v>
      </c>
      <c r="C1021" s="10">
        <v>46171</v>
      </c>
      <c r="D1021" t="s">
        <v>2032</v>
      </c>
      <c r="E1021" s="11">
        <v>18821892</v>
      </c>
      <c r="F1021" t="s">
        <v>3619</v>
      </c>
      <c r="G1021" t="s">
        <v>3620</v>
      </c>
      <c r="H1021" s="10">
        <v>46185</v>
      </c>
      <c r="I1021">
        <v>66821.039999999994</v>
      </c>
      <c r="J1021">
        <v>0</v>
      </c>
      <c r="K1021">
        <v>66821.039999999994</v>
      </c>
    </row>
    <row r="1022" spans="1:11" x14ac:dyDescent="0.35">
      <c r="A1022">
        <v>2710000672</v>
      </c>
      <c r="B1022">
        <v>9400009711</v>
      </c>
      <c r="C1022" s="10">
        <v>46171</v>
      </c>
      <c r="D1022" t="s">
        <v>2032</v>
      </c>
      <c r="E1022" s="11">
        <v>18822186</v>
      </c>
      <c r="F1022" t="s">
        <v>3621</v>
      </c>
      <c r="G1022" t="s">
        <v>3622</v>
      </c>
      <c r="H1022" s="10">
        <v>46185</v>
      </c>
      <c r="I1022">
        <v>40780.800000000003</v>
      </c>
      <c r="J1022">
        <v>0</v>
      </c>
      <c r="K1022">
        <v>40780.800000000003</v>
      </c>
    </row>
    <row r="1023" spans="1:11" x14ac:dyDescent="0.35">
      <c r="A1023">
        <v>2710000671</v>
      </c>
      <c r="B1023">
        <v>9400009710</v>
      </c>
      <c r="C1023" s="10">
        <v>46171</v>
      </c>
      <c r="D1023" t="s">
        <v>2032</v>
      </c>
      <c r="E1023" s="11">
        <v>18821944</v>
      </c>
      <c r="F1023" t="s">
        <v>70</v>
      </c>
      <c r="G1023" t="s">
        <v>71</v>
      </c>
      <c r="H1023" s="10">
        <v>46185</v>
      </c>
      <c r="I1023">
        <v>67968</v>
      </c>
      <c r="J1023">
        <v>0</v>
      </c>
      <c r="K1023">
        <v>67968</v>
      </c>
    </row>
    <row r="1024" spans="1:11" x14ac:dyDescent="0.35">
      <c r="A1024">
        <v>9200000588</v>
      </c>
      <c r="B1024">
        <v>9400009706</v>
      </c>
      <c r="C1024" s="10">
        <v>46171</v>
      </c>
      <c r="D1024" t="s">
        <v>2032</v>
      </c>
      <c r="E1024" s="11">
        <v>18821325</v>
      </c>
      <c r="F1024" t="s">
        <v>591</v>
      </c>
      <c r="G1024" t="s">
        <v>592</v>
      </c>
      <c r="H1024" s="10">
        <v>46216</v>
      </c>
      <c r="I1024">
        <v>83090.880000000005</v>
      </c>
      <c r="J1024">
        <v>0</v>
      </c>
      <c r="K1024">
        <v>83090.880000000005</v>
      </c>
    </row>
    <row r="1025" spans="1:11" x14ac:dyDescent="0.35">
      <c r="A1025">
        <v>2710000669</v>
      </c>
      <c r="B1025">
        <v>9400009705</v>
      </c>
      <c r="C1025" s="10">
        <v>46171</v>
      </c>
      <c r="D1025" t="s">
        <v>2032</v>
      </c>
      <c r="E1025" s="11">
        <v>18821482</v>
      </c>
      <c r="F1025" t="s">
        <v>1195</v>
      </c>
      <c r="G1025" t="s">
        <v>1196</v>
      </c>
      <c r="H1025" s="10">
        <v>46216</v>
      </c>
      <c r="I1025">
        <v>26586.959999999999</v>
      </c>
      <c r="J1025">
        <v>0</v>
      </c>
      <c r="K1025">
        <v>26586.959999999999</v>
      </c>
    </row>
    <row r="1026" spans="1:11" x14ac:dyDescent="0.35">
      <c r="A1026">
        <v>9200000587</v>
      </c>
      <c r="B1026">
        <v>9400009704</v>
      </c>
      <c r="C1026" s="10">
        <v>46171</v>
      </c>
      <c r="D1026" t="s">
        <v>2032</v>
      </c>
      <c r="E1026" s="11">
        <v>18821325</v>
      </c>
      <c r="F1026" t="s">
        <v>591</v>
      </c>
      <c r="G1026" t="s">
        <v>592</v>
      </c>
      <c r="H1026" s="10">
        <v>46185</v>
      </c>
      <c r="I1026">
        <v>42480</v>
      </c>
      <c r="J1026">
        <v>0</v>
      </c>
      <c r="K1026">
        <v>42480</v>
      </c>
    </row>
    <row r="1027" spans="1:11" x14ac:dyDescent="0.35">
      <c r="A1027">
        <v>2710000668</v>
      </c>
      <c r="B1027">
        <v>9400009703</v>
      </c>
      <c r="C1027" s="10">
        <v>46171</v>
      </c>
      <c r="D1027" t="s">
        <v>2032</v>
      </c>
      <c r="E1027" s="11">
        <v>18821478</v>
      </c>
      <c r="F1027" t="s">
        <v>66</v>
      </c>
      <c r="G1027" t="s">
        <v>67</v>
      </c>
      <c r="H1027" s="10">
        <v>46185</v>
      </c>
      <c r="I1027">
        <v>54939.39</v>
      </c>
      <c r="J1027">
        <v>0</v>
      </c>
      <c r="K1027">
        <v>54939.39</v>
      </c>
    </row>
    <row r="1028" spans="1:11" x14ac:dyDescent="0.35">
      <c r="A1028">
        <v>2710000667</v>
      </c>
      <c r="B1028">
        <v>9400009702</v>
      </c>
      <c r="C1028" s="10">
        <v>46171</v>
      </c>
      <c r="D1028" t="s">
        <v>2032</v>
      </c>
      <c r="E1028" s="11">
        <v>18821432</v>
      </c>
      <c r="F1028" t="s">
        <v>753</v>
      </c>
      <c r="G1028" t="s">
        <v>754</v>
      </c>
      <c r="H1028" s="10">
        <v>46216</v>
      </c>
      <c r="I1028">
        <v>24645.01</v>
      </c>
      <c r="J1028">
        <v>0</v>
      </c>
      <c r="K1028">
        <v>24645.01</v>
      </c>
    </row>
    <row r="1029" spans="1:11" x14ac:dyDescent="0.35">
      <c r="A1029">
        <v>2710000666</v>
      </c>
      <c r="B1029">
        <v>9400009700</v>
      </c>
      <c r="C1029" s="10">
        <v>46171</v>
      </c>
      <c r="D1029" t="s">
        <v>2032</v>
      </c>
      <c r="E1029" s="11">
        <v>18821167</v>
      </c>
      <c r="F1029" t="s">
        <v>579</v>
      </c>
      <c r="G1029" t="s">
        <v>580</v>
      </c>
      <c r="H1029" s="10">
        <v>46216</v>
      </c>
      <c r="I1029">
        <v>1001.11</v>
      </c>
      <c r="J1029">
        <v>0</v>
      </c>
      <c r="K1029">
        <v>1001.11</v>
      </c>
    </row>
    <row r="1030" spans="1:11" x14ac:dyDescent="0.35">
      <c r="A1030">
        <v>2710000665</v>
      </c>
      <c r="B1030">
        <v>9400009699</v>
      </c>
      <c r="C1030" s="10">
        <v>46171</v>
      </c>
      <c r="D1030" t="s">
        <v>2032</v>
      </c>
      <c r="E1030" s="11">
        <v>18821167</v>
      </c>
      <c r="F1030" t="s">
        <v>579</v>
      </c>
      <c r="G1030" t="s">
        <v>580</v>
      </c>
      <c r="H1030" s="10">
        <v>46185</v>
      </c>
      <c r="I1030">
        <v>387620.14</v>
      </c>
      <c r="J1030">
        <v>0</v>
      </c>
      <c r="K1030">
        <v>387620.14</v>
      </c>
    </row>
    <row r="1031" spans="1:11" x14ac:dyDescent="0.35">
      <c r="A1031">
        <v>5100000578</v>
      </c>
      <c r="B1031">
        <v>9400009695</v>
      </c>
      <c r="C1031" s="10">
        <v>46171</v>
      </c>
      <c r="D1031" t="s">
        <v>2032</v>
      </c>
      <c r="E1031" s="11">
        <v>18645173</v>
      </c>
      <c r="F1031" t="s">
        <v>473</v>
      </c>
      <c r="G1031" t="s">
        <v>474</v>
      </c>
      <c r="H1031" s="10">
        <v>46216</v>
      </c>
      <c r="I1031">
        <v>8863.02</v>
      </c>
      <c r="J1031">
        <v>0</v>
      </c>
      <c r="K1031">
        <v>8863.02</v>
      </c>
    </row>
    <row r="1032" spans="1:11" x14ac:dyDescent="0.35">
      <c r="A1032">
        <v>9100000831</v>
      </c>
      <c r="B1032">
        <v>9400009693</v>
      </c>
      <c r="C1032" s="10">
        <v>46171</v>
      </c>
      <c r="D1032" t="s">
        <v>2032</v>
      </c>
      <c r="E1032" s="11">
        <v>123</v>
      </c>
      <c r="F1032" t="s">
        <v>167</v>
      </c>
      <c r="G1032" t="s">
        <v>168</v>
      </c>
      <c r="H1032" s="10">
        <v>46185</v>
      </c>
      <c r="I1032">
        <v>655844</v>
      </c>
      <c r="J1032">
        <v>0</v>
      </c>
      <c r="K1032">
        <v>655844</v>
      </c>
    </row>
    <row r="1033" spans="1:11" x14ac:dyDescent="0.35">
      <c r="A1033">
        <v>9300000485</v>
      </c>
      <c r="B1033">
        <v>9400009692</v>
      </c>
      <c r="C1033" s="10">
        <v>46171</v>
      </c>
      <c r="D1033" t="s">
        <v>2032</v>
      </c>
      <c r="E1033" s="11">
        <v>18821895</v>
      </c>
      <c r="F1033" t="s">
        <v>699</v>
      </c>
      <c r="G1033" t="s">
        <v>700</v>
      </c>
      <c r="H1033" s="10">
        <v>46185</v>
      </c>
      <c r="I1033">
        <v>222494</v>
      </c>
      <c r="J1033">
        <v>0</v>
      </c>
      <c r="K1033">
        <v>222494</v>
      </c>
    </row>
    <row r="1034" spans="1:11" x14ac:dyDescent="0.35">
      <c r="A1034">
        <v>5100000577</v>
      </c>
      <c r="B1034">
        <v>9400009690</v>
      </c>
      <c r="C1034" s="10">
        <v>46171</v>
      </c>
      <c r="D1034" t="s">
        <v>2032</v>
      </c>
      <c r="E1034" s="11">
        <v>18820947</v>
      </c>
      <c r="F1034" t="s">
        <v>473</v>
      </c>
      <c r="G1034" t="s">
        <v>474</v>
      </c>
      <c r="H1034" s="10">
        <v>46216</v>
      </c>
      <c r="I1034">
        <v>103757.4</v>
      </c>
      <c r="J1034">
        <v>0</v>
      </c>
      <c r="K1034">
        <v>103757.4</v>
      </c>
    </row>
    <row r="1035" spans="1:11" x14ac:dyDescent="0.35">
      <c r="A1035">
        <v>2710000663</v>
      </c>
      <c r="B1035">
        <v>9400009688</v>
      </c>
      <c r="C1035" s="10">
        <v>46171</v>
      </c>
      <c r="D1035" t="s">
        <v>2032</v>
      </c>
      <c r="E1035" s="11">
        <v>18821013</v>
      </c>
      <c r="F1035" t="s">
        <v>773</v>
      </c>
      <c r="G1035" t="s">
        <v>774</v>
      </c>
      <c r="H1035" s="10">
        <v>46216</v>
      </c>
      <c r="I1035">
        <v>23656.69</v>
      </c>
      <c r="J1035">
        <v>0</v>
      </c>
      <c r="K1035">
        <v>23656.69</v>
      </c>
    </row>
    <row r="1036" spans="1:11" x14ac:dyDescent="0.35">
      <c r="A1036">
        <v>8000000498</v>
      </c>
      <c r="B1036">
        <v>9400009676</v>
      </c>
      <c r="C1036" s="10">
        <v>46171</v>
      </c>
      <c r="D1036" t="s">
        <v>2032</v>
      </c>
      <c r="E1036" s="11">
        <v>18797045</v>
      </c>
      <c r="F1036" t="s">
        <v>263</v>
      </c>
      <c r="G1036" t="s">
        <v>264</v>
      </c>
      <c r="H1036" s="10">
        <v>46216</v>
      </c>
      <c r="I1036">
        <v>65118.04</v>
      </c>
      <c r="J1036">
        <v>0</v>
      </c>
      <c r="K1036">
        <v>65118.04</v>
      </c>
    </row>
    <row r="1037" spans="1:11" x14ac:dyDescent="0.35">
      <c r="A1037">
        <v>8000000497</v>
      </c>
      <c r="B1037">
        <v>9400009674</v>
      </c>
      <c r="C1037" s="10">
        <v>46171</v>
      </c>
      <c r="D1037" t="s">
        <v>2032</v>
      </c>
      <c r="E1037" s="11">
        <v>18797045</v>
      </c>
      <c r="F1037" t="s">
        <v>263</v>
      </c>
      <c r="G1037" t="s">
        <v>264</v>
      </c>
      <c r="H1037" s="10">
        <v>46185</v>
      </c>
      <c r="I1037">
        <v>224110.32</v>
      </c>
      <c r="J1037">
        <v>0</v>
      </c>
      <c r="K1037">
        <v>224110.32</v>
      </c>
    </row>
    <row r="1038" spans="1:11" x14ac:dyDescent="0.35">
      <c r="A1038">
        <v>8000000496</v>
      </c>
      <c r="B1038">
        <v>9400009673</v>
      </c>
      <c r="C1038" s="10">
        <v>46171</v>
      </c>
      <c r="D1038" t="s">
        <v>2032</v>
      </c>
      <c r="E1038" s="11">
        <v>18822012</v>
      </c>
      <c r="F1038" t="s">
        <v>747</v>
      </c>
      <c r="G1038" t="s">
        <v>748</v>
      </c>
      <c r="H1038" s="10">
        <v>46185</v>
      </c>
      <c r="I1038">
        <v>153777.60000000001</v>
      </c>
      <c r="J1038">
        <v>0</v>
      </c>
      <c r="K1038">
        <v>153777.60000000001</v>
      </c>
    </row>
    <row r="1039" spans="1:11" x14ac:dyDescent="0.35">
      <c r="A1039">
        <v>5100000575</v>
      </c>
      <c r="B1039">
        <v>9400009672</v>
      </c>
      <c r="C1039" s="10">
        <v>46171</v>
      </c>
      <c r="D1039" t="s">
        <v>2032</v>
      </c>
      <c r="E1039" s="11">
        <v>18798177</v>
      </c>
      <c r="F1039" t="s">
        <v>379</v>
      </c>
      <c r="G1039" t="s">
        <v>380</v>
      </c>
      <c r="H1039" s="10">
        <v>46216</v>
      </c>
      <c r="I1039">
        <v>34710.519999999997</v>
      </c>
      <c r="J1039">
        <v>0</v>
      </c>
      <c r="K1039">
        <v>34710.519999999997</v>
      </c>
    </row>
    <row r="1040" spans="1:11" x14ac:dyDescent="0.35">
      <c r="A1040">
        <v>2730000446</v>
      </c>
      <c r="B1040">
        <v>9400009660</v>
      </c>
      <c r="C1040" s="10">
        <v>46171</v>
      </c>
      <c r="D1040" t="s">
        <v>2032</v>
      </c>
      <c r="E1040" s="11">
        <v>18822082</v>
      </c>
      <c r="F1040" t="s">
        <v>273</v>
      </c>
      <c r="G1040" t="s">
        <v>274</v>
      </c>
      <c r="H1040" s="10">
        <v>46185</v>
      </c>
      <c r="I1040">
        <v>527853.18000000005</v>
      </c>
      <c r="J1040">
        <v>0</v>
      </c>
      <c r="K1040">
        <v>527853.18000000005</v>
      </c>
    </row>
    <row r="1041" spans="1:11" x14ac:dyDescent="0.35">
      <c r="A1041">
        <v>2730000445</v>
      </c>
      <c r="B1041">
        <v>9400009656</v>
      </c>
      <c r="C1041" s="10">
        <v>46171</v>
      </c>
      <c r="D1041" t="s">
        <v>2032</v>
      </c>
      <c r="E1041" s="11">
        <v>18821480</v>
      </c>
      <c r="F1041" t="s">
        <v>89</v>
      </c>
      <c r="G1041" t="s">
        <v>90</v>
      </c>
      <c r="H1041" s="10">
        <v>46216</v>
      </c>
      <c r="I1041">
        <v>327217.74</v>
      </c>
      <c r="J1041">
        <v>0</v>
      </c>
      <c r="K1041">
        <v>327217.74</v>
      </c>
    </row>
    <row r="1042" spans="1:11" x14ac:dyDescent="0.35">
      <c r="A1042">
        <v>2300000421</v>
      </c>
      <c r="B1042">
        <v>9400009654</v>
      </c>
      <c r="C1042" s="10">
        <v>46171</v>
      </c>
      <c r="D1042" t="s">
        <v>2032</v>
      </c>
      <c r="E1042" s="11">
        <v>18822033</v>
      </c>
      <c r="F1042" t="s">
        <v>627</v>
      </c>
      <c r="G1042" t="s">
        <v>628</v>
      </c>
      <c r="H1042" s="10">
        <v>46185</v>
      </c>
      <c r="I1042">
        <v>68029.740000000005</v>
      </c>
      <c r="J1042">
        <v>0</v>
      </c>
      <c r="K1042">
        <v>68029.740000000005</v>
      </c>
    </row>
    <row r="1043" spans="1:11" x14ac:dyDescent="0.35">
      <c r="A1043">
        <v>2730000444</v>
      </c>
      <c r="B1043">
        <v>9400009646</v>
      </c>
      <c r="C1043" s="10">
        <v>46171</v>
      </c>
      <c r="D1043" t="s">
        <v>2032</v>
      </c>
      <c r="E1043" s="11">
        <v>18821889</v>
      </c>
      <c r="F1043" t="s">
        <v>499</v>
      </c>
      <c r="G1043" t="s">
        <v>500</v>
      </c>
      <c r="H1043" s="10">
        <v>46216</v>
      </c>
      <c r="I1043">
        <v>53270.78</v>
      </c>
      <c r="J1043">
        <v>0</v>
      </c>
      <c r="K1043">
        <v>53270.78</v>
      </c>
    </row>
    <row r="1044" spans="1:11" x14ac:dyDescent="0.35">
      <c r="A1044">
        <v>2710000659</v>
      </c>
      <c r="B1044">
        <v>9400009642</v>
      </c>
      <c r="C1044" s="10">
        <v>46171</v>
      </c>
      <c r="D1044" t="s">
        <v>2032</v>
      </c>
      <c r="E1044" s="11">
        <v>18820798</v>
      </c>
      <c r="F1044" t="s">
        <v>491</v>
      </c>
      <c r="G1044" t="s">
        <v>492</v>
      </c>
      <c r="H1044" s="10">
        <v>46185</v>
      </c>
      <c r="I1044">
        <v>509.76</v>
      </c>
      <c r="J1044">
        <v>0</v>
      </c>
      <c r="K1044">
        <v>509.76</v>
      </c>
    </row>
    <row r="1045" spans="1:11" x14ac:dyDescent="0.35">
      <c r="A1045">
        <v>2710000658</v>
      </c>
      <c r="B1045">
        <v>9400009637</v>
      </c>
      <c r="C1045" s="10">
        <v>46171</v>
      </c>
      <c r="D1045" t="s">
        <v>2032</v>
      </c>
      <c r="E1045" s="11">
        <v>18821867</v>
      </c>
      <c r="F1045" t="s">
        <v>3098</v>
      </c>
      <c r="G1045" t="s">
        <v>3099</v>
      </c>
      <c r="H1045" s="10">
        <v>46216</v>
      </c>
      <c r="I1045">
        <v>20765.64</v>
      </c>
      <c r="J1045">
        <v>0</v>
      </c>
      <c r="K1045">
        <v>20765.64</v>
      </c>
    </row>
    <row r="1046" spans="1:11" x14ac:dyDescent="0.35">
      <c r="B1046">
        <v>1400006992</v>
      </c>
      <c r="C1046" s="10">
        <v>46171</v>
      </c>
      <c r="D1046" t="s">
        <v>2037</v>
      </c>
      <c r="E1046" s="11" t="s">
        <v>533</v>
      </c>
      <c r="F1046" t="s">
        <v>533</v>
      </c>
      <c r="G1046" t="s">
        <v>534</v>
      </c>
      <c r="H1046" s="10">
        <v>46171</v>
      </c>
      <c r="I1046">
        <v>59</v>
      </c>
      <c r="J1046">
        <v>0.12</v>
      </c>
      <c r="K1046">
        <v>58.88</v>
      </c>
    </row>
    <row r="1047" spans="1:11" x14ac:dyDescent="0.35">
      <c r="B1047">
        <v>1400006991</v>
      </c>
      <c r="C1047" s="10">
        <v>46171</v>
      </c>
      <c r="D1047" t="s">
        <v>2037</v>
      </c>
      <c r="E1047" s="11" t="s">
        <v>331</v>
      </c>
      <c r="F1047" t="s">
        <v>331</v>
      </c>
      <c r="G1047" t="s">
        <v>332</v>
      </c>
      <c r="H1047" s="10">
        <v>46171</v>
      </c>
      <c r="I1047">
        <v>59</v>
      </c>
      <c r="J1047">
        <v>0</v>
      </c>
      <c r="K1047">
        <v>59</v>
      </c>
    </row>
    <row r="1048" spans="1:11" x14ac:dyDescent="0.35">
      <c r="B1048">
        <v>1400006990</v>
      </c>
      <c r="C1048" s="10">
        <v>46171</v>
      </c>
      <c r="D1048" t="s">
        <v>2037</v>
      </c>
      <c r="E1048" s="11" t="s">
        <v>1229</v>
      </c>
      <c r="F1048" t="s">
        <v>1229</v>
      </c>
      <c r="G1048" t="s">
        <v>1230</v>
      </c>
      <c r="H1048" s="10">
        <v>46171</v>
      </c>
      <c r="I1048">
        <v>59</v>
      </c>
      <c r="J1048">
        <v>0</v>
      </c>
      <c r="K1048">
        <v>59</v>
      </c>
    </row>
    <row r="1049" spans="1:11" x14ac:dyDescent="0.35">
      <c r="B1049">
        <v>1400006988</v>
      </c>
      <c r="C1049" s="10">
        <v>46171</v>
      </c>
      <c r="D1049" t="s">
        <v>2037</v>
      </c>
      <c r="E1049" s="11">
        <v>510298</v>
      </c>
      <c r="F1049" t="s">
        <v>1025</v>
      </c>
      <c r="G1049" t="s">
        <v>1026</v>
      </c>
      <c r="H1049" s="10">
        <v>46171</v>
      </c>
      <c r="I1049">
        <v>59</v>
      </c>
      <c r="J1049">
        <v>0</v>
      </c>
      <c r="K1049">
        <v>59</v>
      </c>
    </row>
    <row r="1050" spans="1:11" x14ac:dyDescent="0.35">
      <c r="B1050">
        <v>1400006865</v>
      </c>
      <c r="C1050" s="10">
        <v>46171</v>
      </c>
      <c r="D1050" t="s">
        <v>2037</v>
      </c>
      <c r="E1050" s="11">
        <v>2710000023</v>
      </c>
      <c r="F1050" t="s">
        <v>31</v>
      </c>
      <c r="G1050" t="s">
        <v>32</v>
      </c>
      <c r="H1050" s="10">
        <v>46171</v>
      </c>
      <c r="I1050">
        <v>17348</v>
      </c>
      <c r="J1050">
        <v>0.72</v>
      </c>
      <c r="K1050">
        <v>17347.28</v>
      </c>
    </row>
    <row r="1051" spans="1:11" x14ac:dyDescent="0.35">
      <c r="B1051">
        <v>1400006863</v>
      </c>
      <c r="C1051" s="10">
        <v>46171</v>
      </c>
      <c r="D1051" t="s">
        <v>2037</v>
      </c>
      <c r="E1051" s="11">
        <v>2300000039</v>
      </c>
      <c r="F1051" t="s">
        <v>78</v>
      </c>
      <c r="G1051" t="s">
        <v>79</v>
      </c>
      <c r="H1051" s="10">
        <v>46171</v>
      </c>
      <c r="I1051">
        <v>53800</v>
      </c>
      <c r="J1051">
        <v>32018.69</v>
      </c>
      <c r="K1051">
        <v>21781.31</v>
      </c>
    </row>
    <row r="1052" spans="1:11" x14ac:dyDescent="0.35">
      <c r="A1052">
        <v>5100000576</v>
      </c>
      <c r="B1052">
        <v>9400009678</v>
      </c>
      <c r="C1052" s="10">
        <v>46170</v>
      </c>
      <c r="D1052" t="s">
        <v>2032</v>
      </c>
      <c r="E1052" s="11">
        <v>18797886</v>
      </c>
      <c r="F1052" t="s">
        <v>923</v>
      </c>
      <c r="G1052" t="s">
        <v>924</v>
      </c>
      <c r="H1052" s="10">
        <v>46215</v>
      </c>
      <c r="I1052">
        <v>41502.959999999999</v>
      </c>
      <c r="J1052">
        <v>0</v>
      </c>
      <c r="K1052">
        <v>41502.959999999999</v>
      </c>
    </row>
    <row r="1053" spans="1:11" x14ac:dyDescent="0.35">
      <c r="A1053">
        <v>3000000736</v>
      </c>
      <c r="B1053">
        <v>9400009620</v>
      </c>
      <c r="C1053" s="10">
        <v>46170</v>
      </c>
      <c r="D1053" t="s">
        <v>2032</v>
      </c>
      <c r="E1053" s="11">
        <v>18821460</v>
      </c>
      <c r="F1053" t="s">
        <v>3520</v>
      </c>
      <c r="G1053" t="s">
        <v>3521</v>
      </c>
      <c r="H1053" s="10">
        <v>46170</v>
      </c>
      <c r="I1053">
        <v>169070.4</v>
      </c>
      <c r="J1053">
        <v>168557.29</v>
      </c>
      <c r="K1053">
        <v>513.10999999998603</v>
      </c>
    </row>
    <row r="1054" spans="1:11" x14ac:dyDescent="0.35">
      <c r="A1054">
        <v>5200000273</v>
      </c>
      <c r="B1054">
        <v>9400009612</v>
      </c>
      <c r="C1054" s="10">
        <v>46170</v>
      </c>
      <c r="D1054" t="s">
        <v>2032</v>
      </c>
      <c r="E1054" s="11">
        <v>18820534</v>
      </c>
      <c r="F1054" t="s">
        <v>3625</v>
      </c>
      <c r="G1054" t="s">
        <v>3626</v>
      </c>
      <c r="H1054" s="10">
        <v>46170</v>
      </c>
      <c r="I1054">
        <v>112935.75</v>
      </c>
      <c r="J1054">
        <v>111931.69</v>
      </c>
      <c r="K1054">
        <v>1004.0599999999977</v>
      </c>
    </row>
    <row r="1055" spans="1:11" x14ac:dyDescent="0.35">
      <c r="A1055">
        <v>2730000441</v>
      </c>
      <c r="B1055">
        <v>9400009610</v>
      </c>
      <c r="C1055" s="10">
        <v>46170</v>
      </c>
      <c r="D1055" t="s">
        <v>2032</v>
      </c>
      <c r="E1055" s="11">
        <v>18821529</v>
      </c>
      <c r="F1055" t="s">
        <v>1047</v>
      </c>
      <c r="G1055" t="s">
        <v>1048</v>
      </c>
      <c r="H1055" s="10">
        <v>46215</v>
      </c>
      <c r="I1055">
        <v>7218.06</v>
      </c>
      <c r="J1055">
        <v>0</v>
      </c>
      <c r="K1055">
        <v>7218.06</v>
      </c>
    </row>
    <row r="1056" spans="1:11" x14ac:dyDescent="0.35">
      <c r="A1056">
        <v>2730000440</v>
      </c>
      <c r="B1056">
        <v>9400009609</v>
      </c>
      <c r="C1056" s="10">
        <v>46170</v>
      </c>
      <c r="D1056" t="s">
        <v>2032</v>
      </c>
      <c r="E1056" s="11">
        <v>18821529</v>
      </c>
      <c r="F1056" t="s">
        <v>1047</v>
      </c>
      <c r="G1056" t="s">
        <v>1048</v>
      </c>
      <c r="H1056" s="10">
        <v>46184</v>
      </c>
      <c r="I1056">
        <v>122568.96000000001</v>
      </c>
      <c r="J1056">
        <v>0</v>
      </c>
      <c r="K1056">
        <v>122568.96000000001</v>
      </c>
    </row>
    <row r="1057" spans="1:11" x14ac:dyDescent="0.35">
      <c r="A1057">
        <v>2730000438</v>
      </c>
      <c r="B1057">
        <v>9400009606</v>
      </c>
      <c r="C1057" s="10">
        <v>46170</v>
      </c>
      <c r="D1057" t="s">
        <v>2032</v>
      </c>
      <c r="E1057" s="11">
        <v>18821480</v>
      </c>
      <c r="F1057" t="s">
        <v>89</v>
      </c>
      <c r="G1057" t="s">
        <v>90</v>
      </c>
      <c r="H1057" s="10">
        <v>46184</v>
      </c>
      <c r="I1057">
        <v>29523.599999999999</v>
      </c>
      <c r="J1057">
        <v>0</v>
      </c>
      <c r="K1057">
        <v>29523.599999999999</v>
      </c>
    </row>
    <row r="1058" spans="1:11" x14ac:dyDescent="0.35">
      <c r="A1058">
        <v>9200000584</v>
      </c>
      <c r="B1058">
        <v>9400009605</v>
      </c>
      <c r="C1058" s="10">
        <v>46170</v>
      </c>
      <c r="D1058" t="s">
        <v>2032</v>
      </c>
      <c r="E1058" s="11">
        <v>18799269</v>
      </c>
      <c r="F1058" t="s">
        <v>725</v>
      </c>
      <c r="G1058" t="s">
        <v>726</v>
      </c>
      <c r="H1058" s="10">
        <v>46215</v>
      </c>
      <c r="I1058">
        <v>118561.22</v>
      </c>
      <c r="J1058">
        <v>0</v>
      </c>
      <c r="K1058">
        <v>118561.22</v>
      </c>
    </row>
    <row r="1059" spans="1:11" x14ac:dyDescent="0.35">
      <c r="A1059">
        <v>2720000310</v>
      </c>
      <c r="B1059">
        <v>9400009602</v>
      </c>
      <c r="C1059" s="10">
        <v>46170</v>
      </c>
      <c r="D1059" t="s">
        <v>2032</v>
      </c>
      <c r="E1059" s="11">
        <v>18809853</v>
      </c>
      <c r="F1059" t="s">
        <v>136</v>
      </c>
      <c r="G1059" t="s">
        <v>137</v>
      </c>
      <c r="H1059" s="10">
        <v>46215</v>
      </c>
      <c r="I1059">
        <v>20626.02</v>
      </c>
      <c r="J1059">
        <v>0</v>
      </c>
      <c r="K1059">
        <v>20626.02</v>
      </c>
    </row>
    <row r="1060" spans="1:11" x14ac:dyDescent="0.35">
      <c r="A1060">
        <v>9200000580</v>
      </c>
      <c r="B1060">
        <v>9400009598</v>
      </c>
      <c r="C1060" s="10">
        <v>46170</v>
      </c>
      <c r="D1060" t="s">
        <v>2032</v>
      </c>
      <c r="E1060" s="11">
        <v>18799711</v>
      </c>
      <c r="F1060" t="s">
        <v>883</v>
      </c>
      <c r="G1060" t="s">
        <v>884</v>
      </c>
      <c r="H1060" s="10">
        <v>46215</v>
      </c>
      <c r="I1060">
        <v>107367.22</v>
      </c>
      <c r="J1060">
        <v>0</v>
      </c>
      <c r="K1060">
        <v>107367.22</v>
      </c>
    </row>
    <row r="1061" spans="1:11" x14ac:dyDescent="0.35">
      <c r="A1061">
        <v>9200000579</v>
      </c>
      <c r="B1061">
        <v>9400009597</v>
      </c>
      <c r="C1061" s="10">
        <v>46170</v>
      </c>
      <c r="D1061" t="s">
        <v>2032</v>
      </c>
      <c r="E1061" s="11">
        <v>18809810</v>
      </c>
      <c r="F1061" t="s">
        <v>517</v>
      </c>
      <c r="G1061" t="s">
        <v>518</v>
      </c>
      <c r="H1061" s="10">
        <v>46215</v>
      </c>
      <c r="I1061">
        <v>110211.3</v>
      </c>
      <c r="J1061">
        <v>0</v>
      </c>
      <c r="K1061">
        <v>110211.3</v>
      </c>
    </row>
    <row r="1062" spans="1:11" x14ac:dyDescent="0.35">
      <c r="A1062">
        <v>9200000578</v>
      </c>
      <c r="B1062">
        <v>9400009596</v>
      </c>
      <c r="C1062" s="10">
        <v>46170</v>
      </c>
      <c r="D1062" t="s">
        <v>2032</v>
      </c>
      <c r="E1062" s="11">
        <v>18820853</v>
      </c>
      <c r="F1062" t="s">
        <v>439</v>
      </c>
      <c r="G1062" t="s">
        <v>440</v>
      </c>
      <c r="H1062" s="10">
        <v>46215</v>
      </c>
      <c r="I1062">
        <v>82496.639999999999</v>
      </c>
      <c r="J1062">
        <v>0</v>
      </c>
      <c r="K1062">
        <v>82496.639999999999</v>
      </c>
    </row>
    <row r="1063" spans="1:11" x14ac:dyDescent="0.35">
      <c r="A1063">
        <v>5200000271</v>
      </c>
      <c r="B1063">
        <v>9400009593</v>
      </c>
      <c r="C1063" s="10">
        <v>46170</v>
      </c>
      <c r="D1063" t="s">
        <v>2032</v>
      </c>
      <c r="E1063" s="11">
        <v>18753562</v>
      </c>
      <c r="F1063" t="s">
        <v>3623</v>
      </c>
      <c r="G1063" t="s">
        <v>3624</v>
      </c>
      <c r="H1063" s="10">
        <v>46170</v>
      </c>
      <c r="I1063">
        <v>15158.56</v>
      </c>
      <c r="J1063">
        <v>14665.05</v>
      </c>
      <c r="K1063">
        <v>493.51000000000022</v>
      </c>
    </row>
    <row r="1064" spans="1:11" x14ac:dyDescent="0.35">
      <c r="A1064">
        <v>5100000574</v>
      </c>
      <c r="B1064">
        <v>9400009591</v>
      </c>
      <c r="C1064" s="10">
        <v>46170</v>
      </c>
      <c r="D1064" t="s">
        <v>2032</v>
      </c>
      <c r="E1064" s="11">
        <v>18644421</v>
      </c>
      <c r="F1064" t="s">
        <v>573</v>
      </c>
      <c r="G1064" t="s">
        <v>574</v>
      </c>
      <c r="H1064" s="10">
        <v>46215</v>
      </c>
      <c r="I1064">
        <v>44213.18</v>
      </c>
      <c r="J1064">
        <v>0</v>
      </c>
      <c r="K1064">
        <v>44213.18</v>
      </c>
    </row>
    <row r="1065" spans="1:11" x14ac:dyDescent="0.35">
      <c r="A1065">
        <v>2730000437</v>
      </c>
      <c r="B1065">
        <v>9400009590</v>
      </c>
      <c r="C1065" s="10">
        <v>46170</v>
      </c>
      <c r="D1065" t="s">
        <v>2032</v>
      </c>
      <c r="E1065" s="11">
        <v>18819970</v>
      </c>
      <c r="F1065" t="s">
        <v>359</v>
      </c>
      <c r="G1065" t="s">
        <v>360</v>
      </c>
      <c r="H1065" s="10">
        <v>46184</v>
      </c>
      <c r="I1065">
        <v>10233.200000000001</v>
      </c>
      <c r="J1065">
        <v>0</v>
      </c>
      <c r="K1065">
        <v>10233.200000000001</v>
      </c>
    </row>
    <row r="1066" spans="1:11" x14ac:dyDescent="0.35">
      <c r="A1066">
        <v>9300000479</v>
      </c>
      <c r="B1066">
        <v>9400009589</v>
      </c>
      <c r="C1066" s="10">
        <v>46170</v>
      </c>
      <c r="D1066" t="s">
        <v>2032</v>
      </c>
      <c r="E1066" s="11">
        <v>18821295</v>
      </c>
      <c r="F1066" t="s">
        <v>172</v>
      </c>
      <c r="G1066" t="s">
        <v>173</v>
      </c>
      <c r="H1066" s="10">
        <v>46215</v>
      </c>
      <c r="I1066">
        <v>34136.17</v>
      </c>
      <c r="J1066">
        <v>0</v>
      </c>
      <c r="K1066">
        <v>34136.17</v>
      </c>
    </row>
    <row r="1067" spans="1:11" x14ac:dyDescent="0.35">
      <c r="A1067">
        <v>2730000436</v>
      </c>
      <c r="B1067">
        <v>9400009586</v>
      </c>
      <c r="C1067" s="10">
        <v>46170</v>
      </c>
      <c r="D1067" t="s">
        <v>2032</v>
      </c>
      <c r="E1067" s="11">
        <v>18819970</v>
      </c>
      <c r="F1067" t="s">
        <v>359</v>
      </c>
      <c r="G1067" t="s">
        <v>360</v>
      </c>
      <c r="H1067" s="10">
        <v>46215</v>
      </c>
      <c r="I1067">
        <v>41015.839999999997</v>
      </c>
      <c r="J1067">
        <v>0</v>
      </c>
      <c r="K1067">
        <v>41015.839999999997</v>
      </c>
    </row>
    <row r="1068" spans="1:11" x14ac:dyDescent="0.35">
      <c r="A1068">
        <v>2730000435</v>
      </c>
      <c r="B1068">
        <v>9400009583</v>
      </c>
      <c r="C1068" s="10">
        <v>46170</v>
      </c>
      <c r="D1068" t="s">
        <v>2032</v>
      </c>
      <c r="E1068" s="11">
        <v>18821348</v>
      </c>
      <c r="F1068" t="s">
        <v>3551</v>
      </c>
      <c r="G1068" t="s">
        <v>3552</v>
      </c>
      <c r="H1068" s="10">
        <v>46215</v>
      </c>
      <c r="I1068">
        <v>272714.48</v>
      </c>
      <c r="J1068">
        <v>0</v>
      </c>
      <c r="K1068">
        <v>272714.48</v>
      </c>
    </row>
    <row r="1069" spans="1:11" x14ac:dyDescent="0.35">
      <c r="A1069">
        <v>5100000571</v>
      </c>
      <c r="B1069">
        <v>9400009580</v>
      </c>
      <c r="C1069" s="10">
        <v>46170</v>
      </c>
      <c r="D1069" t="s">
        <v>2032</v>
      </c>
      <c r="E1069" s="11">
        <v>18799651</v>
      </c>
      <c r="F1069" t="s">
        <v>3627</v>
      </c>
      <c r="G1069" t="s">
        <v>3628</v>
      </c>
      <c r="H1069" s="10">
        <v>46215</v>
      </c>
      <c r="I1069">
        <v>22618.32</v>
      </c>
      <c r="J1069">
        <v>0</v>
      </c>
      <c r="K1069">
        <v>22618.32</v>
      </c>
    </row>
    <row r="1070" spans="1:11" x14ac:dyDescent="0.35">
      <c r="A1070">
        <v>2730000434</v>
      </c>
      <c r="B1070">
        <v>9400009579</v>
      </c>
      <c r="C1070" s="10">
        <v>46170</v>
      </c>
      <c r="D1070" t="s">
        <v>2032</v>
      </c>
      <c r="E1070" s="11">
        <v>18821348</v>
      </c>
      <c r="F1070" t="s">
        <v>3551</v>
      </c>
      <c r="G1070" t="s">
        <v>3552</v>
      </c>
      <c r="H1070" s="10">
        <v>46184</v>
      </c>
      <c r="I1070">
        <v>171918.12</v>
      </c>
      <c r="J1070">
        <v>0</v>
      </c>
      <c r="K1070">
        <v>171918.12</v>
      </c>
    </row>
    <row r="1071" spans="1:11" x14ac:dyDescent="0.35">
      <c r="A1071">
        <v>5200000270</v>
      </c>
      <c r="B1071">
        <v>9400009577</v>
      </c>
      <c r="C1071" s="10">
        <v>46170</v>
      </c>
      <c r="D1071" t="s">
        <v>2032</v>
      </c>
      <c r="E1071" s="11">
        <v>18820088</v>
      </c>
      <c r="F1071" t="s">
        <v>3100</v>
      </c>
      <c r="G1071" t="s">
        <v>3101</v>
      </c>
      <c r="H1071" s="10">
        <v>46184</v>
      </c>
      <c r="I1071">
        <v>522985.44</v>
      </c>
      <c r="J1071">
        <v>0</v>
      </c>
      <c r="K1071">
        <v>522985.44</v>
      </c>
    </row>
    <row r="1072" spans="1:11" x14ac:dyDescent="0.35">
      <c r="A1072">
        <v>3000000733</v>
      </c>
      <c r="B1072">
        <v>9400009575</v>
      </c>
      <c r="C1072" s="10">
        <v>46170</v>
      </c>
      <c r="D1072" t="s">
        <v>2032</v>
      </c>
      <c r="E1072" s="11">
        <v>18821314</v>
      </c>
      <c r="F1072" t="s">
        <v>873</v>
      </c>
      <c r="G1072" t="s">
        <v>874</v>
      </c>
      <c r="H1072" s="10">
        <v>46185</v>
      </c>
      <c r="I1072">
        <v>123966.88</v>
      </c>
      <c r="J1072">
        <v>0</v>
      </c>
      <c r="K1072">
        <v>123966.88</v>
      </c>
    </row>
    <row r="1073" spans="1:11" x14ac:dyDescent="0.35">
      <c r="A1073">
        <v>5100000570</v>
      </c>
      <c r="B1073">
        <v>9400009570</v>
      </c>
      <c r="C1073" s="10">
        <v>46170</v>
      </c>
      <c r="D1073" t="s">
        <v>2032</v>
      </c>
      <c r="E1073" s="11">
        <v>18799651</v>
      </c>
      <c r="F1073" t="s">
        <v>3627</v>
      </c>
      <c r="G1073" t="s">
        <v>3628</v>
      </c>
      <c r="H1073" s="10">
        <v>46184</v>
      </c>
      <c r="I1073">
        <v>49659.12</v>
      </c>
      <c r="J1073">
        <v>0</v>
      </c>
      <c r="K1073">
        <v>49659.12</v>
      </c>
    </row>
    <row r="1074" spans="1:11" x14ac:dyDescent="0.35">
      <c r="A1074">
        <v>9200000575</v>
      </c>
      <c r="B1074">
        <v>9400009567</v>
      </c>
      <c r="C1074" s="10">
        <v>46170</v>
      </c>
      <c r="D1074" t="s">
        <v>2032</v>
      </c>
      <c r="E1074" s="11">
        <v>18821252</v>
      </c>
      <c r="F1074" t="s">
        <v>965</v>
      </c>
      <c r="G1074" t="s">
        <v>966</v>
      </c>
      <c r="H1074" s="10">
        <v>46215</v>
      </c>
      <c r="I1074">
        <v>37845.760000000002</v>
      </c>
      <c r="J1074">
        <v>0</v>
      </c>
      <c r="K1074">
        <v>37845.760000000002</v>
      </c>
    </row>
    <row r="1075" spans="1:11" x14ac:dyDescent="0.35">
      <c r="A1075">
        <v>2720000309</v>
      </c>
      <c r="B1075">
        <v>9400009565</v>
      </c>
      <c r="C1075" s="10">
        <v>46170</v>
      </c>
      <c r="D1075" t="s">
        <v>2032</v>
      </c>
      <c r="E1075" s="11">
        <v>18821334</v>
      </c>
      <c r="F1075" t="s">
        <v>3104</v>
      </c>
      <c r="G1075" t="s">
        <v>3105</v>
      </c>
      <c r="H1075" s="10">
        <v>46184</v>
      </c>
      <c r="I1075">
        <v>111184.32000000001</v>
      </c>
      <c r="J1075">
        <v>0</v>
      </c>
      <c r="K1075">
        <v>111184.32000000001</v>
      </c>
    </row>
    <row r="1076" spans="1:11" x14ac:dyDescent="0.35">
      <c r="A1076">
        <v>3000000732</v>
      </c>
      <c r="B1076">
        <v>9400009563</v>
      </c>
      <c r="C1076" s="10">
        <v>46170</v>
      </c>
      <c r="D1076" t="s">
        <v>2032</v>
      </c>
      <c r="E1076" s="11">
        <v>18821165</v>
      </c>
      <c r="F1076" t="s">
        <v>204</v>
      </c>
      <c r="G1076" t="s">
        <v>205</v>
      </c>
      <c r="H1076" s="10">
        <v>46215</v>
      </c>
      <c r="I1076">
        <v>35452.11</v>
      </c>
      <c r="J1076">
        <v>0</v>
      </c>
      <c r="K1076">
        <v>35452.11</v>
      </c>
    </row>
    <row r="1077" spans="1:11" x14ac:dyDescent="0.35">
      <c r="A1077">
        <v>5100000569</v>
      </c>
      <c r="B1077">
        <v>9400009557</v>
      </c>
      <c r="C1077" s="10">
        <v>46170</v>
      </c>
      <c r="D1077" t="s">
        <v>2032</v>
      </c>
      <c r="E1077" s="11">
        <v>18820522</v>
      </c>
      <c r="F1077" t="s">
        <v>379</v>
      </c>
      <c r="G1077" t="s">
        <v>380</v>
      </c>
      <c r="H1077" s="10">
        <v>46184</v>
      </c>
      <c r="I1077">
        <v>156043.20000000001</v>
      </c>
      <c r="J1077">
        <v>0</v>
      </c>
      <c r="K1077">
        <v>156043.20000000001</v>
      </c>
    </row>
    <row r="1078" spans="1:11" x14ac:dyDescent="0.35">
      <c r="A1078">
        <v>2720000308</v>
      </c>
      <c r="B1078">
        <v>9400009556</v>
      </c>
      <c r="C1078" s="10">
        <v>46170</v>
      </c>
      <c r="D1078" t="s">
        <v>2032</v>
      </c>
      <c r="E1078" s="11">
        <v>18821000</v>
      </c>
      <c r="F1078" t="s">
        <v>837</v>
      </c>
      <c r="G1078" t="s">
        <v>838</v>
      </c>
      <c r="H1078" s="10">
        <v>46215</v>
      </c>
      <c r="I1078">
        <v>81213.960000000006</v>
      </c>
      <c r="J1078">
        <v>0</v>
      </c>
      <c r="K1078">
        <v>81213.960000000006</v>
      </c>
    </row>
    <row r="1079" spans="1:11" x14ac:dyDescent="0.35">
      <c r="A1079">
        <v>3000000731</v>
      </c>
      <c r="B1079">
        <v>9400009554</v>
      </c>
      <c r="C1079" s="10">
        <v>46170</v>
      </c>
      <c r="D1079" t="s">
        <v>2032</v>
      </c>
      <c r="E1079" s="11">
        <v>18820968</v>
      </c>
      <c r="F1079" t="s">
        <v>785</v>
      </c>
      <c r="G1079" t="s">
        <v>786</v>
      </c>
      <c r="H1079" s="10">
        <v>46215</v>
      </c>
      <c r="I1079">
        <v>183911.02</v>
      </c>
      <c r="J1079">
        <v>0</v>
      </c>
      <c r="K1079">
        <v>183911.02</v>
      </c>
    </row>
    <row r="1080" spans="1:11" x14ac:dyDescent="0.35">
      <c r="A1080">
        <v>9200000571</v>
      </c>
      <c r="B1080">
        <v>9400009553</v>
      </c>
      <c r="C1080" s="10">
        <v>46170</v>
      </c>
      <c r="D1080" t="s">
        <v>2032</v>
      </c>
      <c r="E1080" s="11">
        <v>18820618</v>
      </c>
      <c r="F1080" t="s">
        <v>3629</v>
      </c>
      <c r="G1080" t="s">
        <v>3630</v>
      </c>
      <c r="H1080" s="10">
        <v>46170</v>
      </c>
      <c r="I1080">
        <v>29870.81</v>
      </c>
      <c r="J1080">
        <v>28747.11</v>
      </c>
      <c r="K1080">
        <v>1123.7000000000007</v>
      </c>
    </row>
    <row r="1081" spans="1:11" x14ac:dyDescent="0.35">
      <c r="A1081">
        <v>9300000478</v>
      </c>
      <c r="B1081">
        <v>9400009551</v>
      </c>
      <c r="C1081" s="10">
        <v>46170</v>
      </c>
      <c r="D1081" t="s">
        <v>2032</v>
      </c>
      <c r="E1081" s="11">
        <v>18798060</v>
      </c>
      <c r="F1081" t="s">
        <v>829</v>
      </c>
      <c r="G1081" t="s">
        <v>830</v>
      </c>
      <c r="H1081" s="10">
        <v>46215</v>
      </c>
      <c r="I1081">
        <v>61016.86</v>
      </c>
      <c r="J1081">
        <v>0</v>
      </c>
      <c r="K1081">
        <v>61016.86</v>
      </c>
    </row>
    <row r="1082" spans="1:11" x14ac:dyDescent="0.35">
      <c r="A1082">
        <v>3000000728</v>
      </c>
      <c r="B1082">
        <v>9400009548</v>
      </c>
      <c r="C1082" s="10">
        <v>46170</v>
      </c>
      <c r="D1082" t="s">
        <v>2032</v>
      </c>
      <c r="E1082" s="11">
        <v>18820538</v>
      </c>
      <c r="F1082" t="s">
        <v>94</v>
      </c>
      <c r="G1082" t="s">
        <v>95</v>
      </c>
      <c r="H1082" s="10">
        <v>46185</v>
      </c>
      <c r="I1082">
        <v>200918.6</v>
      </c>
      <c r="J1082">
        <v>0</v>
      </c>
      <c r="K1082">
        <v>200918.6</v>
      </c>
    </row>
    <row r="1083" spans="1:11" x14ac:dyDescent="0.35">
      <c r="A1083">
        <v>2000000161</v>
      </c>
      <c r="B1083">
        <v>9400009546</v>
      </c>
      <c r="C1083" s="10">
        <v>46170</v>
      </c>
      <c r="D1083" t="s">
        <v>2032</v>
      </c>
      <c r="E1083" s="11">
        <v>18821222</v>
      </c>
      <c r="F1083" t="s">
        <v>3529</v>
      </c>
      <c r="G1083" t="s">
        <v>3530</v>
      </c>
      <c r="H1083" s="10">
        <v>46215</v>
      </c>
      <c r="I1083">
        <v>17292.900000000001</v>
      </c>
      <c r="J1083">
        <v>0</v>
      </c>
      <c r="K1083">
        <v>17292.900000000001</v>
      </c>
    </row>
    <row r="1084" spans="1:11" x14ac:dyDescent="0.35">
      <c r="A1084">
        <v>3000000729</v>
      </c>
      <c r="B1084">
        <v>9400009545</v>
      </c>
      <c r="C1084" s="10">
        <v>46170</v>
      </c>
      <c r="D1084" t="s">
        <v>2032</v>
      </c>
      <c r="E1084" s="11">
        <v>18821237</v>
      </c>
      <c r="F1084" t="s">
        <v>1121</v>
      </c>
      <c r="G1084" t="s">
        <v>1122</v>
      </c>
      <c r="H1084" s="10">
        <v>46215</v>
      </c>
      <c r="I1084">
        <v>57066.57</v>
      </c>
      <c r="J1084">
        <v>0</v>
      </c>
      <c r="K1084">
        <v>57066.57</v>
      </c>
    </row>
    <row r="1085" spans="1:11" x14ac:dyDescent="0.35">
      <c r="A1085">
        <v>2710000656</v>
      </c>
      <c r="B1085">
        <v>9400009544</v>
      </c>
      <c r="C1085" s="10">
        <v>46170</v>
      </c>
      <c r="D1085" t="s">
        <v>2032</v>
      </c>
      <c r="E1085" s="11">
        <v>18820931</v>
      </c>
      <c r="F1085" t="s">
        <v>491</v>
      </c>
      <c r="G1085" t="s">
        <v>492</v>
      </c>
      <c r="H1085" s="10">
        <v>46184</v>
      </c>
      <c r="I1085">
        <v>99573.119999999995</v>
      </c>
      <c r="J1085">
        <v>0</v>
      </c>
      <c r="K1085">
        <v>99573.119999999995</v>
      </c>
    </row>
    <row r="1086" spans="1:11" x14ac:dyDescent="0.35">
      <c r="A1086">
        <v>5200000268</v>
      </c>
      <c r="B1086">
        <v>9400009543</v>
      </c>
      <c r="C1086" s="10">
        <v>46170</v>
      </c>
      <c r="D1086" t="s">
        <v>2032</v>
      </c>
      <c r="E1086" s="11">
        <v>18799423</v>
      </c>
      <c r="F1086" t="s">
        <v>3601</v>
      </c>
      <c r="G1086" t="s">
        <v>3602</v>
      </c>
      <c r="H1086" s="10">
        <v>46215</v>
      </c>
      <c r="I1086">
        <v>33645.81</v>
      </c>
      <c r="J1086">
        <v>0</v>
      </c>
      <c r="K1086">
        <v>33645.81</v>
      </c>
    </row>
    <row r="1087" spans="1:11" x14ac:dyDescent="0.35">
      <c r="A1087">
        <v>2300000418</v>
      </c>
      <c r="B1087">
        <v>9400009539</v>
      </c>
      <c r="C1087" s="10">
        <v>46170</v>
      </c>
      <c r="D1087" t="s">
        <v>2032</v>
      </c>
      <c r="E1087" s="11">
        <v>18809788</v>
      </c>
      <c r="F1087" t="s">
        <v>3631</v>
      </c>
      <c r="G1087" t="s">
        <v>3632</v>
      </c>
      <c r="H1087" s="10">
        <v>46215</v>
      </c>
      <c r="I1087">
        <v>33170.92</v>
      </c>
      <c r="J1087">
        <v>0</v>
      </c>
      <c r="K1087">
        <v>33170.92</v>
      </c>
    </row>
    <row r="1088" spans="1:11" x14ac:dyDescent="0.35">
      <c r="A1088">
        <v>9200000570</v>
      </c>
      <c r="B1088">
        <v>9400009537</v>
      </c>
      <c r="C1088" s="10">
        <v>46170</v>
      </c>
      <c r="D1088" t="s">
        <v>2032</v>
      </c>
      <c r="E1088" s="11">
        <v>18820904</v>
      </c>
      <c r="F1088" t="s">
        <v>158</v>
      </c>
      <c r="G1088" t="s">
        <v>159</v>
      </c>
      <c r="H1088" s="10">
        <v>46215</v>
      </c>
      <c r="I1088">
        <v>61840.78</v>
      </c>
      <c r="J1088">
        <v>0</v>
      </c>
      <c r="K1088">
        <v>61840.78</v>
      </c>
    </row>
    <row r="1089" spans="1:11" x14ac:dyDescent="0.35">
      <c r="A1089">
        <v>2300000417</v>
      </c>
      <c r="B1089">
        <v>9400009535</v>
      </c>
      <c r="C1089" s="10">
        <v>46170</v>
      </c>
      <c r="D1089" t="s">
        <v>2032</v>
      </c>
      <c r="E1089" s="11">
        <v>18809788</v>
      </c>
      <c r="F1089" t="s">
        <v>3631</v>
      </c>
      <c r="G1089" t="s">
        <v>3632</v>
      </c>
      <c r="H1089" s="10">
        <v>46184</v>
      </c>
      <c r="I1089">
        <v>99358.36</v>
      </c>
      <c r="J1089">
        <v>0</v>
      </c>
      <c r="K1089">
        <v>99358.36</v>
      </c>
    </row>
    <row r="1090" spans="1:11" x14ac:dyDescent="0.35">
      <c r="A1090">
        <v>9200000569</v>
      </c>
      <c r="B1090">
        <v>9400009533</v>
      </c>
      <c r="C1090" s="10">
        <v>46170</v>
      </c>
      <c r="D1090" t="s">
        <v>2032</v>
      </c>
      <c r="E1090" s="11">
        <v>18820988</v>
      </c>
      <c r="F1090" t="s">
        <v>44</v>
      </c>
      <c r="G1090" t="s">
        <v>45</v>
      </c>
      <c r="H1090" s="10">
        <v>46215</v>
      </c>
      <c r="I1090">
        <v>11283.16</v>
      </c>
      <c r="J1090">
        <v>0</v>
      </c>
      <c r="K1090">
        <v>11283.16</v>
      </c>
    </row>
    <row r="1091" spans="1:11" x14ac:dyDescent="0.35">
      <c r="A1091">
        <v>9200000568</v>
      </c>
      <c r="B1091">
        <v>9400009532</v>
      </c>
      <c r="C1091" s="10">
        <v>46170</v>
      </c>
      <c r="D1091" t="s">
        <v>2032</v>
      </c>
      <c r="E1091" s="11">
        <v>18809810</v>
      </c>
      <c r="F1091" t="s">
        <v>517</v>
      </c>
      <c r="G1091" t="s">
        <v>518</v>
      </c>
      <c r="H1091" s="10">
        <v>46184</v>
      </c>
      <c r="I1091">
        <v>32641.64</v>
      </c>
      <c r="J1091">
        <v>0</v>
      </c>
      <c r="K1091">
        <v>32641.64</v>
      </c>
    </row>
    <row r="1092" spans="1:11" x14ac:dyDescent="0.35">
      <c r="A1092">
        <v>2300000416</v>
      </c>
      <c r="B1092">
        <v>9400009529</v>
      </c>
      <c r="C1092" s="10">
        <v>46170</v>
      </c>
      <c r="D1092" t="s">
        <v>2032</v>
      </c>
      <c r="E1092" s="11">
        <v>18820940</v>
      </c>
      <c r="F1092" t="s">
        <v>589</v>
      </c>
      <c r="G1092" t="s">
        <v>590</v>
      </c>
      <c r="H1092" s="10">
        <v>46215</v>
      </c>
      <c r="I1092">
        <v>26865.94</v>
      </c>
      <c r="J1092">
        <v>0</v>
      </c>
      <c r="K1092">
        <v>26865.94</v>
      </c>
    </row>
    <row r="1093" spans="1:11" x14ac:dyDescent="0.35">
      <c r="A1093">
        <v>2710000655</v>
      </c>
      <c r="B1093">
        <v>9400009528</v>
      </c>
      <c r="C1093" s="10">
        <v>46170</v>
      </c>
      <c r="D1093" t="s">
        <v>2032</v>
      </c>
      <c r="E1093" s="11">
        <v>18820798</v>
      </c>
      <c r="F1093" t="s">
        <v>491</v>
      </c>
      <c r="G1093" t="s">
        <v>492</v>
      </c>
      <c r="H1093" s="10">
        <v>46215</v>
      </c>
      <c r="I1093">
        <v>10747.44</v>
      </c>
      <c r="J1093">
        <v>0</v>
      </c>
      <c r="K1093">
        <v>10747.44</v>
      </c>
    </row>
    <row r="1094" spans="1:11" x14ac:dyDescent="0.35">
      <c r="A1094">
        <v>3000000727</v>
      </c>
      <c r="B1094">
        <v>9400009527</v>
      </c>
      <c r="C1094" s="10">
        <v>46170</v>
      </c>
      <c r="D1094" t="s">
        <v>2032</v>
      </c>
      <c r="E1094" s="11" t="s">
        <v>2033</v>
      </c>
      <c r="F1094" t="s">
        <v>1121</v>
      </c>
      <c r="G1094" t="s">
        <v>1122</v>
      </c>
      <c r="H1094" s="10">
        <v>46170</v>
      </c>
      <c r="I1094">
        <v>59.27</v>
      </c>
      <c r="J1094">
        <v>13.08</v>
      </c>
      <c r="K1094">
        <v>46.190000000000005</v>
      </c>
    </row>
    <row r="1095" spans="1:11" x14ac:dyDescent="0.35">
      <c r="A1095">
        <v>9300000477</v>
      </c>
      <c r="B1095">
        <v>9400009526</v>
      </c>
      <c r="C1095" s="10">
        <v>46170</v>
      </c>
      <c r="D1095" t="s">
        <v>2032</v>
      </c>
      <c r="E1095" s="11">
        <v>18798060</v>
      </c>
      <c r="F1095" t="s">
        <v>3619</v>
      </c>
      <c r="G1095" t="s">
        <v>3620</v>
      </c>
      <c r="H1095" s="10">
        <v>46215</v>
      </c>
      <c r="I1095">
        <v>40106.78</v>
      </c>
      <c r="J1095">
        <v>0</v>
      </c>
      <c r="K1095">
        <v>40106.78</v>
      </c>
    </row>
    <row r="1096" spans="1:11" x14ac:dyDescent="0.35">
      <c r="A1096">
        <v>2300000415</v>
      </c>
      <c r="B1096">
        <v>9400009525</v>
      </c>
      <c r="C1096" s="10">
        <v>46170</v>
      </c>
      <c r="D1096" t="s">
        <v>2032</v>
      </c>
      <c r="E1096" s="11">
        <v>18821051</v>
      </c>
      <c r="F1096" t="s">
        <v>463</v>
      </c>
      <c r="G1096" t="s">
        <v>464</v>
      </c>
      <c r="H1096" s="10">
        <v>46215</v>
      </c>
      <c r="I1096">
        <v>228422.04</v>
      </c>
      <c r="J1096">
        <v>0</v>
      </c>
      <c r="K1096">
        <v>228422.04</v>
      </c>
    </row>
    <row r="1097" spans="1:11" x14ac:dyDescent="0.35">
      <c r="A1097">
        <v>2710000654</v>
      </c>
      <c r="B1097">
        <v>9400009522</v>
      </c>
      <c r="C1097" s="10">
        <v>46170</v>
      </c>
      <c r="D1097" t="s">
        <v>2032</v>
      </c>
      <c r="E1097" s="11">
        <v>18820867</v>
      </c>
      <c r="F1097" t="s">
        <v>66</v>
      </c>
      <c r="G1097" t="s">
        <v>67</v>
      </c>
      <c r="H1097" s="10">
        <v>46170</v>
      </c>
      <c r="I1097">
        <v>43227.65</v>
      </c>
      <c r="J1097">
        <v>0</v>
      </c>
      <c r="K1097">
        <v>43227.65</v>
      </c>
    </row>
    <row r="1098" spans="1:11" x14ac:dyDescent="0.35">
      <c r="A1098">
        <v>2710000653</v>
      </c>
      <c r="B1098">
        <v>9400009521</v>
      </c>
      <c r="C1098" s="10">
        <v>46170</v>
      </c>
      <c r="D1098" t="s">
        <v>2032</v>
      </c>
      <c r="E1098" s="11">
        <v>18820867</v>
      </c>
      <c r="F1098" t="s">
        <v>66</v>
      </c>
      <c r="G1098" t="s">
        <v>67</v>
      </c>
      <c r="H1098" s="10">
        <v>46170</v>
      </c>
      <c r="I1098">
        <v>512956.81</v>
      </c>
      <c r="J1098">
        <v>0</v>
      </c>
      <c r="K1098">
        <v>512956.81</v>
      </c>
    </row>
    <row r="1099" spans="1:11" x14ac:dyDescent="0.35">
      <c r="A1099">
        <v>2300000414</v>
      </c>
      <c r="B1099">
        <v>9400009520</v>
      </c>
      <c r="C1099" s="10">
        <v>46170</v>
      </c>
      <c r="D1099" t="s">
        <v>2032</v>
      </c>
      <c r="E1099" s="11">
        <v>18820684</v>
      </c>
      <c r="F1099" t="s">
        <v>675</v>
      </c>
      <c r="G1099" t="s">
        <v>676</v>
      </c>
      <c r="H1099" s="10">
        <v>46215</v>
      </c>
      <c r="I1099">
        <v>62296.92</v>
      </c>
      <c r="J1099">
        <v>0</v>
      </c>
      <c r="K1099">
        <v>62296.92</v>
      </c>
    </row>
    <row r="1100" spans="1:11" x14ac:dyDescent="0.35">
      <c r="A1100">
        <v>2300000413</v>
      </c>
      <c r="B1100">
        <v>9400009517</v>
      </c>
      <c r="C1100" s="10">
        <v>46170</v>
      </c>
      <c r="D1100" t="s">
        <v>2032</v>
      </c>
      <c r="E1100" s="11">
        <v>18820688</v>
      </c>
      <c r="F1100" t="s">
        <v>709</v>
      </c>
      <c r="G1100" t="s">
        <v>710</v>
      </c>
      <c r="H1100" s="10">
        <v>46215</v>
      </c>
      <c r="I1100">
        <v>31148.46</v>
      </c>
      <c r="J1100">
        <v>0</v>
      </c>
      <c r="K1100">
        <v>31148.46</v>
      </c>
    </row>
    <row r="1101" spans="1:11" x14ac:dyDescent="0.35">
      <c r="A1101">
        <v>2720000307</v>
      </c>
      <c r="B1101">
        <v>9400009516</v>
      </c>
      <c r="C1101" s="10">
        <v>46170</v>
      </c>
      <c r="D1101" t="s">
        <v>2032</v>
      </c>
      <c r="E1101" s="11">
        <v>18809807</v>
      </c>
      <c r="F1101" t="s">
        <v>58</v>
      </c>
      <c r="G1101" t="s">
        <v>59</v>
      </c>
      <c r="H1101" s="10">
        <v>46215</v>
      </c>
      <c r="I1101">
        <v>15563.62</v>
      </c>
      <c r="J1101">
        <v>0</v>
      </c>
      <c r="K1101">
        <v>15563.62</v>
      </c>
    </row>
    <row r="1102" spans="1:11" x14ac:dyDescent="0.35">
      <c r="A1102">
        <v>2710000652</v>
      </c>
      <c r="B1102">
        <v>9400009515</v>
      </c>
      <c r="C1102" s="10">
        <v>46170</v>
      </c>
      <c r="D1102" t="s">
        <v>2032</v>
      </c>
      <c r="E1102" s="11">
        <v>18820930</v>
      </c>
      <c r="F1102" t="s">
        <v>679</v>
      </c>
      <c r="G1102" t="s">
        <v>680</v>
      </c>
      <c r="H1102" s="10">
        <v>46184</v>
      </c>
      <c r="I1102">
        <v>99573.119999999995</v>
      </c>
      <c r="J1102">
        <v>0</v>
      </c>
      <c r="K1102">
        <v>99573.119999999995</v>
      </c>
    </row>
    <row r="1103" spans="1:11" x14ac:dyDescent="0.35">
      <c r="A1103">
        <v>2300000412</v>
      </c>
      <c r="B1103">
        <v>9400009514</v>
      </c>
      <c r="C1103" s="10">
        <v>46170</v>
      </c>
      <c r="D1103" t="s">
        <v>2032</v>
      </c>
      <c r="E1103" s="11">
        <v>18820565</v>
      </c>
      <c r="F1103" t="s">
        <v>461</v>
      </c>
      <c r="G1103" t="s">
        <v>462</v>
      </c>
      <c r="H1103" s="10">
        <v>46215</v>
      </c>
      <c r="I1103">
        <v>133207.79999999999</v>
      </c>
      <c r="J1103">
        <v>0</v>
      </c>
      <c r="K1103">
        <v>133207.79999999999</v>
      </c>
    </row>
    <row r="1104" spans="1:11" x14ac:dyDescent="0.35">
      <c r="A1104">
        <v>2710000651</v>
      </c>
      <c r="B1104">
        <v>9400009511</v>
      </c>
      <c r="C1104" s="10">
        <v>46170</v>
      </c>
      <c r="D1104" t="s">
        <v>2032</v>
      </c>
      <c r="E1104" s="11">
        <v>18820921</v>
      </c>
      <c r="F1104" t="s">
        <v>70</v>
      </c>
      <c r="G1104" t="s">
        <v>71</v>
      </c>
      <c r="H1104" s="10">
        <v>46215</v>
      </c>
      <c r="I1104">
        <v>13733.57</v>
      </c>
      <c r="J1104">
        <v>0</v>
      </c>
      <c r="K1104">
        <v>13733.57</v>
      </c>
    </row>
    <row r="1105" spans="1:11" x14ac:dyDescent="0.35">
      <c r="A1105">
        <v>9300000476</v>
      </c>
      <c r="B1105">
        <v>9400009508</v>
      </c>
      <c r="C1105" s="10">
        <v>46170</v>
      </c>
      <c r="D1105" t="s">
        <v>2032</v>
      </c>
      <c r="E1105" s="11">
        <v>18798060</v>
      </c>
      <c r="F1105" t="s">
        <v>367</v>
      </c>
      <c r="G1105" t="s">
        <v>368</v>
      </c>
      <c r="H1105" s="10">
        <v>46215</v>
      </c>
      <c r="I1105">
        <v>36105.21</v>
      </c>
      <c r="J1105">
        <v>0</v>
      </c>
      <c r="K1105">
        <v>36105.21</v>
      </c>
    </row>
    <row r="1106" spans="1:11" x14ac:dyDescent="0.35">
      <c r="A1106">
        <v>2710000650</v>
      </c>
      <c r="B1106">
        <v>9400009507</v>
      </c>
      <c r="C1106" s="10">
        <v>46170</v>
      </c>
      <c r="D1106" t="s">
        <v>2032</v>
      </c>
      <c r="E1106" s="11">
        <v>18820921</v>
      </c>
      <c r="F1106" t="s">
        <v>70</v>
      </c>
      <c r="G1106" t="s">
        <v>71</v>
      </c>
      <c r="H1106" s="10">
        <v>46170</v>
      </c>
      <c r="I1106">
        <v>67628.160000000003</v>
      </c>
      <c r="J1106">
        <v>22418.3</v>
      </c>
      <c r="K1106">
        <v>45209.86</v>
      </c>
    </row>
    <row r="1107" spans="1:11" x14ac:dyDescent="0.35">
      <c r="A1107">
        <v>2710000649</v>
      </c>
      <c r="B1107">
        <v>9400009506</v>
      </c>
      <c r="C1107" s="10">
        <v>46170</v>
      </c>
      <c r="D1107" t="s">
        <v>2032</v>
      </c>
      <c r="E1107" s="11">
        <v>18820920</v>
      </c>
      <c r="F1107" t="s">
        <v>150</v>
      </c>
      <c r="G1107" t="s">
        <v>151</v>
      </c>
      <c r="H1107" s="10">
        <v>46215</v>
      </c>
      <c r="I1107">
        <v>204126.55</v>
      </c>
      <c r="J1107">
        <v>0</v>
      </c>
      <c r="K1107">
        <v>204126.55</v>
      </c>
    </row>
    <row r="1108" spans="1:11" x14ac:dyDescent="0.35">
      <c r="A1108">
        <v>9200000566</v>
      </c>
      <c r="B1108">
        <v>9400009498</v>
      </c>
      <c r="C1108" s="10">
        <v>46170</v>
      </c>
      <c r="D1108" t="s">
        <v>2032</v>
      </c>
      <c r="E1108" s="11">
        <v>18765417</v>
      </c>
      <c r="F1108" t="s">
        <v>653</v>
      </c>
      <c r="G1108" t="s">
        <v>654</v>
      </c>
      <c r="H1108" s="10">
        <v>46215</v>
      </c>
      <c r="I1108">
        <v>52272.92</v>
      </c>
      <c r="J1108">
        <v>0</v>
      </c>
      <c r="K1108">
        <v>52272.92</v>
      </c>
    </row>
    <row r="1109" spans="1:11" x14ac:dyDescent="0.35">
      <c r="A1109">
        <v>2720000306</v>
      </c>
      <c r="B1109">
        <v>9400009495</v>
      </c>
      <c r="C1109" s="10">
        <v>46170</v>
      </c>
      <c r="D1109" t="s">
        <v>2032</v>
      </c>
      <c r="E1109" s="11">
        <v>18821011</v>
      </c>
      <c r="F1109" t="s">
        <v>154</v>
      </c>
      <c r="G1109" t="s">
        <v>155</v>
      </c>
      <c r="H1109" s="10">
        <v>46215</v>
      </c>
      <c r="I1109">
        <v>37163.72</v>
      </c>
      <c r="J1109">
        <v>0</v>
      </c>
      <c r="K1109">
        <v>37163.72</v>
      </c>
    </row>
    <row r="1110" spans="1:11" x14ac:dyDescent="0.35">
      <c r="A1110">
        <v>2720000305</v>
      </c>
      <c r="B1110">
        <v>9400009484</v>
      </c>
      <c r="C1110" s="10">
        <v>46170</v>
      </c>
      <c r="D1110" t="s">
        <v>2032</v>
      </c>
      <c r="E1110" s="11">
        <v>18820703</v>
      </c>
      <c r="F1110" t="s">
        <v>312</v>
      </c>
      <c r="G1110" t="s">
        <v>313</v>
      </c>
      <c r="H1110" s="10">
        <v>46215</v>
      </c>
      <c r="I1110">
        <v>38536.1</v>
      </c>
      <c r="J1110">
        <v>0</v>
      </c>
      <c r="K1110">
        <v>38536.1</v>
      </c>
    </row>
    <row r="1111" spans="1:11" x14ac:dyDescent="0.35">
      <c r="A1111">
        <v>2710000647</v>
      </c>
      <c r="B1111">
        <v>9400009482</v>
      </c>
      <c r="C1111" s="10">
        <v>46170</v>
      </c>
      <c r="D1111" t="s">
        <v>2032</v>
      </c>
      <c r="E1111" s="11">
        <v>18820806</v>
      </c>
      <c r="F1111" t="s">
        <v>3098</v>
      </c>
      <c r="G1111" t="s">
        <v>3099</v>
      </c>
      <c r="H1111" s="10">
        <v>46215</v>
      </c>
      <c r="I1111">
        <v>77776.62</v>
      </c>
      <c r="J1111">
        <v>0</v>
      </c>
      <c r="K1111">
        <v>77776.62</v>
      </c>
    </row>
    <row r="1112" spans="1:11" x14ac:dyDescent="0.35">
      <c r="A1112">
        <v>2710000646</v>
      </c>
      <c r="B1112">
        <v>9400009481</v>
      </c>
      <c r="C1112" s="10">
        <v>46170</v>
      </c>
      <c r="D1112" t="s">
        <v>2032</v>
      </c>
      <c r="E1112" s="11">
        <v>18820806</v>
      </c>
      <c r="F1112" t="s">
        <v>3098</v>
      </c>
      <c r="G1112" t="s">
        <v>3099</v>
      </c>
      <c r="H1112" s="10">
        <v>46184</v>
      </c>
      <c r="I1112">
        <v>27725.279999999999</v>
      </c>
      <c r="J1112">
        <v>0</v>
      </c>
      <c r="K1112">
        <v>27725.279999999999</v>
      </c>
    </row>
    <row r="1113" spans="1:11" x14ac:dyDescent="0.35">
      <c r="A1113">
        <v>2710000645</v>
      </c>
      <c r="B1113">
        <v>9400009480</v>
      </c>
      <c r="C1113" s="10">
        <v>46170</v>
      </c>
      <c r="D1113" t="s">
        <v>2032</v>
      </c>
      <c r="E1113" s="11">
        <v>18820798</v>
      </c>
      <c r="F1113" t="s">
        <v>491</v>
      </c>
      <c r="G1113" t="s">
        <v>492</v>
      </c>
      <c r="H1113" s="10">
        <v>46184</v>
      </c>
      <c r="I1113">
        <v>91947.44</v>
      </c>
      <c r="J1113">
        <v>0</v>
      </c>
      <c r="K1113">
        <v>91947.44</v>
      </c>
    </row>
    <row r="1114" spans="1:11" x14ac:dyDescent="0.35">
      <c r="A1114">
        <v>2710000644</v>
      </c>
      <c r="B1114">
        <v>9400009479</v>
      </c>
      <c r="C1114" s="10">
        <v>46170</v>
      </c>
      <c r="D1114" t="s">
        <v>2032</v>
      </c>
      <c r="E1114" s="11">
        <v>18820798</v>
      </c>
      <c r="F1114" t="s">
        <v>491</v>
      </c>
      <c r="G1114" t="s">
        <v>492</v>
      </c>
      <c r="H1114" s="10">
        <v>46215</v>
      </c>
      <c r="I1114">
        <v>45649.3</v>
      </c>
      <c r="J1114">
        <v>0</v>
      </c>
      <c r="K1114">
        <v>45649.3</v>
      </c>
    </row>
    <row r="1115" spans="1:11" x14ac:dyDescent="0.35">
      <c r="A1115">
        <v>3000000725</v>
      </c>
      <c r="B1115">
        <v>9400009477</v>
      </c>
      <c r="C1115" s="10">
        <v>46170</v>
      </c>
      <c r="D1115" t="s">
        <v>2032</v>
      </c>
      <c r="E1115" s="11">
        <v>18820981</v>
      </c>
      <c r="F1115" t="s">
        <v>204</v>
      </c>
      <c r="G1115" t="s">
        <v>205</v>
      </c>
      <c r="H1115" s="10">
        <v>46215</v>
      </c>
      <c r="I1115">
        <v>16266.44</v>
      </c>
      <c r="J1115">
        <v>0</v>
      </c>
      <c r="K1115">
        <v>16266.44</v>
      </c>
    </row>
    <row r="1116" spans="1:11" x14ac:dyDescent="0.35">
      <c r="A1116">
        <v>2720000304</v>
      </c>
      <c r="B1116">
        <v>9400009476</v>
      </c>
      <c r="C1116" s="10">
        <v>46170</v>
      </c>
      <c r="D1116" t="s">
        <v>2032</v>
      </c>
      <c r="E1116" s="11">
        <v>18820804</v>
      </c>
      <c r="F1116" t="s">
        <v>162</v>
      </c>
      <c r="G1116" t="s">
        <v>163</v>
      </c>
      <c r="H1116" s="10">
        <v>46215</v>
      </c>
      <c r="I1116">
        <v>80295.14</v>
      </c>
      <c r="J1116">
        <v>0</v>
      </c>
      <c r="K1116">
        <v>80295.14</v>
      </c>
    </row>
    <row r="1117" spans="1:11" x14ac:dyDescent="0.35">
      <c r="A1117">
        <v>9300000474</v>
      </c>
      <c r="B1117">
        <v>9400009473</v>
      </c>
      <c r="C1117" s="10">
        <v>46170</v>
      </c>
      <c r="D1117" t="s">
        <v>2032</v>
      </c>
      <c r="E1117" s="11">
        <v>18798531</v>
      </c>
      <c r="F1117" t="s">
        <v>555</v>
      </c>
      <c r="G1117" t="s">
        <v>556</v>
      </c>
      <c r="H1117" s="10">
        <v>46184</v>
      </c>
      <c r="I1117">
        <v>95782.44</v>
      </c>
      <c r="J1117">
        <v>0</v>
      </c>
      <c r="K1117">
        <v>95782.44</v>
      </c>
    </row>
    <row r="1118" spans="1:11" x14ac:dyDescent="0.35">
      <c r="A1118">
        <v>8000000486</v>
      </c>
      <c r="B1118">
        <v>9400009470</v>
      </c>
      <c r="C1118" s="10">
        <v>46170</v>
      </c>
      <c r="D1118" t="s">
        <v>2032</v>
      </c>
      <c r="E1118" s="11">
        <v>18820914</v>
      </c>
      <c r="F1118" t="s">
        <v>741</v>
      </c>
      <c r="G1118" t="s">
        <v>742</v>
      </c>
      <c r="H1118" s="10">
        <v>46184</v>
      </c>
      <c r="I1118">
        <v>93771.96</v>
      </c>
      <c r="J1118">
        <v>0</v>
      </c>
      <c r="K1118">
        <v>93771.96</v>
      </c>
    </row>
    <row r="1119" spans="1:11" x14ac:dyDescent="0.35">
      <c r="A1119">
        <v>8000000485</v>
      </c>
      <c r="B1119">
        <v>9400009469</v>
      </c>
      <c r="C1119" s="10">
        <v>46170</v>
      </c>
      <c r="D1119" t="s">
        <v>2032</v>
      </c>
      <c r="E1119" s="11">
        <v>18820900</v>
      </c>
      <c r="F1119" t="s">
        <v>1039</v>
      </c>
      <c r="G1119" t="s">
        <v>1040</v>
      </c>
      <c r="H1119" s="10">
        <v>46215</v>
      </c>
      <c r="I1119">
        <v>222412.26</v>
      </c>
      <c r="J1119">
        <v>0</v>
      </c>
      <c r="K1119">
        <v>222412.26</v>
      </c>
    </row>
    <row r="1120" spans="1:11" x14ac:dyDescent="0.35">
      <c r="A1120">
        <v>3000000724</v>
      </c>
      <c r="B1120">
        <v>9400009467</v>
      </c>
      <c r="C1120" s="10">
        <v>46170</v>
      </c>
      <c r="D1120" t="s">
        <v>2032</v>
      </c>
      <c r="E1120" s="11">
        <v>18820702</v>
      </c>
      <c r="F1120" t="s">
        <v>511</v>
      </c>
      <c r="G1120" t="s">
        <v>512</v>
      </c>
      <c r="H1120" s="10">
        <v>46215</v>
      </c>
      <c r="I1120">
        <v>8605.8799999999992</v>
      </c>
      <c r="J1120">
        <v>0</v>
      </c>
      <c r="K1120">
        <v>8605.8799999999992</v>
      </c>
    </row>
    <row r="1121" spans="1:11" x14ac:dyDescent="0.35">
      <c r="A1121">
        <v>3000000723</v>
      </c>
      <c r="B1121">
        <v>9400009466</v>
      </c>
      <c r="C1121" s="10">
        <v>46170</v>
      </c>
      <c r="D1121" t="s">
        <v>2032</v>
      </c>
      <c r="E1121" s="11">
        <v>18820702</v>
      </c>
      <c r="F1121" t="s">
        <v>511</v>
      </c>
      <c r="G1121" t="s">
        <v>512</v>
      </c>
      <c r="H1121" s="10">
        <v>46185</v>
      </c>
      <c r="I1121">
        <v>53426.1</v>
      </c>
      <c r="J1121">
        <v>0</v>
      </c>
      <c r="K1121">
        <v>53426.1</v>
      </c>
    </row>
    <row r="1122" spans="1:11" x14ac:dyDescent="0.35">
      <c r="A1122">
        <v>9200000562</v>
      </c>
      <c r="B1122">
        <v>9400009459</v>
      </c>
      <c r="C1122" s="10">
        <v>46170</v>
      </c>
      <c r="D1122" t="s">
        <v>2032</v>
      </c>
      <c r="E1122" s="11">
        <v>18820904</v>
      </c>
      <c r="F1122" t="s">
        <v>158</v>
      </c>
      <c r="G1122" t="s">
        <v>159</v>
      </c>
      <c r="H1122" s="10">
        <v>46184</v>
      </c>
      <c r="I1122">
        <v>59472</v>
      </c>
      <c r="J1122">
        <v>0</v>
      </c>
      <c r="K1122">
        <v>59472</v>
      </c>
    </row>
    <row r="1123" spans="1:11" x14ac:dyDescent="0.35">
      <c r="A1123">
        <v>3000000719</v>
      </c>
      <c r="B1123">
        <v>9400009452</v>
      </c>
      <c r="C1123" s="10">
        <v>46170</v>
      </c>
      <c r="D1123" t="s">
        <v>2032</v>
      </c>
      <c r="E1123" s="11">
        <v>18820968</v>
      </c>
      <c r="F1123" t="s">
        <v>785</v>
      </c>
      <c r="G1123" t="s">
        <v>786</v>
      </c>
      <c r="H1123" s="10">
        <v>46184</v>
      </c>
      <c r="I1123">
        <v>1256725.96</v>
      </c>
      <c r="J1123">
        <v>0</v>
      </c>
      <c r="K1123">
        <v>1256725.96</v>
      </c>
    </row>
    <row r="1124" spans="1:11" x14ac:dyDescent="0.35">
      <c r="A1124">
        <v>3000000717</v>
      </c>
      <c r="B1124">
        <v>9400009444</v>
      </c>
      <c r="C1124" s="10">
        <v>46170</v>
      </c>
      <c r="D1124" t="s">
        <v>2032</v>
      </c>
      <c r="E1124" s="11">
        <v>18820700</v>
      </c>
      <c r="F1124" t="s">
        <v>981</v>
      </c>
      <c r="G1124" t="s">
        <v>982</v>
      </c>
      <c r="H1124" s="10">
        <v>46215</v>
      </c>
      <c r="I1124">
        <v>4066.61</v>
      </c>
      <c r="J1124">
        <v>0</v>
      </c>
      <c r="K1124">
        <v>4066.61</v>
      </c>
    </row>
    <row r="1125" spans="1:11" x14ac:dyDescent="0.35">
      <c r="A1125">
        <v>3000000716</v>
      </c>
      <c r="B1125">
        <v>9400009443</v>
      </c>
      <c r="C1125" s="10">
        <v>46170</v>
      </c>
      <c r="D1125" t="s">
        <v>2032</v>
      </c>
      <c r="E1125" s="11">
        <v>18820605</v>
      </c>
      <c r="F1125" t="s">
        <v>981</v>
      </c>
      <c r="G1125" t="s">
        <v>982</v>
      </c>
      <c r="H1125" s="10">
        <v>46215</v>
      </c>
      <c r="I1125">
        <v>35700.19</v>
      </c>
      <c r="J1125">
        <v>0</v>
      </c>
      <c r="K1125">
        <v>35700.19</v>
      </c>
    </row>
    <row r="1126" spans="1:11" x14ac:dyDescent="0.35">
      <c r="A1126">
        <v>3000000715</v>
      </c>
      <c r="B1126">
        <v>9400009441</v>
      </c>
      <c r="C1126" s="10">
        <v>46170</v>
      </c>
      <c r="D1126" t="s">
        <v>2032</v>
      </c>
      <c r="E1126" s="11">
        <v>18820605</v>
      </c>
      <c r="F1126" t="s">
        <v>981</v>
      </c>
      <c r="G1126" t="s">
        <v>982</v>
      </c>
      <c r="H1126" s="10">
        <v>46185</v>
      </c>
      <c r="I1126">
        <v>126574.35</v>
      </c>
      <c r="J1126">
        <v>0</v>
      </c>
      <c r="K1126">
        <v>126574.35</v>
      </c>
    </row>
    <row r="1127" spans="1:11" x14ac:dyDescent="0.35">
      <c r="A1127">
        <v>3000000714</v>
      </c>
      <c r="B1127">
        <v>9400009439</v>
      </c>
      <c r="C1127" s="10">
        <v>46170</v>
      </c>
      <c r="D1127" t="s">
        <v>2032</v>
      </c>
      <c r="E1127" s="11">
        <v>18820538</v>
      </c>
      <c r="F1127" t="s">
        <v>94</v>
      </c>
      <c r="G1127" t="s">
        <v>95</v>
      </c>
      <c r="H1127" s="10">
        <v>46215</v>
      </c>
      <c r="I1127">
        <v>26996.34</v>
      </c>
      <c r="J1127">
        <v>0</v>
      </c>
      <c r="K1127">
        <v>26996.34</v>
      </c>
    </row>
    <row r="1128" spans="1:11" x14ac:dyDescent="0.35">
      <c r="A1128">
        <v>9300000472</v>
      </c>
      <c r="B1128">
        <v>9400009438</v>
      </c>
      <c r="C1128" s="10">
        <v>46170</v>
      </c>
      <c r="D1128" t="s">
        <v>2032</v>
      </c>
      <c r="E1128" s="11">
        <v>18799668</v>
      </c>
      <c r="F1128" t="s">
        <v>3633</v>
      </c>
      <c r="G1128" t="s">
        <v>3634</v>
      </c>
      <c r="H1128" s="10">
        <v>46170</v>
      </c>
      <c r="I1128">
        <v>40756.11</v>
      </c>
      <c r="J1128">
        <v>40580.400000000001</v>
      </c>
      <c r="K1128">
        <v>175.70999999999913</v>
      </c>
    </row>
    <row r="1129" spans="1:11" x14ac:dyDescent="0.35">
      <c r="A1129">
        <v>2000000158</v>
      </c>
      <c r="B1129">
        <v>9400009429</v>
      </c>
      <c r="C1129" s="10">
        <v>46170</v>
      </c>
      <c r="D1129" t="s">
        <v>2032</v>
      </c>
      <c r="E1129" s="11">
        <v>18820727</v>
      </c>
      <c r="F1129" t="s">
        <v>1167</v>
      </c>
      <c r="G1129" t="s">
        <v>1168</v>
      </c>
      <c r="H1129" s="10">
        <v>46170</v>
      </c>
      <c r="I1129">
        <v>257190</v>
      </c>
      <c r="J1129">
        <v>0</v>
      </c>
      <c r="K1129">
        <v>257190</v>
      </c>
    </row>
    <row r="1130" spans="1:11" x14ac:dyDescent="0.35">
      <c r="A1130">
        <v>2000000157</v>
      </c>
      <c r="B1130">
        <v>9400009400</v>
      </c>
      <c r="C1130" s="10">
        <v>46170</v>
      </c>
      <c r="D1130" t="s">
        <v>2032</v>
      </c>
      <c r="E1130" s="11">
        <v>18720398</v>
      </c>
      <c r="F1130" t="s">
        <v>109</v>
      </c>
      <c r="G1130" t="s">
        <v>110</v>
      </c>
      <c r="H1130" s="10">
        <v>46215</v>
      </c>
      <c r="I1130">
        <v>52105.26</v>
      </c>
      <c r="J1130">
        <v>0</v>
      </c>
      <c r="K1130">
        <v>52105.26</v>
      </c>
    </row>
    <row r="1131" spans="1:11" x14ac:dyDescent="0.35">
      <c r="A1131">
        <v>8000000480</v>
      </c>
      <c r="B1131">
        <v>9400009399</v>
      </c>
      <c r="C1131" s="10">
        <v>46170</v>
      </c>
      <c r="D1131" t="s">
        <v>2032</v>
      </c>
      <c r="E1131" s="11">
        <v>18820518</v>
      </c>
      <c r="F1131" t="s">
        <v>797</v>
      </c>
      <c r="G1131" t="s">
        <v>798</v>
      </c>
      <c r="H1131" s="10">
        <v>46184</v>
      </c>
      <c r="I1131">
        <v>74085.119999999995</v>
      </c>
      <c r="J1131">
        <v>0</v>
      </c>
      <c r="K1131">
        <v>74085.119999999995</v>
      </c>
    </row>
    <row r="1132" spans="1:11" x14ac:dyDescent="0.35">
      <c r="A1132">
        <v>2730000431</v>
      </c>
      <c r="B1132">
        <v>9400009398</v>
      </c>
      <c r="C1132" s="10">
        <v>46170</v>
      </c>
      <c r="D1132" t="s">
        <v>2032</v>
      </c>
      <c r="E1132" s="11">
        <v>18820644</v>
      </c>
      <c r="F1132" t="s">
        <v>267</v>
      </c>
      <c r="G1132" t="s">
        <v>268</v>
      </c>
      <c r="H1132" s="10">
        <v>46184</v>
      </c>
      <c r="I1132">
        <v>13027.2</v>
      </c>
      <c r="J1132">
        <v>0</v>
      </c>
      <c r="K1132">
        <v>13027.2</v>
      </c>
    </row>
    <row r="1133" spans="1:11" x14ac:dyDescent="0.35">
      <c r="A1133">
        <v>9300000468</v>
      </c>
      <c r="B1133">
        <v>9400009397</v>
      </c>
      <c r="C1133" s="10">
        <v>46170</v>
      </c>
      <c r="D1133" t="s">
        <v>2032</v>
      </c>
      <c r="E1133" s="11">
        <v>18820051</v>
      </c>
      <c r="F1133" t="s">
        <v>997</v>
      </c>
      <c r="G1133" t="s">
        <v>998</v>
      </c>
      <c r="H1133" s="10">
        <v>46170</v>
      </c>
      <c r="I1133">
        <v>7279.42</v>
      </c>
      <c r="J1133">
        <v>5781.39</v>
      </c>
      <c r="K1133">
        <v>1498.0299999999997</v>
      </c>
    </row>
    <row r="1134" spans="1:11" x14ac:dyDescent="0.35">
      <c r="A1134">
        <v>8000000479</v>
      </c>
      <c r="B1134">
        <v>9400009396</v>
      </c>
      <c r="C1134" s="10">
        <v>46170</v>
      </c>
      <c r="D1134" t="s">
        <v>2032</v>
      </c>
      <c r="E1134" s="11">
        <v>18820517</v>
      </c>
      <c r="F1134" t="s">
        <v>721</v>
      </c>
      <c r="G1134" t="s">
        <v>722</v>
      </c>
      <c r="H1134" s="10">
        <v>46184</v>
      </c>
      <c r="I1134">
        <v>69651.72</v>
      </c>
      <c r="J1134">
        <v>0</v>
      </c>
      <c r="K1134">
        <v>69651.72</v>
      </c>
    </row>
    <row r="1135" spans="1:11" x14ac:dyDescent="0.35">
      <c r="A1135">
        <v>2730000430</v>
      </c>
      <c r="B1135">
        <v>9400009393</v>
      </c>
      <c r="C1135" s="10">
        <v>46170</v>
      </c>
      <c r="D1135" t="s">
        <v>2032</v>
      </c>
      <c r="E1135" s="11">
        <v>18820109</v>
      </c>
      <c r="F1135" t="s">
        <v>267</v>
      </c>
      <c r="G1135" t="s">
        <v>268</v>
      </c>
      <c r="H1135" s="10">
        <v>46215</v>
      </c>
      <c r="I1135">
        <v>14664.44</v>
      </c>
      <c r="J1135">
        <v>0</v>
      </c>
      <c r="K1135">
        <v>14664.44</v>
      </c>
    </row>
    <row r="1136" spans="1:11" x14ac:dyDescent="0.35">
      <c r="A1136">
        <v>2730000429</v>
      </c>
      <c r="B1136">
        <v>9400009364</v>
      </c>
      <c r="C1136" s="10">
        <v>46170</v>
      </c>
      <c r="D1136" t="s">
        <v>2032</v>
      </c>
      <c r="E1136" s="11">
        <v>18820039</v>
      </c>
      <c r="F1136" t="s">
        <v>383</v>
      </c>
      <c r="G1136" t="s">
        <v>384</v>
      </c>
      <c r="H1136" s="10">
        <v>46215</v>
      </c>
      <c r="I1136">
        <v>37383.06</v>
      </c>
      <c r="J1136">
        <v>0</v>
      </c>
      <c r="K1136">
        <v>37383.06</v>
      </c>
    </row>
    <row r="1137" spans="1:11" x14ac:dyDescent="0.35">
      <c r="A1137">
        <v>5200000263</v>
      </c>
      <c r="B1137">
        <v>9400009358</v>
      </c>
      <c r="C1137" s="10">
        <v>46170</v>
      </c>
      <c r="D1137" t="s">
        <v>2032</v>
      </c>
      <c r="E1137" s="11">
        <v>18809850</v>
      </c>
      <c r="F1137" t="s">
        <v>1085</v>
      </c>
      <c r="G1137" t="s">
        <v>1086</v>
      </c>
      <c r="H1137" s="10">
        <v>46170</v>
      </c>
      <c r="I1137">
        <v>24084.78</v>
      </c>
      <c r="J1137">
        <v>21474.83</v>
      </c>
      <c r="K1137">
        <v>2609.9499999999971</v>
      </c>
    </row>
    <row r="1138" spans="1:11" x14ac:dyDescent="0.35">
      <c r="A1138">
        <v>9100000810</v>
      </c>
      <c r="B1138">
        <v>9400009350</v>
      </c>
      <c r="C1138" s="10">
        <v>46170</v>
      </c>
      <c r="D1138" t="s">
        <v>2032</v>
      </c>
      <c r="E1138" s="11">
        <v>18798706</v>
      </c>
      <c r="F1138" t="s">
        <v>793</v>
      </c>
      <c r="G1138" t="s">
        <v>794</v>
      </c>
      <c r="H1138" s="10">
        <v>46215</v>
      </c>
      <c r="I1138">
        <v>69856</v>
      </c>
      <c r="J1138">
        <v>0</v>
      </c>
      <c r="K1138">
        <v>69856</v>
      </c>
    </row>
    <row r="1139" spans="1:11" x14ac:dyDescent="0.35">
      <c r="B1139">
        <v>1400006664</v>
      </c>
      <c r="C1139" s="10">
        <v>46170</v>
      </c>
      <c r="D1139" t="s">
        <v>2037</v>
      </c>
      <c r="E1139" s="11">
        <v>983461</v>
      </c>
      <c r="F1139" t="s">
        <v>465</v>
      </c>
      <c r="G1139" t="s">
        <v>466</v>
      </c>
      <c r="H1139" s="10">
        <v>46170</v>
      </c>
      <c r="I1139">
        <v>59</v>
      </c>
      <c r="J1139">
        <v>0</v>
      </c>
      <c r="K1139">
        <v>59</v>
      </c>
    </row>
    <row r="1140" spans="1:11" x14ac:dyDescent="0.35">
      <c r="A1140">
        <v>9300000465</v>
      </c>
      <c r="B1140">
        <v>9400009337</v>
      </c>
      <c r="C1140" s="10">
        <v>46169</v>
      </c>
      <c r="D1140" t="s">
        <v>2032</v>
      </c>
      <c r="E1140" s="11">
        <v>18798071</v>
      </c>
      <c r="F1140" t="s">
        <v>3619</v>
      </c>
      <c r="G1140" t="s">
        <v>3620</v>
      </c>
      <c r="H1140" s="10">
        <v>46214</v>
      </c>
      <c r="I1140">
        <v>32900.239999999998</v>
      </c>
      <c r="J1140">
        <v>0</v>
      </c>
      <c r="K1140">
        <v>32900.239999999998</v>
      </c>
    </row>
    <row r="1141" spans="1:11" x14ac:dyDescent="0.35">
      <c r="A1141">
        <v>9300000464</v>
      </c>
      <c r="B1141">
        <v>9400009335</v>
      </c>
      <c r="C1141" s="10">
        <v>46169</v>
      </c>
      <c r="D1141" t="s">
        <v>2032</v>
      </c>
      <c r="E1141" s="11">
        <v>18797836</v>
      </c>
      <c r="F1141" t="s">
        <v>471</v>
      </c>
      <c r="G1141" t="s">
        <v>472</v>
      </c>
      <c r="H1141" s="10">
        <v>46214</v>
      </c>
      <c r="I1141">
        <v>8399.89</v>
      </c>
      <c r="J1141">
        <v>0</v>
      </c>
      <c r="K1141">
        <v>8399.89</v>
      </c>
    </row>
    <row r="1142" spans="1:11" x14ac:dyDescent="0.35">
      <c r="A1142">
        <v>9300000463</v>
      </c>
      <c r="B1142">
        <v>9400009332</v>
      </c>
      <c r="C1142" s="10">
        <v>46169</v>
      </c>
      <c r="D1142" t="s">
        <v>2032</v>
      </c>
      <c r="E1142" s="11">
        <v>18797836</v>
      </c>
      <c r="F1142" t="s">
        <v>471</v>
      </c>
      <c r="G1142" t="s">
        <v>472</v>
      </c>
      <c r="H1142" s="10">
        <v>46169</v>
      </c>
      <c r="I1142">
        <v>55681.46</v>
      </c>
      <c r="J1142">
        <v>54912.34</v>
      </c>
      <c r="K1142">
        <v>769.12000000000262</v>
      </c>
    </row>
    <row r="1143" spans="1:11" x14ac:dyDescent="0.35">
      <c r="A1143">
        <v>9300000462</v>
      </c>
      <c r="B1143">
        <v>9400009330</v>
      </c>
      <c r="C1143" s="10">
        <v>46169</v>
      </c>
      <c r="D1143" t="s">
        <v>2032</v>
      </c>
      <c r="E1143" s="11">
        <v>18797836</v>
      </c>
      <c r="F1143" t="s">
        <v>921</v>
      </c>
      <c r="G1143" t="s">
        <v>922</v>
      </c>
      <c r="H1143" s="10">
        <v>46214</v>
      </c>
      <c r="I1143">
        <v>24998.6</v>
      </c>
      <c r="J1143">
        <v>0</v>
      </c>
      <c r="K1143">
        <v>24998.6</v>
      </c>
    </row>
    <row r="1144" spans="1:11" x14ac:dyDescent="0.35">
      <c r="A1144">
        <v>9300000461</v>
      </c>
      <c r="B1144">
        <v>9400009329</v>
      </c>
      <c r="C1144" s="10">
        <v>46169</v>
      </c>
      <c r="D1144" t="s">
        <v>2032</v>
      </c>
      <c r="E1144" s="11">
        <v>18798071</v>
      </c>
      <c r="F1144" t="s">
        <v>417</v>
      </c>
      <c r="G1144" t="s">
        <v>418</v>
      </c>
      <c r="H1144" s="10">
        <v>46214</v>
      </c>
      <c r="I1144">
        <v>137348.46</v>
      </c>
      <c r="J1144">
        <v>0</v>
      </c>
      <c r="K1144">
        <v>137348.46</v>
      </c>
    </row>
    <row r="1145" spans="1:11" x14ac:dyDescent="0.35">
      <c r="A1145">
        <v>2720000303</v>
      </c>
      <c r="B1145">
        <v>9400009324</v>
      </c>
      <c r="C1145" s="10">
        <v>46169</v>
      </c>
      <c r="D1145" t="s">
        <v>2032</v>
      </c>
      <c r="E1145" s="11">
        <v>18809807</v>
      </c>
      <c r="F1145" t="s">
        <v>58</v>
      </c>
      <c r="G1145" t="s">
        <v>59</v>
      </c>
      <c r="H1145" s="10">
        <v>46183</v>
      </c>
      <c r="I1145">
        <v>28348.32</v>
      </c>
      <c r="J1145">
        <v>0</v>
      </c>
      <c r="K1145">
        <v>28348.32</v>
      </c>
    </row>
    <row r="1146" spans="1:11" x14ac:dyDescent="0.35">
      <c r="A1146">
        <v>2720000302</v>
      </c>
      <c r="B1146">
        <v>9400009323</v>
      </c>
      <c r="C1146" s="10">
        <v>46169</v>
      </c>
      <c r="D1146" t="s">
        <v>2032</v>
      </c>
      <c r="E1146" s="11">
        <v>18809807</v>
      </c>
      <c r="F1146" t="s">
        <v>58</v>
      </c>
      <c r="G1146" t="s">
        <v>59</v>
      </c>
      <c r="H1146" s="10">
        <v>46214</v>
      </c>
      <c r="I1146">
        <v>50948.42</v>
      </c>
      <c r="J1146">
        <v>0</v>
      </c>
      <c r="K1146">
        <v>50948.42</v>
      </c>
    </row>
    <row r="1147" spans="1:11" x14ac:dyDescent="0.35">
      <c r="A1147">
        <v>2720000301</v>
      </c>
      <c r="B1147">
        <v>9400009317</v>
      </c>
      <c r="C1147" s="10">
        <v>46169</v>
      </c>
      <c r="D1147" t="s">
        <v>2032</v>
      </c>
      <c r="E1147" s="11">
        <v>18798753</v>
      </c>
      <c r="F1147" t="s">
        <v>1057</v>
      </c>
      <c r="G1147" t="s">
        <v>1058</v>
      </c>
      <c r="H1147" s="10">
        <v>46214</v>
      </c>
      <c r="I1147">
        <v>40044.480000000003</v>
      </c>
      <c r="J1147">
        <v>0</v>
      </c>
      <c r="K1147">
        <v>40044.480000000003</v>
      </c>
    </row>
    <row r="1148" spans="1:11" x14ac:dyDescent="0.35">
      <c r="A1148">
        <v>2720000300</v>
      </c>
      <c r="B1148">
        <v>9400009315</v>
      </c>
      <c r="C1148" s="10">
        <v>46169</v>
      </c>
      <c r="D1148" t="s">
        <v>2032</v>
      </c>
      <c r="E1148" s="11">
        <v>18798753</v>
      </c>
      <c r="F1148" t="s">
        <v>1057</v>
      </c>
      <c r="G1148" t="s">
        <v>1058</v>
      </c>
      <c r="H1148" s="10">
        <v>46183</v>
      </c>
      <c r="I1148">
        <v>138018.79999999999</v>
      </c>
      <c r="J1148">
        <v>0</v>
      </c>
      <c r="K1148">
        <v>138018.79999999999</v>
      </c>
    </row>
    <row r="1149" spans="1:11" x14ac:dyDescent="0.35">
      <c r="A1149">
        <v>9100000807</v>
      </c>
      <c r="B1149">
        <v>9400009314</v>
      </c>
      <c r="C1149" s="10">
        <v>46169</v>
      </c>
      <c r="D1149" t="s">
        <v>2032</v>
      </c>
      <c r="E1149" s="11">
        <v>18798592</v>
      </c>
      <c r="F1149" t="s">
        <v>765</v>
      </c>
      <c r="G1149" t="s">
        <v>766</v>
      </c>
      <c r="H1149" s="10">
        <v>46184</v>
      </c>
      <c r="I1149">
        <v>39974.620000000003</v>
      </c>
      <c r="J1149">
        <v>0</v>
      </c>
      <c r="K1149">
        <v>39974.620000000003</v>
      </c>
    </row>
    <row r="1150" spans="1:11" x14ac:dyDescent="0.35">
      <c r="A1150">
        <v>2720000299</v>
      </c>
      <c r="B1150">
        <v>9400009313</v>
      </c>
      <c r="C1150" s="10">
        <v>46169</v>
      </c>
      <c r="D1150" t="s">
        <v>2032</v>
      </c>
      <c r="E1150" s="11">
        <v>18809777</v>
      </c>
      <c r="F1150" t="s">
        <v>227</v>
      </c>
      <c r="G1150" t="s">
        <v>228</v>
      </c>
      <c r="H1150" s="10">
        <v>46214</v>
      </c>
      <c r="I1150">
        <v>38410.879999999997</v>
      </c>
      <c r="J1150">
        <v>0</v>
      </c>
      <c r="K1150">
        <v>38410.879999999997</v>
      </c>
    </row>
    <row r="1151" spans="1:11" x14ac:dyDescent="0.35">
      <c r="A1151">
        <v>9100000806</v>
      </c>
      <c r="B1151">
        <v>9400009312</v>
      </c>
      <c r="C1151" s="10">
        <v>46169</v>
      </c>
      <c r="D1151" t="s">
        <v>2032</v>
      </c>
      <c r="E1151" s="11">
        <v>18798592</v>
      </c>
      <c r="F1151" t="s">
        <v>765</v>
      </c>
      <c r="G1151" t="s">
        <v>766</v>
      </c>
      <c r="H1151" s="10">
        <v>46183</v>
      </c>
      <c r="I1151">
        <v>115796.1</v>
      </c>
      <c r="J1151">
        <v>0</v>
      </c>
      <c r="K1151">
        <v>115796.1</v>
      </c>
    </row>
    <row r="1152" spans="1:11" x14ac:dyDescent="0.35">
      <c r="A1152">
        <v>2720000298</v>
      </c>
      <c r="B1152">
        <v>9400009309</v>
      </c>
      <c r="C1152" s="10">
        <v>46169</v>
      </c>
      <c r="D1152" t="s">
        <v>2032</v>
      </c>
      <c r="E1152" s="11">
        <v>18809853</v>
      </c>
      <c r="F1152" t="s">
        <v>136</v>
      </c>
      <c r="G1152" t="s">
        <v>137</v>
      </c>
      <c r="H1152" s="10">
        <v>46214</v>
      </c>
      <c r="I1152">
        <v>525192.15</v>
      </c>
      <c r="J1152">
        <v>0</v>
      </c>
      <c r="K1152">
        <v>525192.15</v>
      </c>
    </row>
    <row r="1153" spans="1:11" x14ac:dyDescent="0.35">
      <c r="A1153">
        <v>9300000458</v>
      </c>
      <c r="B1153">
        <v>9400009295</v>
      </c>
      <c r="C1153" s="10">
        <v>46169</v>
      </c>
      <c r="D1153" t="s">
        <v>2032</v>
      </c>
      <c r="E1153" s="11">
        <v>18765681</v>
      </c>
      <c r="F1153" t="s">
        <v>3635</v>
      </c>
      <c r="G1153" t="s">
        <v>3636</v>
      </c>
      <c r="H1153" s="10">
        <v>46169</v>
      </c>
      <c r="I1153">
        <v>151565.88</v>
      </c>
      <c r="J1153">
        <v>151000</v>
      </c>
      <c r="K1153">
        <v>565.88000000000466</v>
      </c>
    </row>
    <row r="1154" spans="1:11" x14ac:dyDescent="0.35">
      <c r="A1154">
        <v>2300000406</v>
      </c>
      <c r="B1154">
        <v>9400009291</v>
      </c>
      <c r="C1154" s="10">
        <v>46169</v>
      </c>
      <c r="D1154" t="s">
        <v>2032</v>
      </c>
      <c r="E1154" s="11">
        <v>18819890</v>
      </c>
      <c r="F1154" t="s">
        <v>310</v>
      </c>
      <c r="G1154" t="s">
        <v>311</v>
      </c>
      <c r="H1154" s="10">
        <v>46214</v>
      </c>
      <c r="I1154">
        <v>41120.639999999999</v>
      </c>
      <c r="J1154">
        <v>0</v>
      </c>
      <c r="K1154">
        <v>41120.639999999999</v>
      </c>
    </row>
    <row r="1155" spans="1:11" x14ac:dyDescent="0.35">
      <c r="A1155">
        <v>3000000702</v>
      </c>
      <c r="B1155">
        <v>9400009287</v>
      </c>
      <c r="C1155" s="10">
        <v>46169</v>
      </c>
      <c r="D1155" t="s">
        <v>2032</v>
      </c>
      <c r="E1155" s="11">
        <v>18819928</v>
      </c>
      <c r="F1155" t="s">
        <v>3637</v>
      </c>
      <c r="G1155" t="s">
        <v>3638</v>
      </c>
      <c r="H1155" s="10">
        <v>46214</v>
      </c>
      <c r="I1155">
        <v>5191.42</v>
      </c>
      <c r="J1155">
        <v>0</v>
      </c>
      <c r="K1155">
        <v>5191.42</v>
      </c>
    </row>
    <row r="1156" spans="1:11" x14ac:dyDescent="0.35">
      <c r="A1156">
        <v>9100000801</v>
      </c>
      <c r="B1156">
        <v>9400009285</v>
      </c>
      <c r="C1156" s="10">
        <v>46169</v>
      </c>
      <c r="D1156" t="s">
        <v>2032</v>
      </c>
      <c r="E1156" s="11">
        <v>18799643</v>
      </c>
      <c r="F1156" t="s">
        <v>795</v>
      </c>
      <c r="G1156" t="s">
        <v>796</v>
      </c>
      <c r="H1156" s="10">
        <v>46183</v>
      </c>
      <c r="I1156">
        <v>305856</v>
      </c>
      <c r="J1156">
        <v>0</v>
      </c>
      <c r="K1156">
        <v>305856</v>
      </c>
    </row>
    <row r="1157" spans="1:11" x14ac:dyDescent="0.35">
      <c r="A1157">
        <v>3000000701</v>
      </c>
      <c r="B1157">
        <v>9400009284</v>
      </c>
      <c r="C1157" s="10">
        <v>46169</v>
      </c>
      <c r="D1157" t="s">
        <v>2032</v>
      </c>
      <c r="E1157" s="11">
        <v>18819928</v>
      </c>
      <c r="F1157" t="s">
        <v>3637</v>
      </c>
      <c r="G1157" t="s">
        <v>3638</v>
      </c>
      <c r="H1157" s="10">
        <v>46184</v>
      </c>
      <c r="I1157">
        <v>38147.040000000001</v>
      </c>
      <c r="J1157">
        <v>0</v>
      </c>
      <c r="K1157">
        <v>38147.040000000001</v>
      </c>
    </row>
    <row r="1158" spans="1:11" x14ac:dyDescent="0.35">
      <c r="A1158">
        <v>9100000800</v>
      </c>
      <c r="B1158">
        <v>9400009282</v>
      </c>
      <c r="C1158" s="10">
        <v>46169</v>
      </c>
      <c r="D1158" t="s">
        <v>2032</v>
      </c>
      <c r="E1158" s="11">
        <v>18819904</v>
      </c>
      <c r="F1158" t="s">
        <v>3639</v>
      </c>
      <c r="G1158" t="s">
        <v>3640</v>
      </c>
      <c r="H1158" s="10">
        <v>46169</v>
      </c>
      <c r="I1158">
        <v>55379</v>
      </c>
      <c r="J1158">
        <v>50442.21</v>
      </c>
      <c r="K1158">
        <v>4936.7900000000009</v>
      </c>
    </row>
    <row r="1159" spans="1:11" x14ac:dyDescent="0.35">
      <c r="A1159">
        <v>2300000404</v>
      </c>
      <c r="B1159">
        <v>9400009280</v>
      </c>
      <c r="C1159" s="10">
        <v>46169</v>
      </c>
      <c r="D1159" t="s">
        <v>2032</v>
      </c>
      <c r="E1159" s="11">
        <v>18799433</v>
      </c>
      <c r="F1159" t="s">
        <v>78</v>
      </c>
      <c r="G1159" t="s">
        <v>79</v>
      </c>
      <c r="H1159" s="10">
        <v>46214</v>
      </c>
      <c r="I1159">
        <v>96938.18</v>
      </c>
      <c r="J1159">
        <v>0</v>
      </c>
      <c r="K1159">
        <v>96938.18</v>
      </c>
    </row>
    <row r="1160" spans="1:11" x14ac:dyDescent="0.35">
      <c r="A1160">
        <v>2720000297</v>
      </c>
      <c r="B1160">
        <v>9400009277</v>
      </c>
      <c r="C1160" s="10">
        <v>46169</v>
      </c>
      <c r="D1160" t="s">
        <v>2032</v>
      </c>
      <c r="E1160" s="11">
        <v>18809853</v>
      </c>
      <c r="F1160" t="s">
        <v>136</v>
      </c>
      <c r="G1160" t="s">
        <v>137</v>
      </c>
      <c r="H1160" s="10">
        <v>46183</v>
      </c>
      <c r="I1160">
        <v>126392.02</v>
      </c>
      <c r="J1160">
        <v>0</v>
      </c>
      <c r="K1160">
        <v>126392.02</v>
      </c>
    </row>
    <row r="1161" spans="1:11" x14ac:dyDescent="0.35">
      <c r="A1161">
        <v>9200000557</v>
      </c>
      <c r="B1161">
        <v>9400009275</v>
      </c>
      <c r="C1161" s="10">
        <v>46169</v>
      </c>
      <c r="D1161" t="s">
        <v>2032</v>
      </c>
      <c r="E1161" s="11">
        <v>18799711</v>
      </c>
      <c r="F1161" t="s">
        <v>883</v>
      </c>
      <c r="G1161" t="s">
        <v>884</v>
      </c>
      <c r="H1161" s="10">
        <v>46183</v>
      </c>
      <c r="I1161">
        <v>40854.44</v>
      </c>
      <c r="J1161">
        <v>0</v>
      </c>
      <c r="K1161">
        <v>40854.44</v>
      </c>
    </row>
    <row r="1162" spans="1:11" x14ac:dyDescent="0.35">
      <c r="A1162">
        <v>9100000797</v>
      </c>
      <c r="B1162">
        <v>9400009272</v>
      </c>
      <c r="C1162" s="10">
        <v>46169</v>
      </c>
      <c r="D1162" t="s">
        <v>2032</v>
      </c>
      <c r="E1162" s="11">
        <v>123</v>
      </c>
      <c r="F1162" t="s">
        <v>167</v>
      </c>
      <c r="G1162" t="s">
        <v>168</v>
      </c>
      <c r="H1162" s="10">
        <v>46183</v>
      </c>
      <c r="I1162">
        <v>725007.58</v>
      </c>
      <c r="J1162">
        <v>0</v>
      </c>
      <c r="K1162">
        <v>725007.58</v>
      </c>
    </row>
    <row r="1163" spans="1:11" x14ac:dyDescent="0.35">
      <c r="A1163">
        <v>2720000296</v>
      </c>
      <c r="B1163">
        <v>9400009271</v>
      </c>
      <c r="C1163" s="10">
        <v>46169</v>
      </c>
      <c r="D1163" t="s">
        <v>2032</v>
      </c>
      <c r="E1163" s="11">
        <v>18819881</v>
      </c>
      <c r="F1163" t="s">
        <v>245</v>
      </c>
      <c r="G1163" t="s">
        <v>246</v>
      </c>
      <c r="H1163" s="10">
        <v>46183</v>
      </c>
      <c r="I1163">
        <v>133812</v>
      </c>
      <c r="J1163">
        <v>0</v>
      </c>
      <c r="K1163">
        <v>133812</v>
      </c>
    </row>
    <row r="1164" spans="1:11" x14ac:dyDescent="0.35">
      <c r="A1164">
        <v>2710000635</v>
      </c>
      <c r="B1164">
        <v>9400009265</v>
      </c>
      <c r="C1164" s="10">
        <v>46169</v>
      </c>
      <c r="D1164" t="s">
        <v>2032</v>
      </c>
      <c r="E1164" s="11">
        <v>18799271</v>
      </c>
      <c r="F1164" t="s">
        <v>3641</v>
      </c>
      <c r="G1164" t="s">
        <v>3642</v>
      </c>
      <c r="H1164" s="10">
        <v>46214</v>
      </c>
      <c r="I1164">
        <v>27372.45</v>
      </c>
      <c r="J1164">
        <v>0</v>
      </c>
      <c r="K1164">
        <v>27372.45</v>
      </c>
    </row>
    <row r="1165" spans="1:11" x14ac:dyDescent="0.35">
      <c r="A1165">
        <v>5100000562</v>
      </c>
      <c r="B1165">
        <v>9400009262</v>
      </c>
      <c r="C1165" s="10">
        <v>46169</v>
      </c>
      <c r="D1165" t="s">
        <v>2032</v>
      </c>
      <c r="E1165" s="11">
        <v>18799227</v>
      </c>
      <c r="F1165" t="s">
        <v>1181</v>
      </c>
      <c r="G1165" t="s">
        <v>1182</v>
      </c>
      <c r="H1165" s="10">
        <v>46169</v>
      </c>
      <c r="I1165">
        <v>30607.38</v>
      </c>
      <c r="J1165">
        <v>30101.81</v>
      </c>
      <c r="K1165">
        <v>505.56999999999971</v>
      </c>
    </row>
    <row r="1166" spans="1:11" x14ac:dyDescent="0.35">
      <c r="A1166">
        <v>9100000796</v>
      </c>
      <c r="B1166">
        <v>9400009257</v>
      </c>
      <c r="C1166" s="10">
        <v>46169</v>
      </c>
      <c r="D1166" t="s">
        <v>2032</v>
      </c>
      <c r="E1166" s="11">
        <v>18798183</v>
      </c>
      <c r="F1166" t="s">
        <v>419</v>
      </c>
      <c r="G1166" t="s">
        <v>420</v>
      </c>
      <c r="H1166" s="10">
        <v>46214</v>
      </c>
      <c r="I1166">
        <v>42189.36</v>
      </c>
      <c r="J1166">
        <v>0</v>
      </c>
      <c r="K1166">
        <v>42189.36</v>
      </c>
    </row>
    <row r="1167" spans="1:11" x14ac:dyDescent="0.35">
      <c r="A1167">
        <v>9100000795</v>
      </c>
      <c r="B1167">
        <v>9400009254</v>
      </c>
      <c r="C1167" s="10">
        <v>46169</v>
      </c>
      <c r="D1167" t="s">
        <v>2032</v>
      </c>
      <c r="E1167" s="11">
        <v>123</v>
      </c>
      <c r="F1167" t="s">
        <v>375</v>
      </c>
      <c r="G1167" t="s">
        <v>376</v>
      </c>
      <c r="H1167" s="10">
        <v>46183</v>
      </c>
      <c r="I1167">
        <v>46437.72</v>
      </c>
      <c r="J1167">
        <v>0</v>
      </c>
      <c r="K1167">
        <v>46437.72</v>
      </c>
    </row>
    <row r="1168" spans="1:11" x14ac:dyDescent="0.35">
      <c r="A1168">
        <v>9100000794</v>
      </c>
      <c r="B1168">
        <v>9400009251</v>
      </c>
      <c r="C1168" s="10">
        <v>46169</v>
      </c>
      <c r="D1168" t="s">
        <v>2032</v>
      </c>
      <c r="E1168" s="11">
        <v>18798183</v>
      </c>
      <c r="F1168" t="s">
        <v>419</v>
      </c>
      <c r="G1168" t="s">
        <v>420</v>
      </c>
      <c r="H1168" s="10">
        <v>46183</v>
      </c>
      <c r="I1168">
        <v>46949.84</v>
      </c>
      <c r="J1168">
        <v>0</v>
      </c>
      <c r="K1168">
        <v>46949.84</v>
      </c>
    </row>
    <row r="1169" spans="1:11" x14ac:dyDescent="0.35">
      <c r="A1169">
        <v>2720000294</v>
      </c>
      <c r="B1169">
        <v>9400009247</v>
      </c>
      <c r="C1169" s="10">
        <v>46169</v>
      </c>
      <c r="D1169" t="s">
        <v>2032</v>
      </c>
      <c r="E1169" s="11">
        <v>18798724</v>
      </c>
      <c r="F1169" t="s">
        <v>261</v>
      </c>
      <c r="G1169" t="s">
        <v>262</v>
      </c>
      <c r="H1169" s="10">
        <v>46214</v>
      </c>
      <c r="I1169">
        <v>9587.0400000000009</v>
      </c>
      <c r="J1169">
        <v>0</v>
      </c>
      <c r="K1169">
        <v>9587.0400000000009</v>
      </c>
    </row>
    <row r="1170" spans="1:11" x14ac:dyDescent="0.35">
      <c r="A1170">
        <v>2720000293</v>
      </c>
      <c r="B1170">
        <v>9400009239</v>
      </c>
      <c r="C1170" s="10">
        <v>46169</v>
      </c>
      <c r="D1170" t="s">
        <v>2032</v>
      </c>
      <c r="E1170" s="11">
        <v>18799719</v>
      </c>
      <c r="F1170" t="s">
        <v>17</v>
      </c>
      <c r="G1170" t="s">
        <v>18</v>
      </c>
      <c r="H1170" s="10">
        <v>46214</v>
      </c>
      <c r="I1170">
        <v>12929.64</v>
      </c>
      <c r="J1170">
        <v>0</v>
      </c>
      <c r="K1170">
        <v>12929.64</v>
      </c>
    </row>
    <row r="1171" spans="1:11" x14ac:dyDescent="0.35">
      <c r="A1171">
        <v>2730000426</v>
      </c>
      <c r="B1171">
        <v>9400009238</v>
      </c>
      <c r="C1171" s="10">
        <v>46169</v>
      </c>
      <c r="D1171" t="s">
        <v>2032</v>
      </c>
      <c r="E1171" s="11">
        <v>18799603</v>
      </c>
      <c r="F1171" t="s">
        <v>84</v>
      </c>
      <c r="G1171" t="s">
        <v>85</v>
      </c>
      <c r="H1171" s="10">
        <v>46214</v>
      </c>
      <c r="I1171">
        <v>61680.959999999999</v>
      </c>
      <c r="J1171">
        <v>0</v>
      </c>
      <c r="K1171">
        <v>61680.959999999999</v>
      </c>
    </row>
    <row r="1172" spans="1:11" x14ac:dyDescent="0.35">
      <c r="A1172">
        <v>5100000560</v>
      </c>
      <c r="B1172">
        <v>9400009230</v>
      </c>
      <c r="C1172" s="10">
        <v>46169</v>
      </c>
      <c r="D1172" t="s">
        <v>2032</v>
      </c>
      <c r="E1172" s="11">
        <v>18799445</v>
      </c>
      <c r="F1172" t="s">
        <v>387</v>
      </c>
      <c r="G1172" t="s">
        <v>388</v>
      </c>
      <c r="H1172" s="10">
        <v>46214</v>
      </c>
      <c r="I1172">
        <v>142530.32</v>
      </c>
      <c r="J1172">
        <v>0</v>
      </c>
      <c r="K1172">
        <v>142530.32</v>
      </c>
    </row>
    <row r="1173" spans="1:11" x14ac:dyDescent="0.35">
      <c r="A1173">
        <v>3000000690</v>
      </c>
      <c r="B1173">
        <v>9400009227</v>
      </c>
      <c r="C1173" s="10">
        <v>46169</v>
      </c>
      <c r="D1173" t="s">
        <v>2032</v>
      </c>
      <c r="E1173" s="11">
        <v>18799415</v>
      </c>
      <c r="F1173" t="s">
        <v>979</v>
      </c>
      <c r="G1173" t="s">
        <v>980</v>
      </c>
      <c r="H1173" s="10">
        <v>46169</v>
      </c>
      <c r="I1173">
        <v>111849.47</v>
      </c>
      <c r="J1173">
        <v>110991.76</v>
      </c>
      <c r="K1173">
        <v>857.7100000000064</v>
      </c>
    </row>
    <row r="1174" spans="1:11" x14ac:dyDescent="0.35">
      <c r="A1174">
        <v>9200000552</v>
      </c>
      <c r="B1174">
        <v>9400009226</v>
      </c>
      <c r="C1174" s="10">
        <v>46169</v>
      </c>
      <c r="D1174" t="s">
        <v>2032</v>
      </c>
      <c r="E1174" s="11">
        <v>18753115</v>
      </c>
      <c r="F1174" t="s">
        <v>517</v>
      </c>
      <c r="G1174" t="s">
        <v>518</v>
      </c>
      <c r="H1174" s="10">
        <v>46183</v>
      </c>
      <c r="I1174">
        <v>38917.1</v>
      </c>
      <c r="J1174">
        <v>0</v>
      </c>
      <c r="K1174">
        <v>38917.1</v>
      </c>
    </row>
    <row r="1175" spans="1:11" x14ac:dyDescent="0.35">
      <c r="A1175">
        <v>8000000472</v>
      </c>
      <c r="B1175">
        <v>9400009218</v>
      </c>
      <c r="C1175" s="10">
        <v>46169</v>
      </c>
      <c r="D1175" t="s">
        <v>2032</v>
      </c>
      <c r="E1175" s="11">
        <v>18797294</v>
      </c>
      <c r="F1175" t="s">
        <v>1017</v>
      </c>
      <c r="G1175" t="s">
        <v>1018</v>
      </c>
      <c r="H1175" s="10">
        <v>46214</v>
      </c>
      <c r="I1175">
        <v>62371.1</v>
      </c>
      <c r="J1175">
        <v>0</v>
      </c>
      <c r="K1175">
        <v>62371.1</v>
      </c>
    </row>
    <row r="1176" spans="1:11" x14ac:dyDescent="0.35">
      <c r="A1176">
        <v>5100000559</v>
      </c>
      <c r="B1176">
        <v>9400009198</v>
      </c>
      <c r="C1176" s="10">
        <v>46169</v>
      </c>
      <c r="D1176" t="s">
        <v>2032</v>
      </c>
      <c r="E1176" s="11">
        <v>18799285</v>
      </c>
      <c r="F1176" t="s">
        <v>485</v>
      </c>
      <c r="G1176" t="s">
        <v>486</v>
      </c>
      <c r="H1176" s="10">
        <v>46214</v>
      </c>
      <c r="I1176">
        <v>329047.7</v>
      </c>
      <c r="J1176">
        <v>0</v>
      </c>
      <c r="K1176">
        <v>329047.7</v>
      </c>
    </row>
    <row r="1177" spans="1:11" x14ac:dyDescent="0.35">
      <c r="A1177">
        <v>3000000688</v>
      </c>
      <c r="B1177">
        <v>9400009178</v>
      </c>
      <c r="C1177" s="10">
        <v>46169</v>
      </c>
      <c r="D1177" t="s">
        <v>2032</v>
      </c>
      <c r="E1177" s="11">
        <v>18799336</v>
      </c>
      <c r="F1177" t="s">
        <v>803</v>
      </c>
      <c r="G1177" t="s">
        <v>804</v>
      </c>
      <c r="H1177" s="10">
        <v>46184</v>
      </c>
      <c r="I1177">
        <v>117667.66</v>
      </c>
      <c r="J1177">
        <v>0</v>
      </c>
      <c r="K1177">
        <v>117667.66</v>
      </c>
    </row>
    <row r="1178" spans="1:11" x14ac:dyDescent="0.35">
      <c r="A1178">
        <v>3000000686</v>
      </c>
      <c r="B1178">
        <v>9400009170</v>
      </c>
      <c r="C1178" s="10">
        <v>46169</v>
      </c>
      <c r="D1178" t="s">
        <v>2032</v>
      </c>
      <c r="E1178" s="11" t="s">
        <v>2033</v>
      </c>
      <c r="F1178" t="s">
        <v>785</v>
      </c>
      <c r="G1178" t="s">
        <v>786</v>
      </c>
      <c r="H1178" s="10">
        <v>46169</v>
      </c>
      <c r="I1178">
        <v>43.96</v>
      </c>
      <c r="J1178">
        <v>0</v>
      </c>
      <c r="K1178">
        <v>43.96</v>
      </c>
    </row>
    <row r="1179" spans="1:11" x14ac:dyDescent="0.35">
      <c r="A1179">
        <v>3000000685</v>
      </c>
      <c r="B1179">
        <v>9400009163</v>
      </c>
      <c r="C1179" s="10">
        <v>46169</v>
      </c>
      <c r="D1179" t="s">
        <v>2032</v>
      </c>
      <c r="E1179" s="11" t="s">
        <v>2033</v>
      </c>
      <c r="F1179" t="s">
        <v>785</v>
      </c>
      <c r="G1179" t="s">
        <v>786</v>
      </c>
      <c r="H1179" s="10">
        <v>46169</v>
      </c>
      <c r="I1179">
        <v>44.38</v>
      </c>
      <c r="J1179">
        <v>0</v>
      </c>
      <c r="K1179">
        <v>44.38</v>
      </c>
    </row>
    <row r="1180" spans="1:11" x14ac:dyDescent="0.35">
      <c r="A1180">
        <v>3000000684</v>
      </c>
      <c r="B1180">
        <v>9400009152</v>
      </c>
      <c r="C1180" s="10">
        <v>46169</v>
      </c>
      <c r="D1180" t="s">
        <v>2032</v>
      </c>
      <c r="E1180" s="11">
        <v>18798102</v>
      </c>
      <c r="F1180" t="s">
        <v>3643</v>
      </c>
      <c r="G1180" t="s">
        <v>3644</v>
      </c>
      <c r="H1180" s="10">
        <v>46214</v>
      </c>
      <c r="I1180">
        <v>16328.1</v>
      </c>
      <c r="J1180">
        <v>0</v>
      </c>
      <c r="K1180">
        <v>16328.1</v>
      </c>
    </row>
    <row r="1181" spans="1:11" x14ac:dyDescent="0.35">
      <c r="A1181">
        <v>3000000681</v>
      </c>
      <c r="B1181">
        <v>9400009147</v>
      </c>
      <c r="C1181" s="10">
        <v>46169</v>
      </c>
      <c r="D1181" t="s">
        <v>2032</v>
      </c>
      <c r="E1181" s="11">
        <v>18799186</v>
      </c>
      <c r="F1181" t="s">
        <v>785</v>
      </c>
      <c r="G1181" t="s">
        <v>786</v>
      </c>
      <c r="H1181" s="10">
        <v>46214</v>
      </c>
      <c r="I1181">
        <v>96598.81</v>
      </c>
      <c r="J1181">
        <v>0</v>
      </c>
      <c r="K1181">
        <v>96598.81</v>
      </c>
    </row>
    <row r="1182" spans="1:11" x14ac:dyDescent="0.35">
      <c r="A1182">
        <v>2300000401</v>
      </c>
      <c r="B1182">
        <v>9400009142</v>
      </c>
      <c r="C1182" s="10">
        <v>46169</v>
      </c>
      <c r="D1182" t="s">
        <v>2032</v>
      </c>
      <c r="E1182" s="11">
        <v>18798699</v>
      </c>
      <c r="F1182" t="s">
        <v>619</v>
      </c>
      <c r="G1182" t="s">
        <v>620</v>
      </c>
      <c r="H1182" s="10">
        <v>46214</v>
      </c>
      <c r="I1182">
        <v>69943.320000000007</v>
      </c>
      <c r="J1182">
        <v>0</v>
      </c>
      <c r="K1182">
        <v>69943.320000000007</v>
      </c>
    </row>
    <row r="1183" spans="1:11" x14ac:dyDescent="0.35">
      <c r="A1183">
        <v>3000000679</v>
      </c>
      <c r="B1183">
        <v>9400009137</v>
      </c>
      <c r="C1183" s="10">
        <v>46169</v>
      </c>
      <c r="D1183" t="s">
        <v>2032</v>
      </c>
      <c r="E1183" s="11">
        <v>18798094</v>
      </c>
      <c r="F1183" t="s">
        <v>393</v>
      </c>
      <c r="G1183" t="s">
        <v>394</v>
      </c>
      <c r="H1183" s="10">
        <v>46214</v>
      </c>
      <c r="I1183">
        <v>52392</v>
      </c>
      <c r="J1183">
        <v>0</v>
      </c>
      <c r="K1183">
        <v>52392</v>
      </c>
    </row>
    <row r="1184" spans="1:11" x14ac:dyDescent="0.35">
      <c r="A1184">
        <v>3000000678</v>
      </c>
      <c r="B1184">
        <v>9400009136</v>
      </c>
      <c r="C1184" s="10">
        <v>46169</v>
      </c>
      <c r="D1184" t="s">
        <v>2032</v>
      </c>
      <c r="E1184" s="11">
        <v>18798094</v>
      </c>
      <c r="F1184" t="s">
        <v>393</v>
      </c>
      <c r="G1184" t="s">
        <v>394</v>
      </c>
      <c r="H1184" s="10">
        <v>46184</v>
      </c>
      <c r="I1184">
        <v>70974.95</v>
      </c>
      <c r="J1184">
        <v>0</v>
      </c>
      <c r="K1184">
        <v>70974.95</v>
      </c>
    </row>
    <row r="1185" spans="1:11" x14ac:dyDescent="0.35">
      <c r="A1185">
        <v>2710000629</v>
      </c>
      <c r="B1185">
        <v>9400009135</v>
      </c>
      <c r="C1185" s="10">
        <v>46169</v>
      </c>
      <c r="D1185" t="s">
        <v>2032</v>
      </c>
      <c r="E1185" s="11">
        <v>18799150</v>
      </c>
      <c r="F1185" t="s">
        <v>595</v>
      </c>
      <c r="G1185" t="s">
        <v>596</v>
      </c>
      <c r="H1185" s="10">
        <v>46183</v>
      </c>
      <c r="I1185">
        <v>37339.919999999998</v>
      </c>
      <c r="J1185">
        <v>0</v>
      </c>
      <c r="K1185">
        <v>37339.919999999998</v>
      </c>
    </row>
    <row r="1186" spans="1:11" x14ac:dyDescent="0.35">
      <c r="A1186">
        <v>2300000400</v>
      </c>
      <c r="B1186">
        <v>9400009134</v>
      </c>
      <c r="C1186" s="10">
        <v>46169</v>
      </c>
      <c r="D1186" t="s">
        <v>2032</v>
      </c>
      <c r="E1186" s="11">
        <v>18798606</v>
      </c>
      <c r="F1186" t="s">
        <v>76</v>
      </c>
      <c r="G1186" t="s">
        <v>77</v>
      </c>
      <c r="H1186" s="10">
        <v>46183</v>
      </c>
      <c r="I1186">
        <v>114841.66</v>
      </c>
      <c r="J1186">
        <v>0</v>
      </c>
      <c r="K1186">
        <v>114841.66</v>
      </c>
    </row>
    <row r="1187" spans="1:11" x14ac:dyDescent="0.35">
      <c r="A1187">
        <v>2710000628</v>
      </c>
      <c r="B1187">
        <v>9400009133</v>
      </c>
      <c r="C1187" s="10">
        <v>46169</v>
      </c>
      <c r="D1187" t="s">
        <v>2032</v>
      </c>
      <c r="E1187" s="11">
        <v>18799141</v>
      </c>
      <c r="F1187" t="s">
        <v>767</v>
      </c>
      <c r="G1187" t="s">
        <v>768</v>
      </c>
      <c r="H1187" s="10">
        <v>46214</v>
      </c>
      <c r="I1187">
        <v>3624.96</v>
      </c>
      <c r="J1187">
        <v>0</v>
      </c>
      <c r="K1187">
        <v>3624.96</v>
      </c>
    </row>
    <row r="1188" spans="1:11" x14ac:dyDescent="0.35">
      <c r="A1188">
        <v>2710000627</v>
      </c>
      <c r="B1188">
        <v>9400009132</v>
      </c>
      <c r="C1188" s="10">
        <v>46169</v>
      </c>
      <c r="D1188" t="s">
        <v>2032</v>
      </c>
      <c r="E1188" s="11">
        <v>18799141</v>
      </c>
      <c r="F1188" t="s">
        <v>767</v>
      </c>
      <c r="G1188" t="s">
        <v>768</v>
      </c>
      <c r="H1188" s="10">
        <v>46183</v>
      </c>
      <c r="I1188">
        <v>409592.16</v>
      </c>
      <c r="J1188">
        <v>0</v>
      </c>
      <c r="K1188">
        <v>409592.16</v>
      </c>
    </row>
    <row r="1189" spans="1:11" x14ac:dyDescent="0.35">
      <c r="A1189">
        <v>2300000399</v>
      </c>
      <c r="B1189">
        <v>9400009130</v>
      </c>
      <c r="C1189" s="10">
        <v>46169</v>
      </c>
      <c r="D1189" t="s">
        <v>2032</v>
      </c>
      <c r="E1189" s="11">
        <v>18798606</v>
      </c>
      <c r="F1189" t="s">
        <v>76</v>
      </c>
      <c r="G1189" t="s">
        <v>77</v>
      </c>
      <c r="H1189" s="10">
        <v>46214</v>
      </c>
      <c r="I1189">
        <v>55121.34</v>
      </c>
      <c r="J1189">
        <v>0</v>
      </c>
      <c r="K1189">
        <v>55121.34</v>
      </c>
    </row>
    <row r="1190" spans="1:11" x14ac:dyDescent="0.35">
      <c r="B1190">
        <v>1400007314</v>
      </c>
      <c r="C1190" s="10">
        <v>46169</v>
      </c>
      <c r="D1190" t="s">
        <v>2037</v>
      </c>
      <c r="E1190" s="11"/>
      <c r="F1190" t="s">
        <v>1167</v>
      </c>
      <c r="G1190" t="s">
        <v>1168</v>
      </c>
      <c r="H1190" s="10">
        <v>46169</v>
      </c>
      <c r="I1190">
        <v>7057</v>
      </c>
      <c r="J1190">
        <v>0</v>
      </c>
      <c r="K1190">
        <v>7057</v>
      </c>
    </row>
    <row r="1191" spans="1:11" x14ac:dyDescent="0.35">
      <c r="B1191">
        <v>1400006550</v>
      </c>
      <c r="C1191" s="10">
        <v>46169</v>
      </c>
      <c r="D1191" t="s">
        <v>2037</v>
      </c>
      <c r="E1191" s="11">
        <v>2300000017</v>
      </c>
      <c r="F1191" t="s">
        <v>465</v>
      </c>
      <c r="G1191" t="s">
        <v>466</v>
      </c>
      <c r="H1191" s="10">
        <v>46168</v>
      </c>
      <c r="I1191">
        <v>30140</v>
      </c>
      <c r="J1191">
        <v>12119.61</v>
      </c>
      <c r="K1191">
        <v>18020.39</v>
      </c>
    </row>
    <row r="1192" spans="1:11" x14ac:dyDescent="0.35">
      <c r="B1192">
        <v>1400006549</v>
      </c>
      <c r="C1192" s="10">
        <v>46169</v>
      </c>
      <c r="D1192" t="s">
        <v>2037</v>
      </c>
      <c r="E1192" s="11">
        <v>52074</v>
      </c>
      <c r="F1192" t="s">
        <v>1229</v>
      </c>
      <c r="G1192" t="s">
        <v>1230</v>
      </c>
      <c r="H1192" s="10">
        <v>46169</v>
      </c>
      <c r="I1192">
        <v>1276500</v>
      </c>
      <c r="J1192">
        <v>299951.96999999997</v>
      </c>
      <c r="K1192">
        <v>976548.03</v>
      </c>
    </row>
    <row r="1193" spans="1:11" x14ac:dyDescent="0.35">
      <c r="B1193">
        <v>1400006433</v>
      </c>
      <c r="C1193" s="10">
        <v>46169</v>
      </c>
      <c r="D1193" t="s">
        <v>2037</v>
      </c>
      <c r="E1193" s="11">
        <v>8000000184</v>
      </c>
      <c r="F1193" t="s">
        <v>403</v>
      </c>
      <c r="G1193" t="s">
        <v>404</v>
      </c>
      <c r="H1193" s="10">
        <v>46169</v>
      </c>
      <c r="I1193">
        <v>340530</v>
      </c>
      <c r="J1193">
        <v>339943.64</v>
      </c>
      <c r="K1193">
        <v>586.35999999998603</v>
      </c>
    </row>
    <row r="1194" spans="1:11" x14ac:dyDescent="0.35">
      <c r="A1194">
        <v>3000000677</v>
      </c>
      <c r="B1194">
        <v>9400009117</v>
      </c>
      <c r="C1194" s="10">
        <v>46168</v>
      </c>
      <c r="D1194" t="s">
        <v>2032</v>
      </c>
      <c r="E1194" s="11">
        <v>18798745</v>
      </c>
      <c r="F1194" t="s">
        <v>643</v>
      </c>
      <c r="G1194" t="s">
        <v>644</v>
      </c>
      <c r="H1194" s="10">
        <v>46182</v>
      </c>
      <c r="I1194">
        <v>209856.39</v>
      </c>
      <c r="J1194">
        <v>0</v>
      </c>
      <c r="K1194">
        <v>209856.39</v>
      </c>
    </row>
    <row r="1195" spans="1:11" x14ac:dyDescent="0.35">
      <c r="A1195">
        <v>2730000422</v>
      </c>
      <c r="B1195">
        <v>9400009114</v>
      </c>
      <c r="C1195" s="10">
        <v>46168</v>
      </c>
      <c r="D1195" t="s">
        <v>2032</v>
      </c>
      <c r="E1195" s="11">
        <v>18798719</v>
      </c>
      <c r="F1195" t="s">
        <v>120</v>
      </c>
      <c r="G1195" t="s">
        <v>121</v>
      </c>
      <c r="H1195" s="10">
        <v>46213</v>
      </c>
      <c r="I1195">
        <v>12289.58</v>
      </c>
      <c r="J1195">
        <v>0</v>
      </c>
      <c r="K1195">
        <v>12289.58</v>
      </c>
    </row>
    <row r="1196" spans="1:11" x14ac:dyDescent="0.35">
      <c r="A1196">
        <v>2730000421</v>
      </c>
      <c r="B1196">
        <v>9400009113</v>
      </c>
      <c r="C1196" s="10">
        <v>46168</v>
      </c>
      <c r="D1196" t="s">
        <v>2032</v>
      </c>
      <c r="E1196" s="11">
        <v>18798719</v>
      </c>
      <c r="F1196" t="s">
        <v>120</v>
      </c>
      <c r="G1196" t="s">
        <v>121</v>
      </c>
      <c r="H1196" s="10">
        <v>46182</v>
      </c>
      <c r="I1196">
        <v>15519.36</v>
      </c>
      <c r="J1196">
        <v>0</v>
      </c>
      <c r="K1196">
        <v>15519.36</v>
      </c>
    </row>
    <row r="1197" spans="1:11" x14ac:dyDescent="0.35">
      <c r="A1197">
        <v>2720000287</v>
      </c>
      <c r="B1197">
        <v>9400009112</v>
      </c>
      <c r="C1197" s="10">
        <v>46168</v>
      </c>
      <c r="D1197" t="s">
        <v>2032</v>
      </c>
      <c r="E1197" s="11">
        <v>18798598</v>
      </c>
      <c r="F1197" t="s">
        <v>227</v>
      </c>
      <c r="G1197" t="s">
        <v>228</v>
      </c>
      <c r="H1197" s="10">
        <v>46213</v>
      </c>
      <c r="I1197">
        <v>445792.2</v>
      </c>
      <c r="J1197">
        <v>0</v>
      </c>
      <c r="K1197">
        <v>445792.2</v>
      </c>
    </row>
    <row r="1198" spans="1:11" x14ac:dyDescent="0.35">
      <c r="A1198">
        <v>2720000286</v>
      </c>
      <c r="B1198">
        <v>9400009111</v>
      </c>
      <c r="C1198" s="10">
        <v>46168</v>
      </c>
      <c r="D1198" t="s">
        <v>2032</v>
      </c>
      <c r="E1198" s="11">
        <v>18798598</v>
      </c>
      <c r="F1198" t="s">
        <v>227</v>
      </c>
      <c r="G1198" t="s">
        <v>228</v>
      </c>
      <c r="H1198" s="10">
        <v>46182</v>
      </c>
      <c r="I1198">
        <v>96794.93</v>
      </c>
      <c r="J1198">
        <v>0</v>
      </c>
      <c r="K1198">
        <v>96794.93</v>
      </c>
    </row>
    <row r="1199" spans="1:11" x14ac:dyDescent="0.35">
      <c r="A1199">
        <v>5100000551</v>
      </c>
      <c r="B1199">
        <v>9400009101</v>
      </c>
      <c r="C1199" s="10">
        <v>46168</v>
      </c>
      <c r="D1199" t="s">
        <v>2032</v>
      </c>
      <c r="E1199" s="11">
        <v>18754453</v>
      </c>
      <c r="F1199" t="s">
        <v>715</v>
      </c>
      <c r="G1199" t="s">
        <v>716</v>
      </c>
      <c r="H1199" s="10">
        <v>46213</v>
      </c>
      <c r="I1199">
        <v>21905.66</v>
      </c>
      <c r="J1199">
        <v>0</v>
      </c>
      <c r="K1199">
        <v>21905.66</v>
      </c>
    </row>
    <row r="1200" spans="1:11" x14ac:dyDescent="0.35">
      <c r="A1200">
        <v>5100000550</v>
      </c>
      <c r="B1200">
        <v>9400009097</v>
      </c>
      <c r="C1200" s="10">
        <v>46168</v>
      </c>
      <c r="D1200" t="s">
        <v>2032</v>
      </c>
      <c r="E1200" s="11">
        <v>18753034</v>
      </c>
      <c r="F1200" t="s">
        <v>887</v>
      </c>
      <c r="G1200" t="s">
        <v>888</v>
      </c>
      <c r="H1200" s="10">
        <v>46213</v>
      </c>
      <c r="I1200">
        <v>28207.9</v>
      </c>
      <c r="J1200">
        <v>0</v>
      </c>
      <c r="K1200">
        <v>28207.9</v>
      </c>
    </row>
    <row r="1201" spans="1:11" x14ac:dyDescent="0.35">
      <c r="A1201">
        <v>5200000257</v>
      </c>
      <c r="B1201">
        <v>9400009095</v>
      </c>
      <c r="C1201" s="10">
        <v>46168</v>
      </c>
      <c r="D1201" t="s">
        <v>2032</v>
      </c>
      <c r="E1201" s="11">
        <v>18798063</v>
      </c>
      <c r="F1201" t="s">
        <v>533</v>
      </c>
      <c r="G1201" t="s">
        <v>534</v>
      </c>
      <c r="H1201" s="10">
        <v>46182</v>
      </c>
      <c r="I1201">
        <v>322947.12</v>
      </c>
      <c r="J1201">
        <v>0</v>
      </c>
      <c r="K1201">
        <v>322947.12</v>
      </c>
    </row>
    <row r="1202" spans="1:11" x14ac:dyDescent="0.35">
      <c r="A1202">
        <v>5100000549</v>
      </c>
      <c r="B1202">
        <v>9400009093</v>
      </c>
      <c r="C1202" s="10">
        <v>46168</v>
      </c>
      <c r="D1202" t="s">
        <v>2032</v>
      </c>
      <c r="E1202" s="11">
        <v>18699139</v>
      </c>
      <c r="F1202" t="s">
        <v>863</v>
      </c>
      <c r="G1202" t="s">
        <v>864</v>
      </c>
      <c r="H1202" s="10">
        <v>46213</v>
      </c>
      <c r="I1202">
        <v>16924.740000000002</v>
      </c>
      <c r="J1202">
        <v>0</v>
      </c>
      <c r="K1202">
        <v>16924.740000000002</v>
      </c>
    </row>
    <row r="1203" spans="1:11" x14ac:dyDescent="0.35">
      <c r="A1203">
        <v>5100000548</v>
      </c>
      <c r="B1203">
        <v>9400009090</v>
      </c>
      <c r="C1203" s="10">
        <v>46168</v>
      </c>
      <c r="D1203" t="s">
        <v>2032</v>
      </c>
      <c r="E1203" s="11">
        <v>18580501</v>
      </c>
      <c r="F1203" t="s">
        <v>987</v>
      </c>
      <c r="G1203" t="s">
        <v>988</v>
      </c>
      <c r="H1203" s="10">
        <v>46213</v>
      </c>
      <c r="I1203">
        <v>11283.16</v>
      </c>
      <c r="J1203">
        <v>0</v>
      </c>
      <c r="K1203">
        <v>11283.16</v>
      </c>
    </row>
    <row r="1204" spans="1:11" x14ac:dyDescent="0.35">
      <c r="A1204">
        <v>2710000620</v>
      </c>
      <c r="B1204">
        <v>9400009087</v>
      </c>
      <c r="C1204" s="10">
        <v>46168</v>
      </c>
      <c r="D1204" t="s">
        <v>2032</v>
      </c>
      <c r="E1204" s="11">
        <v>18798180</v>
      </c>
      <c r="F1204" t="s">
        <v>755</v>
      </c>
      <c r="G1204" t="s">
        <v>756</v>
      </c>
      <c r="H1204" s="10">
        <v>46213</v>
      </c>
      <c r="I1204">
        <v>1037.57</v>
      </c>
      <c r="J1204">
        <v>0</v>
      </c>
      <c r="K1204">
        <v>1037.57</v>
      </c>
    </row>
    <row r="1205" spans="1:11" x14ac:dyDescent="0.35">
      <c r="A1205">
        <v>2710000619</v>
      </c>
      <c r="B1205">
        <v>9400009086</v>
      </c>
      <c r="C1205" s="10">
        <v>46168</v>
      </c>
      <c r="D1205" t="s">
        <v>2032</v>
      </c>
      <c r="E1205" s="11">
        <v>18798180</v>
      </c>
      <c r="F1205" t="s">
        <v>755</v>
      </c>
      <c r="G1205" t="s">
        <v>756</v>
      </c>
      <c r="H1205" s="10">
        <v>46182</v>
      </c>
      <c r="I1205">
        <v>37042.559999999998</v>
      </c>
      <c r="J1205">
        <v>0</v>
      </c>
      <c r="K1205">
        <v>37042.559999999998</v>
      </c>
    </row>
    <row r="1206" spans="1:11" x14ac:dyDescent="0.35">
      <c r="A1206">
        <v>5100000547</v>
      </c>
      <c r="B1206">
        <v>9400009083</v>
      </c>
      <c r="C1206" s="10">
        <v>46168</v>
      </c>
      <c r="D1206" t="s">
        <v>2032</v>
      </c>
      <c r="E1206" s="11">
        <v>18798492</v>
      </c>
      <c r="F1206" t="s">
        <v>3531</v>
      </c>
      <c r="G1206" t="s">
        <v>3532</v>
      </c>
      <c r="H1206" s="10">
        <v>46213</v>
      </c>
      <c r="I1206">
        <v>41502.959999999999</v>
      </c>
      <c r="J1206">
        <v>0</v>
      </c>
      <c r="K1206">
        <v>41502.959999999999</v>
      </c>
    </row>
    <row r="1207" spans="1:11" x14ac:dyDescent="0.35">
      <c r="A1207">
        <v>9200000550</v>
      </c>
      <c r="B1207">
        <v>9400009082</v>
      </c>
      <c r="C1207" s="10">
        <v>46168</v>
      </c>
      <c r="D1207" t="s">
        <v>2032</v>
      </c>
      <c r="E1207" s="11">
        <v>18798314</v>
      </c>
      <c r="F1207" t="s">
        <v>977</v>
      </c>
      <c r="G1207" t="s">
        <v>978</v>
      </c>
      <c r="H1207" s="10">
        <v>46213</v>
      </c>
      <c r="I1207">
        <v>31148.46</v>
      </c>
      <c r="J1207">
        <v>0</v>
      </c>
      <c r="K1207">
        <v>31148.46</v>
      </c>
    </row>
    <row r="1208" spans="1:11" x14ac:dyDescent="0.35">
      <c r="A1208">
        <v>5100000546</v>
      </c>
      <c r="B1208">
        <v>9400009081</v>
      </c>
      <c r="C1208" s="10">
        <v>46168</v>
      </c>
      <c r="D1208" t="s">
        <v>2032</v>
      </c>
      <c r="E1208" s="11">
        <v>18798287</v>
      </c>
      <c r="F1208" t="s">
        <v>485</v>
      </c>
      <c r="G1208" t="s">
        <v>486</v>
      </c>
      <c r="H1208" s="10">
        <v>46213</v>
      </c>
      <c r="I1208">
        <v>27220.240000000002</v>
      </c>
      <c r="J1208">
        <v>0</v>
      </c>
      <c r="K1208">
        <v>27220.240000000002</v>
      </c>
    </row>
    <row r="1209" spans="1:11" x14ac:dyDescent="0.35">
      <c r="A1209">
        <v>2710000615</v>
      </c>
      <c r="B1209">
        <v>9400009073</v>
      </c>
      <c r="C1209" s="10">
        <v>46168</v>
      </c>
      <c r="D1209" t="s">
        <v>2032</v>
      </c>
      <c r="E1209" s="11">
        <v>417</v>
      </c>
      <c r="F1209" t="s">
        <v>791</v>
      </c>
      <c r="G1209" t="s">
        <v>792</v>
      </c>
      <c r="H1209" s="10">
        <v>46182</v>
      </c>
      <c r="I1209">
        <v>54.1</v>
      </c>
      <c r="J1209">
        <v>0</v>
      </c>
      <c r="K1209">
        <v>54.1</v>
      </c>
    </row>
    <row r="1210" spans="1:11" x14ac:dyDescent="0.35">
      <c r="A1210">
        <v>2710000614</v>
      </c>
      <c r="B1210">
        <v>9400009070</v>
      </c>
      <c r="C1210" s="10">
        <v>46168</v>
      </c>
      <c r="D1210" t="s">
        <v>2032</v>
      </c>
      <c r="E1210" s="11">
        <v>18765838</v>
      </c>
      <c r="F1210" t="s">
        <v>791</v>
      </c>
      <c r="G1210" t="s">
        <v>792</v>
      </c>
      <c r="H1210" s="10">
        <v>46182</v>
      </c>
      <c r="I1210">
        <v>22592.6</v>
      </c>
      <c r="J1210">
        <v>0</v>
      </c>
      <c r="K1210">
        <v>22592.6</v>
      </c>
    </row>
    <row r="1211" spans="1:11" x14ac:dyDescent="0.35">
      <c r="A1211">
        <v>5100000545</v>
      </c>
      <c r="B1211">
        <v>9400009069</v>
      </c>
      <c r="C1211" s="10">
        <v>46168</v>
      </c>
      <c r="D1211" t="s">
        <v>2032</v>
      </c>
      <c r="E1211" s="11" t="s">
        <v>379</v>
      </c>
      <c r="F1211" t="s">
        <v>379</v>
      </c>
      <c r="G1211" t="s">
        <v>380</v>
      </c>
      <c r="H1211" s="10">
        <v>46213</v>
      </c>
      <c r="I1211">
        <v>31253.96</v>
      </c>
      <c r="J1211">
        <v>0</v>
      </c>
      <c r="K1211">
        <v>31253.96</v>
      </c>
    </row>
    <row r="1212" spans="1:11" x14ac:dyDescent="0.35">
      <c r="A1212">
        <v>5200000256</v>
      </c>
      <c r="B1212">
        <v>9400009067</v>
      </c>
      <c r="C1212" s="10">
        <v>46168</v>
      </c>
      <c r="D1212" t="s">
        <v>2032</v>
      </c>
      <c r="E1212" s="11">
        <v>18798148</v>
      </c>
      <c r="F1212" t="s">
        <v>276</v>
      </c>
      <c r="G1212" t="s">
        <v>277</v>
      </c>
      <c r="H1212" s="10">
        <v>46182</v>
      </c>
      <c r="I1212">
        <v>283697.96000000002</v>
      </c>
      <c r="J1212">
        <v>0</v>
      </c>
      <c r="K1212">
        <v>283697.96000000002</v>
      </c>
    </row>
    <row r="1213" spans="1:11" x14ac:dyDescent="0.35">
      <c r="A1213">
        <v>9300000455</v>
      </c>
      <c r="B1213">
        <v>9400009065</v>
      </c>
      <c r="C1213" s="10">
        <v>46168</v>
      </c>
      <c r="D1213" t="s">
        <v>2032</v>
      </c>
      <c r="E1213" s="11">
        <v>18797836</v>
      </c>
      <c r="F1213" t="s">
        <v>913</v>
      </c>
      <c r="G1213" t="s">
        <v>914</v>
      </c>
      <c r="H1213" s="10">
        <v>46168</v>
      </c>
      <c r="I1213">
        <v>43231.3</v>
      </c>
      <c r="J1213">
        <v>42983.85</v>
      </c>
      <c r="K1213">
        <v>247.45000000000437</v>
      </c>
    </row>
    <row r="1214" spans="1:11" x14ac:dyDescent="0.35">
      <c r="A1214">
        <v>2730000418</v>
      </c>
      <c r="B1214">
        <v>9400009063</v>
      </c>
      <c r="C1214" s="10">
        <v>46168</v>
      </c>
      <c r="D1214" t="s">
        <v>2032</v>
      </c>
      <c r="E1214" s="11">
        <v>18797071</v>
      </c>
      <c r="F1214" t="s">
        <v>523</v>
      </c>
      <c r="G1214" t="s">
        <v>524</v>
      </c>
      <c r="H1214" s="10">
        <v>46213</v>
      </c>
      <c r="I1214">
        <v>31406.54</v>
      </c>
      <c r="J1214">
        <v>0</v>
      </c>
      <c r="K1214">
        <v>31406.54</v>
      </c>
    </row>
    <row r="1215" spans="1:11" x14ac:dyDescent="0.35">
      <c r="A1215">
        <v>2720000285</v>
      </c>
      <c r="B1215">
        <v>9400009062</v>
      </c>
      <c r="C1215" s="10">
        <v>46168</v>
      </c>
      <c r="D1215" t="s">
        <v>2032</v>
      </c>
      <c r="E1215" s="11">
        <v>18798395</v>
      </c>
      <c r="F1215" t="s">
        <v>1237</v>
      </c>
      <c r="G1215" t="s">
        <v>1238</v>
      </c>
      <c r="H1215" s="10">
        <v>46213</v>
      </c>
      <c r="I1215">
        <v>35264.519999999997</v>
      </c>
      <c r="J1215">
        <v>0</v>
      </c>
      <c r="K1215">
        <v>35264.519999999997</v>
      </c>
    </row>
    <row r="1216" spans="1:11" x14ac:dyDescent="0.35">
      <c r="A1216">
        <v>2300000397</v>
      </c>
      <c r="B1216">
        <v>9400009052</v>
      </c>
      <c r="C1216" s="10">
        <v>46168</v>
      </c>
      <c r="D1216" t="s">
        <v>2032</v>
      </c>
      <c r="E1216" s="11">
        <v>18798364</v>
      </c>
      <c r="F1216" t="s">
        <v>37</v>
      </c>
      <c r="G1216" t="s">
        <v>38</v>
      </c>
      <c r="H1216" s="10">
        <v>46213</v>
      </c>
      <c r="I1216">
        <v>102894.2</v>
      </c>
      <c r="J1216">
        <v>0</v>
      </c>
      <c r="K1216">
        <v>102894.2</v>
      </c>
    </row>
    <row r="1217" spans="1:11" x14ac:dyDescent="0.35">
      <c r="A1217">
        <v>2720000283</v>
      </c>
      <c r="B1217">
        <v>9400009047</v>
      </c>
      <c r="C1217" s="10">
        <v>46168</v>
      </c>
      <c r="D1217" t="s">
        <v>2032</v>
      </c>
      <c r="E1217" s="11">
        <v>18798249</v>
      </c>
      <c r="F1217" t="s">
        <v>261</v>
      </c>
      <c r="G1217" t="s">
        <v>262</v>
      </c>
      <c r="H1217" s="10">
        <v>46213</v>
      </c>
      <c r="I1217">
        <v>19676.46</v>
      </c>
      <c r="J1217">
        <v>0</v>
      </c>
      <c r="K1217">
        <v>19676.46</v>
      </c>
    </row>
    <row r="1218" spans="1:11" x14ac:dyDescent="0.35">
      <c r="A1218">
        <v>9100000786</v>
      </c>
      <c r="B1218">
        <v>9400009046</v>
      </c>
      <c r="C1218" s="10">
        <v>46168</v>
      </c>
      <c r="D1218" t="s">
        <v>2032</v>
      </c>
      <c r="E1218" s="11">
        <v>18798132</v>
      </c>
      <c r="F1218" t="s">
        <v>3645</v>
      </c>
      <c r="G1218" t="s">
        <v>3646</v>
      </c>
      <c r="H1218" s="10">
        <v>46168</v>
      </c>
      <c r="I1218">
        <v>18313.560000000001</v>
      </c>
      <c r="J1218">
        <v>16891.18</v>
      </c>
      <c r="K1218">
        <v>1422.380000000001</v>
      </c>
    </row>
    <row r="1219" spans="1:11" x14ac:dyDescent="0.35">
      <c r="A1219">
        <v>2730000417</v>
      </c>
      <c r="B1219">
        <v>9400009045</v>
      </c>
      <c r="C1219" s="10">
        <v>46168</v>
      </c>
      <c r="D1219" t="s">
        <v>2032</v>
      </c>
      <c r="E1219" s="11">
        <v>18797935</v>
      </c>
      <c r="F1219" t="s">
        <v>671</v>
      </c>
      <c r="G1219" t="s">
        <v>672</v>
      </c>
      <c r="H1219" s="10">
        <v>46213</v>
      </c>
      <c r="I1219">
        <v>41120.639999999999</v>
      </c>
      <c r="J1219">
        <v>0</v>
      </c>
      <c r="K1219">
        <v>41120.639999999999</v>
      </c>
    </row>
    <row r="1220" spans="1:11" x14ac:dyDescent="0.35">
      <c r="A1220">
        <v>2720000282</v>
      </c>
      <c r="B1220">
        <v>9400009044</v>
      </c>
      <c r="C1220" s="10">
        <v>46168</v>
      </c>
      <c r="D1220" t="s">
        <v>2032</v>
      </c>
      <c r="E1220" s="11">
        <v>18798249</v>
      </c>
      <c r="F1220" t="s">
        <v>261</v>
      </c>
      <c r="G1220" t="s">
        <v>262</v>
      </c>
      <c r="H1220" s="10">
        <v>46182</v>
      </c>
      <c r="I1220">
        <v>24751.200000000001</v>
      </c>
      <c r="J1220">
        <v>0</v>
      </c>
      <c r="K1220">
        <v>24751.200000000001</v>
      </c>
    </row>
    <row r="1221" spans="1:11" x14ac:dyDescent="0.35">
      <c r="A1221">
        <v>2730000416</v>
      </c>
      <c r="B1221">
        <v>9400009042</v>
      </c>
      <c r="C1221" s="10">
        <v>46168</v>
      </c>
      <c r="D1221" t="s">
        <v>2032</v>
      </c>
      <c r="E1221" s="11">
        <v>18797935</v>
      </c>
      <c r="F1221" t="s">
        <v>671</v>
      </c>
      <c r="G1221" t="s">
        <v>672</v>
      </c>
      <c r="H1221" s="10">
        <v>46182</v>
      </c>
      <c r="I1221">
        <v>37611.32</v>
      </c>
      <c r="J1221">
        <v>0</v>
      </c>
      <c r="K1221">
        <v>37611.32</v>
      </c>
    </row>
    <row r="1222" spans="1:11" x14ac:dyDescent="0.35">
      <c r="A1222">
        <v>2720000281</v>
      </c>
      <c r="B1222">
        <v>9400009021</v>
      </c>
      <c r="C1222" s="10">
        <v>46168</v>
      </c>
      <c r="D1222" t="s">
        <v>2032</v>
      </c>
      <c r="E1222" s="11">
        <v>18798087</v>
      </c>
      <c r="F1222" t="s">
        <v>1041</v>
      </c>
      <c r="G1222" t="s">
        <v>1042</v>
      </c>
      <c r="H1222" s="10">
        <v>46213</v>
      </c>
      <c r="I1222">
        <v>272174.71999999997</v>
      </c>
      <c r="J1222">
        <v>0</v>
      </c>
      <c r="K1222">
        <v>272174.71999999997</v>
      </c>
    </row>
    <row r="1223" spans="1:11" x14ac:dyDescent="0.35">
      <c r="A1223">
        <v>2720000280</v>
      </c>
      <c r="B1223">
        <v>9400009011</v>
      </c>
      <c r="C1223" s="10">
        <v>46168</v>
      </c>
      <c r="D1223" t="s">
        <v>2032</v>
      </c>
      <c r="E1223" s="11">
        <v>18798087</v>
      </c>
      <c r="F1223" t="s">
        <v>1041</v>
      </c>
      <c r="G1223" t="s">
        <v>1042</v>
      </c>
      <c r="H1223" s="10">
        <v>46182</v>
      </c>
      <c r="I1223">
        <v>194169</v>
      </c>
      <c r="J1223">
        <v>0</v>
      </c>
      <c r="K1223">
        <v>194169</v>
      </c>
    </row>
    <row r="1224" spans="1:11" x14ac:dyDescent="0.35">
      <c r="A1224">
        <v>2720000279</v>
      </c>
      <c r="B1224">
        <v>9400009006</v>
      </c>
      <c r="C1224" s="10">
        <v>46168</v>
      </c>
      <c r="D1224" t="s">
        <v>2032</v>
      </c>
      <c r="E1224" s="11">
        <v>18798193</v>
      </c>
      <c r="F1224" t="s">
        <v>146</v>
      </c>
      <c r="G1224" t="s">
        <v>147</v>
      </c>
      <c r="H1224" s="10">
        <v>46213</v>
      </c>
      <c r="I1224">
        <v>411206.40000000002</v>
      </c>
      <c r="J1224">
        <v>0</v>
      </c>
      <c r="K1224">
        <v>411206.40000000002</v>
      </c>
    </row>
    <row r="1225" spans="1:11" x14ac:dyDescent="0.35">
      <c r="A1225">
        <v>2720000278</v>
      </c>
      <c r="B1225">
        <v>9400008996</v>
      </c>
      <c r="C1225" s="10">
        <v>46168</v>
      </c>
      <c r="D1225" t="s">
        <v>2032</v>
      </c>
      <c r="E1225" s="11">
        <v>18786371</v>
      </c>
      <c r="F1225" t="s">
        <v>547</v>
      </c>
      <c r="G1225" t="s">
        <v>548</v>
      </c>
      <c r="H1225" s="10">
        <v>46213</v>
      </c>
      <c r="I1225">
        <v>235753.62</v>
      </c>
      <c r="J1225">
        <v>0</v>
      </c>
      <c r="K1225">
        <v>235753.62</v>
      </c>
    </row>
    <row r="1226" spans="1:11" x14ac:dyDescent="0.35">
      <c r="A1226">
        <v>2720000277</v>
      </c>
      <c r="B1226">
        <v>9400008994</v>
      </c>
      <c r="C1226" s="10">
        <v>46168</v>
      </c>
      <c r="D1226" t="s">
        <v>2032</v>
      </c>
      <c r="E1226" s="11">
        <v>18786371</v>
      </c>
      <c r="F1226" t="s">
        <v>547</v>
      </c>
      <c r="G1226" t="s">
        <v>548</v>
      </c>
      <c r="H1226" s="10">
        <v>46182</v>
      </c>
      <c r="I1226">
        <v>55687.040000000001</v>
      </c>
      <c r="J1226">
        <v>0</v>
      </c>
      <c r="K1226">
        <v>55687.040000000001</v>
      </c>
    </row>
    <row r="1227" spans="1:11" x14ac:dyDescent="0.35">
      <c r="A1227">
        <v>5200000255</v>
      </c>
      <c r="B1227">
        <v>9400008992</v>
      </c>
      <c r="C1227" s="10">
        <v>46168</v>
      </c>
      <c r="D1227" t="s">
        <v>2032</v>
      </c>
      <c r="E1227" s="11">
        <v>18786971</v>
      </c>
      <c r="F1227" t="s">
        <v>3575</v>
      </c>
      <c r="G1227" t="s">
        <v>3576</v>
      </c>
      <c r="H1227" s="10">
        <v>46182</v>
      </c>
      <c r="I1227">
        <v>156256.76</v>
      </c>
      <c r="J1227">
        <v>0</v>
      </c>
      <c r="K1227">
        <v>156256.76</v>
      </c>
    </row>
    <row r="1228" spans="1:11" x14ac:dyDescent="0.35">
      <c r="A1228">
        <v>3000000673</v>
      </c>
      <c r="B1228">
        <v>9400008991</v>
      </c>
      <c r="C1228" s="10">
        <v>46168</v>
      </c>
      <c r="D1228" t="s">
        <v>2032</v>
      </c>
      <c r="E1228" s="11">
        <v>18797843</v>
      </c>
      <c r="F1228" t="s">
        <v>3647</v>
      </c>
      <c r="G1228" t="s">
        <v>3648</v>
      </c>
      <c r="H1228" s="10">
        <v>46168</v>
      </c>
      <c r="I1228">
        <v>30607.38</v>
      </c>
      <c r="J1228">
        <v>27572.21</v>
      </c>
      <c r="K1228">
        <v>3035.1700000000019</v>
      </c>
    </row>
    <row r="1229" spans="1:11" x14ac:dyDescent="0.35">
      <c r="A1229">
        <v>2710000611</v>
      </c>
      <c r="B1229">
        <v>9400008984</v>
      </c>
      <c r="C1229" s="10">
        <v>46168</v>
      </c>
      <c r="D1229" t="s">
        <v>2032</v>
      </c>
      <c r="E1229" s="11">
        <v>18765589</v>
      </c>
      <c r="F1229" t="s">
        <v>767</v>
      </c>
      <c r="G1229" t="s">
        <v>768</v>
      </c>
      <c r="H1229" s="10">
        <v>46213</v>
      </c>
      <c r="I1229">
        <v>31127.22</v>
      </c>
      <c r="J1229">
        <v>0</v>
      </c>
      <c r="K1229">
        <v>31127.22</v>
      </c>
    </row>
    <row r="1230" spans="1:11" x14ac:dyDescent="0.35">
      <c r="A1230">
        <v>9100000776</v>
      </c>
      <c r="B1230">
        <v>9400008978</v>
      </c>
      <c r="C1230" s="10">
        <v>46168</v>
      </c>
      <c r="D1230" t="s">
        <v>2032</v>
      </c>
      <c r="E1230" s="11">
        <v>18786616</v>
      </c>
      <c r="F1230" t="s">
        <v>1219</v>
      </c>
      <c r="G1230" t="s">
        <v>1220</v>
      </c>
      <c r="H1230" s="10">
        <v>46213</v>
      </c>
      <c r="I1230">
        <v>102420.46</v>
      </c>
      <c r="J1230">
        <v>0</v>
      </c>
      <c r="K1230">
        <v>102420.46</v>
      </c>
    </row>
    <row r="1231" spans="1:11" x14ac:dyDescent="0.35">
      <c r="A1231">
        <v>5100000541</v>
      </c>
      <c r="B1231">
        <v>9400008974</v>
      </c>
      <c r="C1231" s="10">
        <v>46168</v>
      </c>
      <c r="D1231" t="s">
        <v>2032</v>
      </c>
      <c r="E1231" s="11">
        <v>18786864</v>
      </c>
      <c r="F1231" t="s">
        <v>211</v>
      </c>
      <c r="G1231" t="s">
        <v>212</v>
      </c>
      <c r="H1231" s="10">
        <v>46182</v>
      </c>
      <c r="I1231">
        <v>30160.799999999999</v>
      </c>
      <c r="J1231">
        <v>0</v>
      </c>
      <c r="K1231">
        <v>30160.799999999999</v>
      </c>
    </row>
    <row r="1232" spans="1:11" x14ac:dyDescent="0.35">
      <c r="A1232">
        <v>9100000775</v>
      </c>
      <c r="B1232">
        <v>9400008973</v>
      </c>
      <c r="C1232" s="10">
        <v>46168</v>
      </c>
      <c r="D1232" t="s">
        <v>2032</v>
      </c>
      <c r="E1232" s="11">
        <v>18786810</v>
      </c>
      <c r="F1232" t="s">
        <v>247</v>
      </c>
      <c r="G1232" t="s">
        <v>248</v>
      </c>
      <c r="H1232" s="10">
        <v>46213</v>
      </c>
      <c r="I1232">
        <v>4978.66</v>
      </c>
      <c r="J1232">
        <v>0</v>
      </c>
      <c r="K1232">
        <v>4978.66</v>
      </c>
    </row>
    <row r="1233" spans="1:11" x14ac:dyDescent="0.35">
      <c r="A1233">
        <v>9100000774</v>
      </c>
      <c r="B1233">
        <v>9400008972</v>
      </c>
      <c r="C1233" s="10">
        <v>46168</v>
      </c>
      <c r="D1233" t="s">
        <v>2032</v>
      </c>
      <c r="E1233" s="11">
        <v>18786810</v>
      </c>
      <c r="F1233" t="s">
        <v>247</v>
      </c>
      <c r="G1233" t="s">
        <v>248</v>
      </c>
      <c r="H1233" s="10">
        <v>46213</v>
      </c>
      <c r="I1233">
        <v>81353.440000000002</v>
      </c>
      <c r="J1233">
        <v>0</v>
      </c>
      <c r="K1233">
        <v>81353.440000000002</v>
      </c>
    </row>
    <row r="1234" spans="1:11" x14ac:dyDescent="0.35">
      <c r="A1234">
        <v>9100000772</v>
      </c>
      <c r="B1234">
        <v>9400008967</v>
      </c>
      <c r="C1234" s="10">
        <v>46168</v>
      </c>
      <c r="D1234" t="s">
        <v>2032</v>
      </c>
      <c r="E1234" s="11">
        <v>18797210</v>
      </c>
      <c r="F1234" t="s">
        <v>761</v>
      </c>
      <c r="G1234" t="s">
        <v>762</v>
      </c>
      <c r="H1234" s="10">
        <v>46168</v>
      </c>
      <c r="I1234">
        <v>47505.89</v>
      </c>
      <c r="J1234">
        <v>41922.050000000003</v>
      </c>
      <c r="K1234">
        <v>5583.8399999999965</v>
      </c>
    </row>
    <row r="1235" spans="1:11" x14ac:dyDescent="0.35">
      <c r="A1235">
        <v>5100000540</v>
      </c>
      <c r="B1235">
        <v>9400008956</v>
      </c>
      <c r="C1235" s="10">
        <v>46168</v>
      </c>
      <c r="D1235" t="s">
        <v>2032</v>
      </c>
      <c r="E1235" s="11">
        <v>18786796</v>
      </c>
      <c r="F1235" t="s">
        <v>3649</v>
      </c>
      <c r="G1235" t="s">
        <v>3650</v>
      </c>
      <c r="H1235" s="10">
        <v>46168</v>
      </c>
      <c r="I1235">
        <v>51073.34</v>
      </c>
      <c r="J1235">
        <v>50732.97</v>
      </c>
      <c r="K1235">
        <v>340.36999999999534</v>
      </c>
    </row>
    <row r="1236" spans="1:11" x14ac:dyDescent="0.35">
      <c r="B1236">
        <v>1400007399</v>
      </c>
      <c r="C1236" s="10">
        <v>46168</v>
      </c>
      <c r="D1236" t="s">
        <v>2037</v>
      </c>
      <c r="E1236" s="11"/>
      <c r="F1236" t="s">
        <v>3651</v>
      </c>
      <c r="G1236" t="s">
        <v>3652</v>
      </c>
      <c r="H1236" s="10">
        <v>46168</v>
      </c>
      <c r="I1236">
        <v>135631</v>
      </c>
      <c r="J1236">
        <v>1584.71</v>
      </c>
      <c r="K1236">
        <v>134046.29</v>
      </c>
    </row>
    <row r="1237" spans="1:11" x14ac:dyDescent="0.35">
      <c r="B1237">
        <v>1400006311</v>
      </c>
      <c r="C1237" s="10">
        <v>46168</v>
      </c>
      <c r="D1237" t="s">
        <v>2037</v>
      </c>
      <c r="E1237" s="11">
        <v>9300000034</v>
      </c>
      <c r="F1237" t="s">
        <v>284</v>
      </c>
      <c r="G1237" t="s">
        <v>285</v>
      </c>
      <c r="H1237" s="10">
        <v>46167</v>
      </c>
      <c r="I1237">
        <v>46111</v>
      </c>
      <c r="J1237">
        <v>0</v>
      </c>
      <c r="K1237">
        <v>46111</v>
      </c>
    </row>
    <row r="1238" spans="1:11" x14ac:dyDescent="0.35">
      <c r="A1238">
        <v>5100000539</v>
      </c>
      <c r="B1238">
        <v>9400008938</v>
      </c>
      <c r="C1238" s="10">
        <v>46167</v>
      </c>
      <c r="D1238" t="s">
        <v>2032</v>
      </c>
      <c r="E1238" s="11">
        <v>18754453</v>
      </c>
      <c r="F1238" t="s">
        <v>715</v>
      </c>
      <c r="G1238" t="s">
        <v>716</v>
      </c>
      <c r="H1238" s="10">
        <v>46212</v>
      </c>
      <c r="I1238">
        <v>314998.28000000003</v>
      </c>
      <c r="J1238">
        <v>0</v>
      </c>
      <c r="K1238">
        <v>314998.28000000003</v>
      </c>
    </row>
    <row r="1239" spans="1:11" x14ac:dyDescent="0.35">
      <c r="A1239">
        <v>5100000538</v>
      </c>
      <c r="B1239">
        <v>9400008934</v>
      </c>
      <c r="C1239" s="10">
        <v>46167</v>
      </c>
      <c r="D1239" t="s">
        <v>2032</v>
      </c>
      <c r="E1239" s="11">
        <v>18754453</v>
      </c>
      <c r="F1239" t="s">
        <v>715</v>
      </c>
      <c r="G1239" t="s">
        <v>716</v>
      </c>
      <c r="H1239" s="10">
        <v>46181</v>
      </c>
      <c r="I1239">
        <v>206728.92</v>
      </c>
      <c r="J1239">
        <v>0</v>
      </c>
      <c r="K1239">
        <v>206728.92</v>
      </c>
    </row>
    <row r="1240" spans="1:11" x14ac:dyDescent="0.35">
      <c r="A1240">
        <v>2730000411</v>
      </c>
      <c r="B1240">
        <v>9400008933</v>
      </c>
      <c r="C1240" s="10">
        <v>46167</v>
      </c>
      <c r="D1240" t="s">
        <v>2032</v>
      </c>
      <c r="E1240" s="11">
        <v>18797071</v>
      </c>
      <c r="F1240" t="s">
        <v>523</v>
      </c>
      <c r="G1240" t="s">
        <v>524</v>
      </c>
      <c r="H1240" s="10">
        <v>46181</v>
      </c>
      <c r="I1240">
        <v>73838.740000000005</v>
      </c>
      <c r="J1240">
        <v>0</v>
      </c>
      <c r="K1240">
        <v>73838.740000000005</v>
      </c>
    </row>
    <row r="1241" spans="1:11" x14ac:dyDescent="0.35">
      <c r="A1241">
        <v>2300000391</v>
      </c>
      <c r="B1241">
        <v>9400008928</v>
      </c>
      <c r="C1241" s="10">
        <v>46167</v>
      </c>
      <c r="D1241" t="s">
        <v>2032</v>
      </c>
      <c r="E1241" s="11">
        <v>18797173</v>
      </c>
      <c r="F1241" t="s">
        <v>3583</v>
      </c>
      <c r="G1241" t="s">
        <v>3584</v>
      </c>
      <c r="H1241" s="10">
        <v>46212</v>
      </c>
      <c r="I1241">
        <v>257666.99</v>
      </c>
      <c r="J1241">
        <v>0</v>
      </c>
      <c r="K1241">
        <v>257666.99</v>
      </c>
    </row>
    <row r="1242" spans="1:11" x14ac:dyDescent="0.35">
      <c r="A1242">
        <v>9100000764</v>
      </c>
      <c r="B1242">
        <v>9400008919</v>
      </c>
      <c r="C1242" s="10">
        <v>46167</v>
      </c>
      <c r="D1242" t="s">
        <v>2032</v>
      </c>
      <c r="E1242" s="11">
        <v>18786449</v>
      </c>
      <c r="F1242" t="s">
        <v>56</v>
      </c>
      <c r="G1242" t="s">
        <v>57</v>
      </c>
      <c r="H1242" s="10">
        <v>46167</v>
      </c>
      <c r="I1242">
        <v>31559.8</v>
      </c>
      <c r="J1242">
        <v>29833.56</v>
      </c>
      <c r="K1242">
        <v>1726.239999999998</v>
      </c>
    </row>
    <row r="1243" spans="1:11" x14ac:dyDescent="0.35">
      <c r="A1243">
        <v>9300000452</v>
      </c>
      <c r="B1243">
        <v>9400008916</v>
      </c>
      <c r="C1243" s="10">
        <v>46167</v>
      </c>
      <c r="D1243" t="s">
        <v>2032</v>
      </c>
      <c r="E1243" s="11">
        <v>18754236</v>
      </c>
      <c r="F1243" t="s">
        <v>182</v>
      </c>
      <c r="G1243" t="s">
        <v>183</v>
      </c>
      <c r="H1243" s="10">
        <v>46212</v>
      </c>
      <c r="I1243">
        <v>181420.42</v>
      </c>
      <c r="J1243">
        <v>0</v>
      </c>
      <c r="K1243">
        <v>181420.42</v>
      </c>
    </row>
    <row r="1244" spans="1:11" x14ac:dyDescent="0.35">
      <c r="A1244">
        <v>2300000389</v>
      </c>
      <c r="B1244">
        <v>9400008915</v>
      </c>
      <c r="C1244" s="10">
        <v>46167</v>
      </c>
      <c r="D1244" t="s">
        <v>2032</v>
      </c>
      <c r="E1244" s="11">
        <v>18786942</v>
      </c>
      <c r="F1244" t="s">
        <v>655</v>
      </c>
      <c r="G1244" t="s">
        <v>656</v>
      </c>
      <c r="H1244" s="10">
        <v>46212</v>
      </c>
      <c r="I1244">
        <v>69856</v>
      </c>
      <c r="J1244">
        <v>0</v>
      </c>
      <c r="K1244">
        <v>69856</v>
      </c>
    </row>
    <row r="1245" spans="1:11" x14ac:dyDescent="0.35">
      <c r="A1245">
        <v>9100000763</v>
      </c>
      <c r="B1245">
        <v>9400008914</v>
      </c>
      <c r="C1245" s="10">
        <v>46167</v>
      </c>
      <c r="D1245" t="s">
        <v>2032</v>
      </c>
      <c r="E1245" s="11">
        <v>18786771</v>
      </c>
      <c r="F1245" t="s">
        <v>801</v>
      </c>
      <c r="G1245" t="s">
        <v>802</v>
      </c>
      <c r="H1245" s="10">
        <v>46167</v>
      </c>
      <c r="I1245">
        <v>77.489999999999995</v>
      </c>
      <c r="J1245">
        <v>0.28000000000000003</v>
      </c>
      <c r="K1245">
        <v>77.209999999999994</v>
      </c>
    </row>
    <row r="1246" spans="1:11" x14ac:dyDescent="0.35">
      <c r="A1246">
        <v>3000000670</v>
      </c>
      <c r="B1246">
        <v>9400008913</v>
      </c>
      <c r="C1246" s="10">
        <v>46167</v>
      </c>
      <c r="D1246" t="s">
        <v>2032</v>
      </c>
      <c r="E1246" s="11">
        <v>18786704</v>
      </c>
      <c r="F1246" t="s">
        <v>3653</v>
      </c>
      <c r="G1246" t="s">
        <v>3654</v>
      </c>
      <c r="H1246" s="10">
        <v>46167</v>
      </c>
      <c r="I1246">
        <v>54347.34</v>
      </c>
      <c r="J1246">
        <v>53517.15</v>
      </c>
      <c r="K1246">
        <v>830.18999999999505</v>
      </c>
    </row>
    <row r="1247" spans="1:11" x14ac:dyDescent="0.35">
      <c r="A1247">
        <v>9100000762</v>
      </c>
      <c r="B1247">
        <v>9400008912</v>
      </c>
      <c r="C1247" s="10">
        <v>46167</v>
      </c>
      <c r="D1247" t="s">
        <v>2032</v>
      </c>
      <c r="E1247" s="11">
        <v>18786771</v>
      </c>
      <c r="F1247" t="s">
        <v>801</v>
      </c>
      <c r="G1247" t="s">
        <v>802</v>
      </c>
      <c r="H1247" s="10">
        <v>46212</v>
      </c>
      <c r="I1247">
        <v>126817.45</v>
      </c>
      <c r="J1247">
        <v>0</v>
      </c>
      <c r="K1247">
        <v>126817.45</v>
      </c>
    </row>
    <row r="1248" spans="1:11" x14ac:dyDescent="0.35">
      <c r="A1248">
        <v>9300000451</v>
      </c>
      <c r="B1248">
        <v>9400008911</v>
      </c>
      <c r="C1248" s="10">
        <v>46167</v>
      </c>
      <c r="D1248" t="s">
        <v>2032</v>
      </c>
      <c r="E1248" s="11">
        <v>18786630</v>
      </c>
      <c r="F1248" t="s">
        <v>3655</v>
      </c>
      <c r="G1248" t="s">
        <v>3656</v>
      </c>
      <c r="H1248" s="10">
        <v>46212</v>
      </c>
      <c r="I1248">
        <v>37410.160000000003</v>
      </c>
      <c r="J1248">
        <v>0</v>
      </c>
      <c r="K1248">
        <v>37410.160000000003</v>
      </c>
    </row>
    <row r="1249" spans="1:11" x14ac:dyDescent="0.35">
      <c r="A1249">
        <v>9200000542</v>
      </c>
      <c r="B1249">
        <v>9400008910</v>
      </c>
      <c r="C1249" s="10">
        <v>46167</v>
      </c>
      <c r="D1249" t="s">
        <v>2032</v>
      </c>
      <c r="E1249" s="11">
        <v>18786478</v>
      </c>
      <c r="F1249" t="s">
        <v>891</v>
      </c>
      <c r="G1249" t="s">
        <v>892</v>
      </c>
      <c r="H1249" s="10">
        <v>46212</v>
      </c>
      <c r="I1249">
        <v>69856</v>
      </c>
      <c r="J1249">
        <v>0</v>
      </c>
      <c r="K1249">
        <v>69856</v>
      </c>
    </row>
    <row r="1250" spans="1:11" x14ac:dyDescent="0.35">
      <c r="A1250">
        <v>9200000541</v>
      </c>
      <c r="B1250">
        <v>9400008909</v>
      </c>
      <c r="C1250" s="10">
        <v>46167</v>
      </c>
      <c r="D1250" t="s">
        <v>2032</v>
      </c>
      <c r="E1250" s="11">
        <v>18753401</v>
      </c>
      <c r="F1250" t="s">
        <v>158</v>
      </c>
      <c r="G1250" t="s">
        <v>159</v>
      </c>
      <c r="H1250" s="10">
        <v>46212</v>
      </c>
      <c r="I1250">
        <v>69263.88</v>
      </c>
      <c r="J1250">
        <v>0</v>
      </c>
      <c r="K1250">
        <v>69263.88</v>
      </c>
    </row>
    <row r="1251" spans="1:11" x14ac:dyDescent="0.35">
      <c r="A1251">
        <v>2720000274</v>
      </c>
      <c r="B1251">
        <v>9400008908</v>
      </c>
      <c r="C1251" s="10">
        <v>46167</v>
      </c>
      <c r="D1251" t="s">
        <v>2032</v>
      </c>
      <c r="E1251" s="11">
        <v>18797157</v>
      </c>
      <c r="F1251" t="s">
        <v>146</v>
      </c>
      <c r="G1251" t="s">
        <v>147</v>
      </c>
      <c r="H1251" s="10">
        <v>46212</v>
      </c>
      <c r="I1251">
        <v>69171.600000000006</v>
      </c>
      <c r="J1251">
        <v>0</v>
      </c>
      <c r="K1251">
        <v>69171.600000000006</v>
      </c>
    </row>
    <row r="1252" spans="1:11" x14ac:dyDescent="0.35">
      <c r="A1252">
        <v>9200000540</v>
      </c>
      <c r="B1252">
        <v>9400008906</v>
      </c>
      <c r="C1252" s="10">
        <v>46167</v>
      </c>
      <c r="D1252" t="s">
        <v>2032</v>
      </c>
      <c r="E1252" s="11">
        <v>18797192</v>
      </c>
      <c r="F1252" t="s">
        <v>635</v>
      </c>
      <c r="G1252" t="s">
        <v>636</v>
      </c>
      <c r="H1252" s="10">
        <v>46212</v>
      </c>
      <c r="I1252">
        <v>10047.120000000001</v>
      </c>
      <c r="J1252">
        <v>0</v>
      </c>
      <c r="K1252">
        <v>10047.120000000001</v>
      </c>
    </row>
    <row r="1253" spans="1:11" x14ac:dyDescent="0.35">
      <c r="A1253">
        <v>9200000539</v>
      </c>
      <c r="B1253">
        <v>9400008905</v>
      </c>
      <c r="C1253" s="10">
        <v>46167</v>
      </c>
      <c r="D1253" t="s">
        <v>2032</v>
      </c>
      <c r="E1253" s="11">
        <v>18797192</v>
      </c>
      <c r="F1253" t="s">
        <v>635</v>
      </c>
      <c r="G1253" t="s">
        <v>636</v>
      </c>
      <c r="H1253" s="10">
        <v>46181</v>
      </c>
      <c r="I1253">
        <v>48865.22</v>
      </c>
      <c r="J1253">
        <v>0</v>
      </c>
      <c r="K1253">
        <v>48865.22</v>
      </c>
    </row>
    <row r="1254" spans="1:11" x14ac:dyDescent="0.35">
      <c r="A1254">
        <v>2730000410</v>
      </c>
      <c r="B1254">
        <v>9400008902</v>
      </c>
      <c r="C1254" s="10">
        <v>46167</v>
      </c>
      <c r="D1254" t="s">
        <v>2032</v>
      </c>
      <c r="E1254" s="11">
        <v>18765627</v>
      </c>
      <c r="F1254" t="s">
        <v>120</v>
      </c>
      <c r="G1254" t="s">
        <v>121</v>
      </c>
      <c r="H1254" s="10">
        <v>46212</v>
      </c>
      <c r="I1254">
        <v>17292.900000000001</v>
      </c>
      <c r="J1254">
        <v>0</v>
      </c>
      <c r="K1254">
        <v>17292.900000000001</v>
      </c>
    </row>
    <row r="1255" spans="1:11" x14ac:dyDescent="0.35">
      <c r="A1255">
        <v>9200000537</v>
      </c>
      <c r="B1255">
        <v>9400008892</v>
      </c>
      <c r="C1255" s="10">
        <v>46167</v>
      </c>
      <c r="D1255" t="s">
        <v>2032</v>
      </c>
      <c r="E1255" s="11">
        <v>18786585</v>
      </c>
      <c r="F1255" t="s">
        <v>439</v>
      </c>
      <c r="G1255" t="s">
        <v>440</v>
      </c>
      <c r="H1255" s="10">
        <v>46212</v>
      </c>
      <c r="I1255">
        <v>200917.54</v>
      </c>
      <c r="J1255">
        <v>0</v>
      </c>
      <c r="K1255">
        <v>200917.54</v>
      </c>
    </row>
    <row r="1256" spans="1:11" x14ac:dyDescent="0.35">
      <c r="A1256">
        <v>9300000450</v>
      </c>
      <c r="B1256">
        <v>9400008891</v>
      </c>
      <c r="C1256" s="10">
        <v>46167</v>
      </c>
      <c r="D1256" t="s">
        <v>2032</v>
      </c>
      <c r="E1256" s="11">
        <v>18786630</v>
      </c>
      <c r="F1256" t="s">
        <v>20</v>
      </c>
      <c r="G1256" t="s">
        <v>21</v>
      </c>
      <c r="H1256" s="10">
        <v>46212</v>
      </c>
      <c r="I1256">
        <v>49253.86</v>
      </c>
      <c r="J1256">
        <v>0</v>
      </c>
      <c r="K1256">
        <v>49253.86</v>
      </c>
    </row>
    <row r="1257" spans="1:11" x14ac:dyDescent="0.35">
      <c r="A1257">
        <v>2300000388</v>
      </c>
      <c r="B1257">
        <v>9400008890</v>
      </c>
      <c r="C1257" s="10">
        <v>46167</v>
      </c>
      <c r="D1257" t="s">
        <v>2032</v>
      </c>
      <c r="E1257" s="11">
        <v>18797232</v>
      </c>
      <c r="F1257" t="s">
        <v>78</v>
      </c>
      <c r="G1257" t="s">
        <v>79</v>
      </c>
      <c r="H1257" s="10">
        <v>46212</v>
      </c>
      <c r="I1257">
        <v>34928</v>
      </c>
      <c r="J1257">
        <v>0</v>
      </c>
      <c r="K1257">
        <v>34928</v>
      </c>
    </row>
    <row r="1258" spans="1:11" x14ac:dyDescent="0.35">
      <c r="A1258">
        <v>2710000608</v>
      </c>
      <c r="B1258">
        <v>9400008887</v>
      </c>
      <c r="C1258" s="10">
        <v>46167</v>
      </c>
      <c r="D1258" t="s">
        <v>2032</v>
      </c>
      <c r="E1258" s="11">
        <v>18797067</v>
      </c>
      <c r="F1258" t="s">
        <v>579</v>
      </c>
      <c r="G1258" t="s">
        <v>580</v>
      </c>
      <c r="H1258" s="10">
        <v>46181</v>
      </c>
      <c r="I1258">
        <v>41758.239999999998</v>
      </c>
      <c r="J1258">
        <v>0</v>
      </c>
      <c r="K1258">
        <v>41758.239999999998</v>
      </c>
    </row>
    <row r="1259" spans="1:11" x14ac:dyDescent="0.35">
      <c r="A1259">
        <v>9300000449</v>
      </c>
      <c r="B1259">
        <v>9400008886</v>
      </c>
      <c r="C1259" s="10">
        <v>46167</v>
      </c>
      <c r="D1259" t="s">
        <v>2032</v>
      </c>
      <c r="E1259" s="11">
        <v>18786630</v>
      </c>
      <c r="F1259" t="s">
        <v>877</v>
      </c>
      <c r="G1259" t="s">
        <v>878</v>
      </c>
      <c r="H1259" s="10">
        <v>46212</v>
      </c>
      <c r="I1259">
        <v>23711.98</v>
      </c>
      <c r="J1259">
        <v>0</v>
      </c>
      <c r="K1259">
        <v>23711.98</v>
      </c>
    </row>
    <row r="1260" spans="1:11" x14ac:dyDescent="0.35">
      <c r="A1260">
        <v>2720000272</v>
      </c>
      <c r="B1260">
        <v>9400008883</v>
      </c>
      <c r="C1260" s="10">
        <v>46167</v>
      </c>
      <c r="D1260" t="s">
        <v>2032</v>
      </c>
      <c r="E1260" s="11">
        <v>18786927</v>
      </c>
      <c r="F1260" t="s">
        <v>837</v>
      </c>
      <c r="G1260" t="s">
        <v>838</v>
      </c>
      <c r="H1260" s="10">
        <v>46181</v>
      </c>
      <c r="I1260">
        <v>30585.599999999999</v>
      </c>
      <c r="J1260">
        <v>0</v>
      </c>
      <c r="K1260">
        <v>30585.599999999999</v>
      </c>
    </row>
    <row r="1261" spans="1:11" x14ac:dyDescent="0.35">
      <c r="A1261">
        <v>2720000271</v>
      </c>
      <c r="B1261">
        <v>9400008880</v>
      </c>
      <c r="C1261" s="10">
        <v>46167</v>
      </c>
      <c r="D1261" t="s">
        <v>2032</v>
      </c>
      <c r="E1261" s="11">
        <v>18786927</v>
      </c>
      <c r="F1261" t="s">
        <v>837</v>
      </c>
      <c r="G1261" t="s">
        <v>838</v>
      </c>
      <c r="H1261" s="10">
        <v>46212</v>
      </c>
      <c r="I1261">
        <v>21563.32</v>
      </c>
      <c r="J1261">
        <v>0</v>
      </c>
      <c r="K1261">
        <v>21563.32</v>
      </c>
    </row>
    <row r="1262" spans="1:11" x14ac:dyDescent="0.35">
      <c r="A1262">
        <v>2300000385</v>
      </c>
      <c r="B1262">
        <v>9400008877</v>
      </c>
      <c r="C1262" s="10">
        <v>46167</v>
      </c>
      <c r="D1262" t="s">
        <v>2032</v>
      </c>
      <c r="E1262" s="11">
        <v>18797199</v>
      </c>
      <c r="F1262" t="s">
        <v>655</v>
      </c>
      <c r="G1262" t="s">
        <v>656</v>
      </c>
      <c r="H1262" s="10">
        <v>46212</v>
      </c>
      <c r="I1262">
        <v>103828.2</v>
      </c>
      <c r="J1262">
        <v>0</v>
      </c>
      <c r="K1262">
        <v>103828.2</v>
      </c>
    </row>
    <row r="1263" spans="1:11" x14ac:dyDescent="0.35">
      <c r="A1263">
        <v>2720000270</v>
      </c>
      <c r="B1263">
        <v>9400008876</v>
      </c>
      <c r="C1263" s="10">
        <v>46167</v>
      </c>
      <c r="D1263" t="s">
        <v>2032</v>
      </c>
      <c r="E1263" s="11">
        <v>18786648</v>
      </c>
      <c r="F1263" t="s">
        <v>146</v>
      </c>
      <c r="G1263" t="s">
        <v>147</v>
      </c>
      <c r="H1263" s="10">
        <v>46174</v>
      </c>
      <c r="I1263">
        <v>164425.92000000001</v>
      </c>
      <c r="J1263">
        <v>0</v>
      </c>
      <c r="K1263">
        <v>164425.92000000001</v>
      </c>
    </row>
    <row r="1264" spans="1:11" x14ac:dyDescent="0.35">
      <c r="A1264">
        <v>2300000384</v>
      </c>
      <c r="B1264">
        <v>9400008873</v>
      </c>
      <c r="C1264" s="10">
        <v>46167</v>
      </c>
      <c r="D1264" t="s">
        <v>2032</v>
      </c>
      <c r="E1264" s="11">
        <v>18786818</v>
      </c>
      <c r="F1264" t="s">
        <v>697</v>
      </c>
      <c r="G1264" t="s">
        <v>698</v>
      </c>
      <c r="H1264" s="10">
        <v>46181</v>
      </c>
      <c r="I1264">
        <v>68022.460000000006</v>
      </c>
      <c r="J1264">
        <v>0</v>
      </c>
      <c r="K1264">
        <v>68022.460000000006</v>
      </c>
    </row>
    <row r="1265" spans="1:11" x14ac:dyDescent="0.35">
      <c r="A1265">
        <v>2720000269</v>
      </c>
      <c r="B1265">
        <v>9400008872</v>
      </c>
      <c r="C1265" s="10">
        <v>46167</v>
      </c>
      <c r="D1265" t="s">
        <v>2032</v>
      </c>
      <c r="E1265" s="11">
        <v>18786625</v>
      </c>
      <c r="F1265" t="s">
        <v>146</v>
      </c>
      <c r="G1265" t="s">
        <v>147</v>
      </c>
      <c r="H1265" s="10">
        <v>46212</v>
      </c>
      <c r="I1265">
        <v>205603.20000000001</v>
      </c>
      <c r="J1265">
        <v>0</v>
      </c>
      <c r="K1265">
        <v>205603.20000000001</v>
      </c>
    </row>
    <row r="1266" spans="1:11" x14ac:dyDescent="0.35">
      <c r="A1266">
        <v>9100000755</v>
      </c>
      <c r="B1266">
        <v>9400008871</v>
      </c>
      <c r="C1266" s="10">
        <v>46167</v>
      </c>
      <c r="D1266" t="s">
        <v>2032</v>
      </c>
      <c r="E1266" s="11">
        <v>18765468</v>
      </c>
      <c r="F1266" t="s">
        <v>282</v>
      </c>
      <c r="G1266" t="s">
        <v>283</v>
      </c>
      <c r="H1266" s="10">
        <v>46212</v>
      </c>
      <c r="I1266">
        <v>46508.98</v>
      </c>
      <c r="J1266">
        <v>0</v>
      </c>
      <c r="K1266">
        <v>46508.98</v>
      </c>
    </row>
    <row r="1267" spans="1:11" x14ac:dyDescent="0.35">
      <c r="A1267">
        <v>2300000383</v>
      </c>
      <c r="B1267">
        <v>9400008867</v>
      </c>
      <c r="C1267" s="10">
        <v>46167</v>
      </c>
      <c r="D1267" t="s">
        <v>2032</v>
      </c>
      <c r="E1267" s="11">
        <v>18786680</v>
      </c>
      <c r="F1267" t="s">
        <v>461</v>
      </c>
      <c r="G1267" t="s">
        <v>462</v>
      </c>
      <c r="H1267" s="10">
        <v>46212</v>
      </c>
      <c r="I1267">
        <v>29334.799999999999</v>
      </c>
      <c r="J1267">
        <v>0</v>
      </c>
      <c r="K1267">
        <v>29334.799999999999</v>
      </c>
    </row>
    <row r="1268" spans="1:11" x14ac:dyDescent="0.35">
      <c r="A1268">
        <v>3000000662</v>
      </c>
      <c r="B1268">
        <v>9400008859</v>
      </c>
      <c r="C1268" s="10">
        <v>46167</v>
      </c>
      <c r="D1268" t="s">
        <v>2032</v>
      </c>
      <c r="E1268" s="11">
        <v>18786870</v>
      </c>
      <c r="F1268" t="s">
        <v>3571</v>
      </c>
      <c r="G1268" t="s">
        <v>3572</v>
      </c>
      <c r="H1268" s="10">
        <v>46167</v>
      </c>
      <c r="I1268">
        <v>9389.52</v>
      </c>
      <c r="J1268">
        <v>8080.77</v>
      </c>
      <c r="K1268">
        <v>1308.75</v>
      </c>
    </row>
    <row r="1269" spans="1:11" x14ac:dyDescent="0.35">
      <c r="A1269">
        <v>9100000750</v>
      </c>
      <c r="B1269">
        <v>9400008853</v>
      </c>
      <c r="C1269" s="10">
        <v>46167</v>
      </c>
      <c r="D1269" t="s">
        <v>2032</v>
      </c>
      <c r="E1269" s="11">
        <v>18786363</v>
      </c>
      <c r="F1269" t="s">
        <v>235</v>
      </c>
      <c r="G1269" t="s">
        <v>236</v>
      </c>
      <c r="H1269" s="10">
        <v>46181</v>
      </c>
      <c r="I1269">
        <v>63156.2</v>
      </c>
      <c r="J1269">
        <v>0</v>
      </c>
      <c r="K1269">
        <v>63156.2</v>
      </c>
    </row>
    <row r="1270" spans="1:11" x14ac:dyDescent="0.35">
      <c r="A1270">
        <v>9300000447</v>
      </c>
      <c r="B1270">
        <v>9400008851</v>
      </c>
      <c r="C1270" s="10">
        <v>46167</v>
      </c>
      <c r="D1270" t="s">
        <v>2032</v>
      </c>
      <c r="E1270" s="11">
        <v>18526000</v>
      </c>
      <c r="F1270" t="s">
        <v>1213</v>
      </c>
      <c r="G1270" t="s">
        <v>1214</v>
      </c>
      <c r="H1270" s="10">
        <v>46212</v>
      </c>
      <c r="I1270">
        <v>87918.98</v>
      </c>
      <c r="J1270">
        <v>0</v>
      </c>
      <c r="K1270">
        <v>87918.98</v>
      </c>
    </row>
    <row r="1271" spans="1:11" x14ac:dyDescent="0.35">
      <c r="A1271">
        <v>2300000382</v>
      </c>
      <c r="B1271">
        <v>9400008844</v>
      </c>
      <c r="C1271" s="10">
        <v>46167</v>
      </c>
      <c r="D1271" t="s">
        <v>2032</v>
      </c>
      <c r="E1271" s="11">
        <v>18786692</v>
      </c>
      <c r="F1271" t="s">
        <v>717</v>
      </c>
      <c r="G1271" t="s">
        <v>718</v>
      </c>
      <c r="H1271" s="10">
        <v>46212</v>
      </c>
      <c r="I1271">
        <v>12197.3</v>
      </c>
      <c r="J1271">
        <v>0</v>
      </c>
      <c r="K1271">
        <v>12197.3</v>
      </c>
    </row>
    <row r="1272" spans="1:11" x14ac:dyDescent="0.35">
      <c r="A1272">
        <v>3000000660</v>
      </c>
      <c r="B1272">
        <v>9400008843</v>
      </c>
      <c r="C1272" s="10">
        <v>46167</v>
      </c>
      <c r="D1272" t="s">
        <v>2032</v>
      </c>
      <c r="E1272" s="11">
        <v>18786858</v>
      </c>
      <c r="F1272" t="s">
        <v>237</v>
      </c>
      <c r="G1272" t="s">
        <v>238</v>
      </c>
      <c r="H1272" s="10">
        <v>46182</v>
      </c>
      <c r="I1272">
        <v>64945.4</v>
      </c>
      <c r="J1272">
        <v>0</v>
      </c>
      <c r="K1272">
        <v>64945.4</v>
      </c>
    </row>
    <row r="1273" spans="1:11" x14ac:dyDescent="0.35">
      <c r="A1273">
        <v>2300000381</v>
      </c>
      <c r="B1273">
        <v>9400008842</v>
      </c>
      <c r="C1273" s="10">
        <v>46167</v>
      </c>
      <c r="D1273" t="s">
        <v>2032</v>
      </c>
      <c r="E1273" s="11">
        <v>18786692</v>
      </c>
      <c r="F1273" t="s">
        <v>717</v>
      </c>
      <c r="G1273" t="s">
        <v>718</v>
      </c>
      <c r="H1273" s="10">
        <v>46181</v>
      </c>
      <c r="I1273">
        <v>85059.02</v>
      </c>
      <c r="J1273">
        <v>0</v>
      </c>
      <c r="K1273">
        <v>85059.02</v>
      </c>
    </row>
    <row r="1274" spans="1:11" x14ac:dyDescent="0.35">
      <c r="A1274">
        <v>8000000459</v>
      </c>
      <c r="B1274">
        <v>9400008840</v>
      </c>
      <c r="C1274" s="10">
        <v>46167</v>
      </c>
      <c r="D1274" t="s">
        <v>2032</v>
      </c>
      <c r="E1274" s="11">
        <v>18786505</v>
      </c>
      <c r="F1274" t="s">
        <v>3096</v>
      </c>
      <c r="G1274" t="s">
        <v>3097</v>
      </c>
      <c r="H1274" s="10">
        <v>46212</v>
      </c>
      <c r="I1274">
        <v>22652.48</v>
      </c>
      <c r="J1274">
        <v>0</v>
      </c>
      <c r="K1274">
        <v>22652.48</v>
      </c>
    </row>
    <row r="1275" spans="1:11" x14ac:dyDescent="0.35">
      <c r="A1275">
        <v>5200000250</v>
      </c>
      <c r="B1275">
        <v>9400008838</v>
      </c>
      <c r="C1275" s="10">
        <v>46167</v>
      </c>
      <c r="D1275" t="s">
        <v>2032</v>
      </c>
      <c r="E1275" s="11">
        <v>18786833</v>
      </c>
      <c r="F1275" t="s">
        <v>849</v>
      </c>
      <c r="G1275" t="s">
        <v>850</v>
      </c>
      <c r="H1275" s="10">
        <v>46181</v>
      </c>
      <c r="I1275">
        <v>97447.24</v>
      </c>
      <c r="J1275">
        <v>0</v>
      </c>
      <c r="K1275">
        <v>97447.24</v>
      </c>
    </row>
    <row r="1276" spans="1:11" x14ac:dyDescent="0.35">
      <c r="A1276">
        <v>2730000407</v>
      </c>
      <c r="B1276">
        <v>9400008831</v>
      </c>
      <c r="C1276" s="10">
        <v>46167</v>
      </c>
      <c r="D1276" t="s">
        <v>2032</v>
      </c>
      <c r="E1276" s="11">
        <v>18786578</v>
      </c>
      <c r="F1276" t="s">
        <v>437</v>
      </c>
      <c r="G1276" t="s">
        <v>438</v>
      </c>
      <c r="H1276" s="10">
        <v>46181</v>
      </c>
      <c r="I1276">
        <v>119570.06</v>
      </c>
      <c r="J1276">
        <v>0</v>
      </c>
      <c r="K1276">
        <v>119570.06</v>
      </c>
    </row>
    <row r="1277" spans="1:11" x14ac:dyDescent="0.35">
      <c r="A1277">
        <v>2720000268</v>
      </c>
      <c r="B1277">
        <v>9400008830</v>
      </c>
      <c r="C1277" s="10">
        <v>46167</v>
      </c>
      <c r="D1277" t="s">
        <v>2032</v>
      </c>
      <c r="E1277" s="11">
        <v>18786738</v>
      </c>
      <c r="F1277" t="s">
        <v>957</v>
      </c>
      <c r="G1277" t="s">
        <v>958</v>
      </c>
      <c r="H1277" s="10">
        <v>46212</v>
      </c>
      <c r="I1277">
        <v>20560.32</v>
      </c>
      <c r="J1277">
        <v>0</v>
      </c>
      <c r="K1277">
        <v>20560.32</v>
      </c>
    </row>
    <row r="1278" spans="1:11" x14ac:dyDescent="0.35">
      <c r="A1278">
        <v>2710000600</v>
      </c>
      <c r="B1278">
        <v>9400008822</v>
      </c>
      <c r="C1278" s="10">
        <v>46167</v>
      </c>
      <c r="D1278" t="s">
        <v>2032</v>
      </c>
      <c r="E1278" s="11">
        <v>18786756</v>
      </c>
      <c r="F1278" t="s">
        <v>72</v>
      </c>
      <c r="G1278" t="s">
        <v>73</v>
      </c>
      <c r="H1278" s="10">
        <v>46212</v>
      </c>
      <c r="I1278">
        <v>11775.46</v>
      </c>
      <c r="J1278">
        <v>0</v>
      </c>
      <c r="K1278">
        <v>11775.46</v>
      </c>
    </row>
    <row r="1279" spans="1:11" x14ac:dyDescent="0.35">
      <c r="A1279">
        <v>2710000599</v>
      </c>
      <c r="B1279">
        <v>9400008820</v>
      </c>
      <c r="C1279" s="10">
        <v>46167</v>
      </c>
      <c r="D1279" t="s">
        <v>2032</v>
      </c>
      <c r="E1279" s="11">
        <v>18786756</v>
      </c>
      <c r="F1279" t="s">
        <v>72</v>
      </c>
      <c r="G1279" t="s">
        <v>73</v>
      </c>
      <c r="H1279" s="10">
        <v>46181</v>
      </c>
      <c r="I1279">
        <v>25006.32</v>
      </c>
      <c r="J1279">
        <v>0</v>
      </c>
      <c r="K1279">
        <v>25006.32</v>
      </c>
    </row>
    <row r="1280" spans="1:11" x14ac:dyDescent="0.35">
      <c r="A1280">
        <v>2710000596</v>
      </c>
      <c r="B1280">
        <v>9400008808</v>
      </c>
      <c r="C1280" s="10">
        <v>46167</v>
      </c>
      <c r="D1280" t="s">
        <v>2032</v>
      </c>
      <c r="E1280" s="11">
        <v>18786592</v>
      </c>
      <c r="F1280" t="s">
        <v>657</v>
      </c>
      <c r="G1280" t="s">
        <v>658</v>
      </c>
      <c r="H1280" s="10">
        <v>46181</v>
      </c>
      <c r="I1280">
        <v>23505.599999999999</v>
      </c>
      <c r="J1280">
        <v>0</v>
      </c>
      <c r="K1280">
        <v>23505.599999999999</v>
      </c>
    </row>
    <row r="1281" spans="1:11" x14ac:dyDescent="0.35">
      <c r="A1281">
        <v>2710000595</v>
      </c>
      <c r="B1281">
        <v>9400008807</v>
      </c>
      <c r="C1281" s="10">
        <v>46167</v>
      </c>
      <c r="D1281" t="s">
        <v>2032</v>
      </c>
      <c r="E1281" s="11">
        <v>18765893</v>
      </c>
      <c r="F1281" t="s">
        <v>685</v>
      </c>
      <c r="G1281" t="s">
        <v>686</v>
      </c>
      <c r="H1281" s="10">
        <v>46181</v>
      </c>
      <c r="I1281">
        <v>78740.83</v>
      </c>
      <c r="J1281">
        <v>0</v>
      </c>
      <c r="K1281">
        <v>78740.83</v>
      </c>
    </row>
    <row r="1282" spans="1:11" x14ac:dyDescent="0.35">
      <c r="A1282">
        <v>2710000594</v>
      </c>
      <c r="B1282">
        <v>9400008806</v>
      </c>
      <c r="C1282" s="10">
        <v>46167</v>
      </c>
      <c r="D1282" t="s">
        <v>2032</v>
      </c>
      <c r="E1282" s="11">
        <v>18765823</v>
      </c>
      <c r="F1282" t="s">
        <v>509</v>
      </c>
      <c r="G1282" t="s">
        <v>510</v>
      </c>
      <c r="H1282" s="10">
        <v>46212</v>
      </c>
      <c r="I1282">
        <v>6917.16</v>
      </c>
      <c r="J1282">
        <v>0</v>
      </c>
      <c r="K1282">
        <v>6917.16</v>
      </c>
    </row>
    <row r="1283" spans="1:11" x14ac:dyDescent="0.35">
      <c r="A1283">
        <v>2710000593</v>
      </c>
      <c r="B1283">
        <v>9400008805</v>
      </c>
      <c r="C1283" s="10">
        <v>46167</v>
      </c>
      <c r="D1283" t="s">
        <v>2032</v>
      </c>
      <c r="E1283" s="11">
        <v>18765817</v>
      </c>
      <c r="F1283" t="s">
        <v>509</v>
      </c>
      <c r="G1283" t="s">
        <v>510</v>
      </c>
      <c r="H1283" s="10">
        <v>46181</v>
      </c>
      <c r="I1283">
        <v>47842.3</v>
      </c>
      <c r="J1283">
        <v>0</v>
      </c>
      <c r="K1283">
        <v>47842.3</v>
      </c>
    </row>
    <row r="1284" spans="1:11" x14ac:dyDescent="0.35">
      <c r="A1284">
        <v>2730000406</v>
      </c>
      <c r="B1284">
        <v>9400008801</v>
      </c>
      <c r="C1284" s="10">
        <v>46167</v>
      </c>
      <c r="D1284" t="s">
        <v>2032</v>
      </c>
      <c r="E1284" s="11">
        <v>18786578</v>
      </c>
      <c r="F1284" t="s">
        <v>437</v>
      </c>
      <c r="G1284" t="s">
        <v>438</v>
      </c>
      <c r="H1284" s="10">
        <v>46212</v>
      </c>
      <c r="I1284">
        <v>15695.79</v>
      </c>
      <c r="J1284">
        <v>0</v>
      </c>
      <c r="K1284">
        <v>15695.79</v>
      </c>
    </row>
    <row r="1285" spans="1:11" x14ac:dyDescent="0.35">
      <c r="A1285">
        <v>5100000536</v>
      </c>
      <c r="B1285">
        <v>9400008795</v>
      </c>
      <c r="C1285" s="10">
        <v>46167</v>
      </c>
      <c r="D1285" t="s">
        <v>2032</v>
      </c>
      <c r="E1285" s="11">
        <v>18753557</v>
      </c>
      <c r="F1285" t="s">
        <v>211</v>
      </c>
      <c r="G1285" t="s">
        <v>212</v>
      </c>
      <c r="H1285" s="10">
        <v>46181</v>
      </c>
      <c r="I1285">
        <v>46471.24</v>
      </c>
      <c r="J1285">
        <v>0</v>
      </c>
      <c r="K1285">
        <v>46471.24</v>
      </c>
    </row>
    <row r="1286" spans="1:11" x14ac:dyDescent="0.35">
      <c r="A1286">
        <v>5100000528</v>
      </c>
      <c r="B1286">
        <v>9400008771</v>
      </c>
      <c r="C1286" s="10">
        <v>46167</v>
      </c>
      <c r="D1286" t="s">
        <v>2032</v>
      </c>
      <c r="E1286" s="11">
        <v>18720362</v>
      </c>
      <c r="F1286" t="s">
        <v>3657</v>
      </c>
      <c r="G1286" t="s">
        <v>3658</v>
      </c>
      <c r="H1286" s="10">
        <v>46167</v>
      </c>
      <c r="I1286">
        <v>30525.5</v>
      </c>
      <c r="J1286">
        <v>30428.2</v>
      </c>
      <c r="K1286">
        <v>97.299999999999272</v>
      </c>
    </row>
    <row r="1287" spans="1:11" x14ac:dyDescent="0.35">
      <c r="A1287">
        <v>2730000404</v>
      </c>
      <c r="B1287">
        <v>9400008765</v>
      </c>
      <c r="C1287" s="10">
        <v>46167</v>
      </c>
      <c r="D1287" t="s">
        <v>2032</v>
      </c>
      <c r="E1287" s="11">
        <v>18765174</v>
      </c>
      <c r="F1287" t="s">
        <v>1215</v>
      </c>
      <c r="G1287" t="s">
        <v>1216</v>
      </c>
      <c r="H1287" s="10">
        <v>46212</v>
      </c>
      <c r="I1287">
        <v>29965.4</v>
      </c>
      <c r="J1287">
        <v>0</v>
      </c>
      <c r="K1287">
        <v>29965.4</v>
      </c>
    </row>
    <row r="1288" spans="1:11" x14ac:dyDescent="0.35">
      <c r="A1288">
        <v>2710000590</v>
      </c>
      <c r="B1288">
        <v>9400008748</v>
      </c>
      <c r="C1288" s="10">
        <v>46167</v>
      </c>
      <c r="D1288" t="s">
        <v>2032</v>
      </c>
      <c r="E1288" s="11">
        <v>18751757</v>
      </c>
      <c r="F1288" t="s">
        <v>148</v>
      </c>
      <c r="G1288" t="s">
        <v>149</v>
      </c>
      <c r="H1288" s="10">
        <v>46181</v>
      </c>
      <c r="I1288">
        <v>83304.22</v>
      </c>
      <c r="J1288">
        <v>0</v>
      </c>
      <c r="K1288">
        <v>83304.22</v>
      </c>
    </row>
    <row r="1289" spans="1:11" x14ac:dyDescent="0.35">
      <c r="A1289">
        <v>5200000245</v>
      </c>
      <c r="B1289">
        <v>9400008744</v>
      </c>
      <c r="C1289" s="10">
        <v>46166</v>
      </c>
      <c r="D1289" t="s">
        <v>2032</v>
      </c>
      <c r="E1289" s="11">
        <v>23456908</v>
      </c>
      <c r="F1289" t="s">
        <v>1229</v>
      </c>
      <c r="G1289" t="s">
        <v>1230</v>
      </c>
      <c r="H1289" s="10">
        <v>46180</v>
      </c>
      <c r="I1289">
        <v>195581.46</v>
      </c>
      <c r="J1289">
        <v>0</v>
      </c>
      <c r="K1289">
        <v>195581.46</v>
      </c>
    </row>
    <row r="1290" spans="1:11" x14ac:dyDescent="0.35">
      <c r="A1290">
        <v>5200000244</v>
      </c>
      <c r="B1290">
        <v>9400008743</v>
      </c>
      <c r="C1290" s="10">
        <v>46166</v>
      </c>
      <c r="D1290" t="s">
        <v>2032</v>
      </c>
      <c r="E1290" s="11">
        <v>2345102</v>
      </c>
      <c r="F1290" t="s">
        <v>1229</v>
      </c>
      <c r="G1290" t="s">
        <v>1230</v>
      </c>
      <c r="H1290" s="10">
        <v>46211</v>
      </c>
      <c r="I1290">
        <v>135150.12</v>
      </c>
      <c r="J1290">
        <v>0</v>
      </c>
      <c r="K1290">
        <v>135150.12</v>
      </c>
    </row>
    <row r="1291" spans="1:11" x14ac:dyDescent="0.35">
      <c r="B1291">
        <v>1400006139</v>
      </c>
      <c r="C1291" s="10">
        <v>46166</v>
      </c>
      <c r="D1291" t="s">
        <v>2037</v>
      </c>
      <c r="E1291" s="11">
        <v>390594</v>
      </c>
      <c r="F1291" t="s">
        <v>603</v>
      </c>
      <c r="G1291" t="s">
        <v>604</v>
      </c>
      <c r="H1291" s="10">
        <v>46166</v>
      </c>
      <c r="I1291">
        <v>59</v>
      </c>
      <c r="J1291">
        <v>0</v>
      </c>
      <c r="K1291">
        <v>59</v>
      </c>
    </row>
    <row r="1292" spans="1:11" x14ac:dyDescent="0.35">
      <c r="B1292">
        <v>1400006125</v>
      </c>
      <c r="C1292" s="10">
        <v>46166</v>
      </c>
      <c r="D1292" t="s">
        <v>2037</v>
      </c>
      <c r="E1292" s="11">
        <v>76659</v>
      </c>
      <c r="F1292" t="s">
        <v>306</v>
      </c>
      <c r="G1292" t="s">
        <v>307</v>
      </c>
      <c r="H1292" s="10">
        <v>46166</v>
      </c>
      <c r="I1292">
        <v>59</v>
      </c>
      <c r="J1292">
        <v>0</v>
      </c>
      <c r="K1292">
        <v>59</v>
      </c>
    </row>
    <row r="1293" spans="1:11" x14ac:dyDescent="0.35">
      <c r="B1293">
        <v>1400006124</v>
      </c>
      <c r="C1293" s="10">
        <v>46166</v>
      </c>
      <c r="D1293" t="s">
        <v>2037</v>
      </c>
      <c r="E1293" s="11">
        <v>853090</v>
      </c>
      <c r="F1293" t="s">
        <v>683</v>
      </c>
      <c r="G1293" t="s">
        <v>684</v>
      </c>
      <c r="H1293" s="10">
        <v>46166</v>
      </c>
      <c r="I1293">
        <v>59</v>
      </c>
      <c r="J1293">
        <v>0</v>
      </c>
      <c r="K1293">
        <v>59</v>
      </c>
    </row>
    <row r="1294" spans="1:11" x14ac:dyDescent="0.35">
      <c r="B1294">
        <v>1400006122</v>
      </c>
      <c r="C1294" s="10">
        <v>46166</v>
      </c>
      <c r="D1294" t="s">
        <v>2037</v>
      </c>
      <c r="E1294" s="11" t="s">
        <v>1233</v>
      </c>
      <c r="F1294" t="s">
        <v>1233</v>
      </c>
      <c r="G1294" t="s">
        <v>1234</v>
      </c>
      <c r="H1294" s="10">
        <v>46166</v>
      </c>
      <c r="I1294">
        <v>59</v>
      </c>
      <c r="J1294">
        <v>0</v>
      </c>
      <c r="K1294">
        <v>59</v>
      </c>
    </row>
    <row r="1295" spans="1:11" x14ac:dyDescent="0.35">
      <c r="B1295">
        <v>1400006117</v>
      </c>
      <c r="C1295" s="10">
        <v>46166</v>
      </c>
      <c r="D1295" t="s">
        <v>2037</v>
      </c>
      <c r="E1295" s="11" t="s">
        <v>763</v>
      </c>
      <c r="F1295" t="s">
        <v>763</v>
      </c>
      <c r="G1295" t="s">
        <v>764</v>
      </c>
      <c r="H1295" s="10">
        <v>46166</v>
      </c>
      <c r="I1295">
        <v>118</v>
      </c>
      <c r="J1295">
        <v>0</v>
      </c>
      <c r="K1295">
        <v>118</v>
      </c>
    </row>
    <row r="1296" spans="1:11" x14ac:dyDescent="0.35">
      <c r="B1296">
        <v>1400006115</v>
      </c>
      <c r="C1296" s="10">
        <v>46166</v>
      </c>
      <c r="D1296" t="s">
        <v>2037</v>
      </c>
      <c r="E1296" s="11">
        <v>1180</v>
      </c>
      <c r="F1296" t="s">
        <v>503</v>
      </c>
      <c r="G1296" t="s">
        <v>504</v>
      </c>
      <c r="H1296" s="10">
        <v>46166</v>
      </c>
      <c r="I1296">
        <v>118</v>
      </c>
      <c r="J1296">
        <v>0</v>
      </c>
      <c r="K1296">
        <v>118</v>
      </c>
    </row>
    <row r="1297" spans="1:11" x14ac:dyDescent="0.35">
      <c r="A1297">
        <v>2720000258</v>
      </c>
      <c r="B1297">
        <v>9400008763</v>
      </c>
      <c r="C1297" s="10">
        <v>46165</v>
      </c>
      <c r="D1297" t="s">
        <v>2032</v>
      </c>
      <c r="E1297" s="11">
        <v>18765745</v>
      </c>
      <c r="F1297" t="s">
        <v>154</v>
      </c>
      <c r="G1297" t="s">
        <v>155</v>
      </c>
      <c r="H1297" s="10">
        <v>46210</v>
      </c>
      <c r="I1297">
        <v>27843.16</v>
      </c>
      <c r="J1297">
        <v>0</v>
      </c>
      <c r="K1297">
        <v>27843.16</v>
      </c>
    </row>
    <row r="1298" spans="1:11" x14ac:dyDescent="0.35">
      <c r="A1298">
        <v>2720000266</v>
      </c>
      <c r="B1298">
        <v>9400008742</v>
      </c>
      <c r="C1298" s="10">
        <v>46165</v>
      </c>
      <c r="D1298" t="s">
        <v>2032</v>
      </c>
      <c r="E1298" s="11">
        <v>18753063</v>
      </c>
      <c r="F1298" t="s">
        <v>827</v>
      </c>
      <c r="G1298" t="s">
        <v>828</v>
      </c>
      <c r="H1298" s="10">
        <v>46179</v>
      </c>
      <c r="I1298">
        <v>20390.400000000001</v>
      </c>
      <c r="J1298">
        <v>10539.37</v>
      </c>
      <c r="K1298">
        <v>9851.0300000000007</v>
      </c>
    </row>
    <row r="1299" spans="1:11" x14ac:dyDescent="0.35">
      <c r="A1299">
        <v>2730000402</v>
      </c>
      <c r="B1299">
        <v>9400008741</v>
      </c>
      <c r="C1299" s="10">
        <v>46165</v>
      </c>
      <c r="D1299" t="s">
        <v>2032</v>
      </c>
      <c r="E1299" s="11">
        <v>18765984</v>
      </c>
      <c r="F1299" t="s">
        <v>681</v>
      </c>
      <c r="G1299" t="s">
        <v>682</v>
      </c>
      <c r="H1299" s="10">
        <v>46210</v>
      </c>
      <c r="I1299">
        <v>8386.5400000000009</v>
      </c>
      <c r="J1299">
        <v>0</v>
      </c>
      <c r="K1299">
        <v>8386.5400000000009</v>
      </c>
    </row>
    <row r="1300" spans="1:11" x14ac:dyDescent="0.35">
      <c r="A1300">
        <v>2730000401</v>
      </c>
      <c r="B1300">
        <v>9400008740</v>
      </c>
      <c r="C1300" s="10">
        <v>46165</v>
      </c>
      <c r="D1300" t="s">
        <v>2032</v>
      </c>
      <c r="E1300" s="11">
        <v>18765961</v>
      </c>
      <c r="F1300" t="s">
        <v>273</v>
      </c>
      <c r="G1300" t="s">
        <v>274</v>
      </c>
      <c r="H1300" s="10">
        <v>46210</v>
      </c>
      <c r="I1300">
        <v>17279.72</v>
      </c>
      <c r="J1300">
        <v>0</v>
      </c>
      <c r="K1300">
        <v>17279.72</v>
      </c>
    </row>
    <row r="1301" spans="1:11" x14ac:dyDescent="0.35">
      <c r="A1301">
        <v>2720000265</v>
      </c>
      <c r="B1301">
        <v>9400008739</v>
      </c>
      <c r="C1301" s="10">
        <v>46165</v>
      </c>
      <c r="D1301" t="s">
        <v>2032</v>
      </c>
      <c r="E1301" s="11">
        <v>18754451</v>
      </c>
      <c r="F1301" t="s">
        <v>941</v>
      </c>
      <c r="G1301" t="s">
        <v>942</v>
      </c>
      <c r="H1301" s="10">
        <v>46179</v>
      </c>
      <c r="I1301">
        <v>10195.200000000001</v>
      </c>
      <c r="J1301">
        <v>0</v>
      </c>
      <c r="K1301">
        <v>10195.200000000001</v>
      </c>
    </row>
    <row r="1302" spans="1:11" x14ac:dyDescent="0.35">
      <c r="A1302">
        <v>2730000399</v>
      </c>
      <c r="B1302">
        <v>9400008734</v>
      </c>
      <c r="C1302" s="10">
        <v>46165</v>
      </c>
      <c r="D1302" t="s">
        <v>2032</v>
      </c>
      <c r="E1302" s="11">
        <v>18765885</v>
      </c>
      <c r="F1302" t="s">
        <v>47</v>
      </c>
      <c r="G1302" t="s">
        <v>48</v>
      </c>
      <c r="H1302" s="10">
        <v>46210</v>
      </c>
      <c r="I1302">
        <v>27368.82</v>
      </c>
      <c r="J1302">
        <v>0</v>
      </c>
      <c r="K1302">
        <v>27368.82</v>
      </c>
    </row>
    <row r="1303" spans="1:11" x14ac:dyDescent="0.35">
      <c r="A1303">
        <v>9300000441</v>
      </c>
      <c r="B1303">
        <v>9400008733</v>
      </c>
      <c r="C1303" s="10">
        <v>46165</v>
      </c>
      <c r="D1303" t="s">
        <v>2032</v>
      </c>
      <c r="E1303" s="11">
        <v>18754316</v>
      </c>
      <c r="F1303" t="s">
        <v>1163</v>
      </c>
      <c r="G1303" t="s">
        <v>1164</v>
      </c>
      <c r="H1303" s="10">
        <v>46210</v>
      </c>
      <c r="I1303">
        <v>46114.46</v>
      </c>
      <c r="J1303">
        <v>0</v>
      </c>
      <c r="K1303">
        <v>46114.46</v>
      </c>
    </row>
    <row r="1304" spans="1:11" x14ac:dyDescent="0.35">
      <c r="A1304">
        <v>2730000398</v>
      </c>
      <c r="B1304">
        <v>9400008732</v>
      </c>
      <c r="C1304" s="10">
        <v>46165</v>
      </c>
      <c r="D1304" t="s">
        <v>2032</v>
      </c>
      <c r="E1304" s="11">
        <v>18765881</v>
      </c>
      <c r="F1304" t="s">
        <v>483</v>
      </c>
      <c r="G1304" t="s">
        <v>484</v>
      </c>
      <c r="H1304" s="10">
        <v>46179</v>
      </c>
      <c r="I1304">
        <v>37360.660000000003</v>
      </c>
      <c r="J1304">
        <v>9196.56</v>
      </c>
      <c r="K1304">
        <v>28164.100000000006</v>
      </c>
    </row>
    <row r="1305" spans="1:11" x14ac:dyDescent="0.35">
      <c r="A1305">
        <v>2720000261</v>
      </c>
      <c r="B1305">
        <v>9400008731</v>
      </c>
      <c r="C1305" s="10">
        <v>46165</v>
      </c>
      <c r="D1305" t="s">
        <v>2032</v>
      </c>
      <c r="E1305" s="11">
        <v>18765833</v>
      </c>
      <c r="F1305" t="s">
        <v>567</v>
      </c>
      <c r="G1305" t="s">
        <v>568</v>
      </c>
      <c r="H1305" s="10">
        <v>46210</v>
      </c>
      <c r="I1305">
        <v>33360.959999999999</v>
      </c>
      <c r="J1305">
        <v>0</v>
      </c>
      <c r="K1305">
        <v>33360.959999999999</v>
      </c>
    </row>
    <row r="1306" spans="1:11" x14ac:dyDescent="0.35">
      <c r="A1306">
        <v>5200000243</v>
      </c>
      <c r="B1306">
        <v>9400008729</v>
      </c>
      <c r="C1306" s="10">
        <v>46165</v>
      </c>
      <c r="D1306" t="s">
        <v>2032</v>
      </c>
      <c r="E1306" s="11">
        <v>18765879</v>
      </c>
      <c r="F1306" t="s">
        <v>713</v>
      </c>
      <c r="G1306" t="s">
        <v>714</v>
      </c>
      <c r="H1306" s="10">
        <v>46179</v>
      </c>
      <c r="I1306">
        <v>246376.92</v>
      </c>
      <c r="J1306">
        <v>19049.900000000001</v>
      </c>
      <c r="K1306">
        <v>227327.02000000002</v>
      </c>
    </row>
    <row r="1307" spans="1:11" x14ac:dyDescent="0.35">
      <c r="A1307">
        <v>5200000242</v>
      </c>
      <c r="B1307">
        <v>9400008728</v>
      </c>
      <c r="C1307" s="10">
        <v>46165</v>
      </c>
      <c r="D1307" t="s">
        <v>2032</v>
      </c>
      <c r="E1307" s="11">
        <v>18754634</v>
      </c>
      <c r="F1307" t="s">
        <v>1229</v>
      </c>
      <c r="G1307" t="s">
        <v>1230</v>
      </c>
      <c r="H1307" s="10">
        <v>46210</v>
      </c>
      <c r="I1307">
        <v>161615.62</v>
      </c>
      <c r="J1307">
        <v>0</v>
      </c>
      <c r="K1307">
        <v>161615.62</v>
      </c>
    </row>
    <row r="1308" spans="1:11" x14ac:dyDescent="0.35">
      <c r="A1308">
        <v>2720000260</v>
      </c>
      <c r="B1308">
        <v>9400008727</v>
      </c>
      <c r="C1308" s="10">
        <v>46165</v>
      </c>
      <c r="D1308" t="s">
        <v>2032</v>
      </c>
      <c r="E1308" s="11">
        <v>18764920</v>
      </c>
      <c r="F1308" t="s">
        <v>312</v>
      </c>
      <c r="G1308" t="s">
        <v>313</v>
      </c>
      <c r="H1308" s="10">
        <v>46210</v>
      </c>
      <c r="I1308">
        <v>174258.62</v>
      </c>
      <c r="J1308">
        <v>0</v>
      </c>
      <c r="K1308">
        <v>174258.62</v>
      </c>
    </row>
    <row r="1309" spans="1:11" x14ac:dyDescent="0.35">
      <c r="A1309">
        <v>2720000259</v>
      </c>
      <c r="B1309">
        <v>9400008726</v>
      </c>
      <c r="C1309" s="10">
        <v>46165</v>
      </c>
      <c r="D1309" t="s">
        <v>2032</v>
      </c>
      <c r="E1309" s="11">
        <v>18764920</v>
      </c>
      <c r="F1309" t="s">
        <v>312</v>
      </c>
      <c r="G1309" t="s">
        <v>313</v>
      </c>
      <c r="H1309" s="10">
        <v>46179</v>
      </c>
      <c r="I1309">
        <v>47747.519999999997</v>
      </c>
      <c r="J1309">
        <v>38944.19</v>
      </c>
      <c r="K1309">
        <v>8803.3299999999945</v>
      </c>
    </row>
    <row r="1310" spans="1:11" x14ac:dyDescent="0.35">
      <c r="A1310">
        <v>9100000748</v>
      </c>
      <c r="B1310">
        <v>9400008725</v>
      </c>
      <c r="C1310" s="10">
        <v>46165</v>
      </c>
      <c r="D1310" t="s">
        <v>2032</v>
      </c>
      <c r="E1310" s="11">
        <v>18765741</v>
      </c>
      <c r="F1310" t="s">
        <v>86</v>
      </c>
      <c r="G1310" t="s">
        <v>87</v>
      </c>
      <c r="H1310" s="10">
        <v>46165</v>
      </c>
      <c r="I1310">
        <v>35.83</v>
      </c>
      <c r="J1310">
        <v>0</v>
      </c>
      <c r="K1310">
        <v>35.83</v>
      </c>
    </row>
    <row r="1311" spans="1:11" x14ac:dyDescent="0.35">
      <c r="A1311">
        <v>5200000241</v>
      </c>
      <c r="B1311">
        <v>9400008724</v>
      </c>
      <c r="C1311" s="10">
        <v>46165</v>
      </c>
      <c r="D1311" t="s">
        <v>2032</v>
      </c>
      <c r="E1311" s="11">
        <v>18754594</v>
      </c>
      <c r="F1311" t="s">
        <v>1229</v>
      </c>
      <c r="G1311" t="s">
        <v>1230</v>
      </c>
      <c r="H1311" s="10">
        <v>46179</v>
      </c>
      <c r="I1311">
        <v>397154.02</v>
      </c>
      <c r="J1311">
        <v>0</v>
      </c>
      <c r="K1311">
        <v>397154.02</v>
      </c>
    </row>
    <row r="1312" spans="1:11" x14ac:dyDescent="0.35">
      <c r="A1312">
        <v>2730000397</v>
      </c>
      <c r="B1312">
        <v>9400008723</v>
      </c>
      <c r="C1312" s="10">
        <v>46165</v>
      </c>
      <c r="D1312" t="s">
        <v>2032</v>
      </c>
      <c r="E1312" s="11">
        <v>18765875</v>
      </c>
      <c r="F1312" t="s">
        <v>523</v>
      </c>
      <c r="G1312" t="s">
        <v>524</v>
      </c>
      <c r="H1312" s="10">
        <v>46210</v>
      </c>
      <c r="I1312">
        <v>205603.20000000001</v>
      </c>
      <c r="J1312">
        <v>0</v>
      </c>
      <c r="K1312">
        <v>205603.20000000001</v>
      </c>
    </row>
    <row r="1313" spans="1:11" x14ac:dyDescent="0.35">
      <c r="A1313">
        <v>2730000395</v>
      </c>
      <c r="B1313">
        <v>9400008716</v>
      </c>
      <c r="C1313" s="10">
        <v>46165</v>
      </c>
      <c r="D1313" t="s">
        <v>2032</v>
      </c>
      <c r="E1313" s="11">
        <v>18765871</v>
      </c>
      <c r="F1313" t="s">
        <v>84</v>
      </c>
      <c r="G1313" t="s">
        <v>85</v>
      </c>
      <c r="H1313" s="10">
        <v>46210</v>
      </c>
      <c r="I1313">
        <v>61680.959999999999</v>
      </c>
      <c r="J1313">
        <v>0</v>
      </c>
      <c r="K1313">
        <v>61680.959999999999</v>
      </c>
    </row>
    <row r="1314" spans="1:11" x14ac:dyDescent="0.35">
      <c r="A1314">
        <v>9100000747</v>
      </c>
      <c r="B1314">
        <v>9400008715</v>
      </c>
      <c r="C1314" s="10">
        <v>46165</v>
      </c>
      <c r="D1314" t="s">
        <v>2032</v>
      </c>
      <c r="E1314" s="11">
        <v>123</v>
      </c>
      <c r="F1314" t="s">
        <v>1111</v>
      </c>
      <c r="G1314" t="s">
        <v>1112</v>
      </c>
      <c r="H1314" s="10">
        <v>46165</v>
      </c>
      <c r="I1314">
        <v>116321.77</v>
      </c>
      <c r="J1314">
        <v>114899.32</v>
      </c>
      <c r="K1314">
        <v>1422.4499999999971</v>
      </c>
    </row>
    <row r="1315" spans="1:11" x14ac:dyDescent="0.35">
      <c r="A1315">
        <v>9100000746</v>
      </c>
      <c r="B1315">
        <v>9400008712</v>
      </c>
      <c r="C1315" s="10">
        <v>46165</v>
      </c>
      <c r="D1315" t="s">
        <v>2032</v>
      </c>
      <c r="E1315" s="11">
        <v>18765741</v>
      </c>
      <c r="F1315" t="s">
        <v>86</v>
      </c>
      <c r="G1315" t="s">
        <v>87</v>
      </c>
      <c r="H1315" s="10">
        <v>46210</v>
      </c>
      <c r="I1315">
        <v>61680.959999999999</v>
      </c>
      <c r="J1315">
        <v>0</v>
      </c>
      <c r="K1315">
        <v>61680.959999999999</v>
      </c>
    </row>
    <row r="1316" spans="1:11" x14ac:dyDescent="0.35">
      <c r="A1316">
        <v>5200000237</v>
      </c>
      <c r="B1316">
        <v>9400008711</v>
      </c>
      <c r="C1316" s="10">
        <v>46165</v>
      </c>
      <c r="D1316" t="s">
        <v>2032</v>
      </c>
      <c r="E1316" s="11">
        <v>18765859</v>
      </c>
      <c r="F1316" t="s">
        <v>407</v>
      </c>
      <c r="G1316" t="s">
        <v>408</v>
      </c>
      <c r="H1316" s="10">
        <v>46210</v>
      </c>
      <c r="I1316">
        <v>41238.36</v>
      </c>
      <c r="J1316">
        <v>0</v>
      </c>
      <c r="K1316">
        <v>41238.36</v>
      </c>
    </row>
    <row r="1317" spans="1:11" x14ac:dyDescent="0.35">
      <c r="A1317">
        <v>9300000440</v>
      </c>
      <c r="B1317">
        <v>9400008710</v>
      </c>
      <c r="C1317" s="10">
        <v>46165</v>
      </c>
      <c r="D1317" t="s">
        <v>2032</v>
      </c>
      <c r="E1317" s="11">
        <v>18754236</v>
      </c>
      <c r="F1317" t="s">
        <v>421</v>
      </c>
      <c r="G1317" t="s">
        <v>422</v>
      </c>
      <c r="H1317" s="10">
        <v>46210</v>
      </c>
      <c r="I1317">
        <v>20560.32</v>
      </c>
      <c r="J1317">
        <v>0</v>
      </c>
      <c r="K1317">
        <v>20560.32</v>
      </c>
    </row>
    <row r="1318" spans="1:11" x14ac:dyDescent="0.35">
      <c r="A1318">
        <v>2730000394</v>
      </c>
      <c r="B1318">
        <v>9400008707</v>
      </c>
      <c r="C1318" s="10">
        <v>46165</v>
      </c>
      <c r="D1318" t="s">
        <v>2032</v>
      </c>
      <c r="E1318" s="11">
        <v>18765627</v>
      </c>
      <c r="F1318" t="s">
        <v>120</v>
      </c>
      <c r="G1318" t="s">
        <v>121</v>
      </c>
      <c r="H1318" s="10">
        <v>46179</v>
      </c>
      <c r="I1318">
        <v>12991.3</v>
      </c>
      <c r="J1318">
        <v>7905.32</v>
      </c>
      <c r="K1318">
        <v>5085.9799999999996</v>
      </c>
    </row>
    <row r="1319" spans="1:11" x14ac:dyDescent="0.35">
      <c r="A1319">
        <v>9100000744</v>
      </c>
      <c r="B1319">
        <v>9400008706</v>
      </c>
      <c r="C1319" s="10">
        <v>46165</v>
      </c>
      <c r="D1319" t="s">
        <v>2032</v>
      </c>
      <c r="E1319" s="11">
        <v>18754238</v>
      </c>
      <c r="F1319" t="s">
        <v>515</v>
      </c>
      <c r="G1319" t="s">
        <v>516</v>
      </c>
      <c r="H1319" s="10">
        <v>46179</v>
      </c>
      <c r="I1319">
        <v>31162.28</v>
      </c>
      <c r="J1319">
        <v>10413.14</v>
      </c>
      <c r="K1319">
        <v>20749.14</v>
      </c>
    </row>
    <row r="1320" spans="1:11" x14ac:dyDescent="0.35">
      <c r="A1320">
        <v>5200000236</v>
      </c>
      <c r="B1320">
        <v>9400008705</v>
      </c>
      <c r="C1320" s="10">
        <v>46165</v>
      </c>
      <c r="D1320" t="s">
        <v>2032</v>
      </c>
      <c r="E1320" s="11">
        <v>18765859</v>
      </c>
      <c r="F1320" t="s">
        <v>407</v>
      </c>
      <c r="G1320" t="s">
        <v>408</v>
      </c>
      <c r="H1320" s="10">
        <v>46179</v>
      </c>
      <c r="I1320">
        <v>491396.27</v>
      </c>
      <c r="J1320">
        <v>0.62</v>
      </c>
      <c r="K1320">
        <v>491395.65</v>
      </c>
    </row>
    <row r="1321" spans="1:11" x14ac:dyDescent="0.35">
      <c r="A1321">
        <v>2720000257</v>
      </c>
      <c r="B1321">
        <v>9400008703</v>
      </c>
      <c r="C1321" s="10">
        <v>46165</v>
      </c>
      <c r="D1321" t="s">
        <v>2032</v>
      </c>
      <c r="E1321" s="11">
        <v>18765582</v>
      </c>
      <c r="F1321" t="s">
        <v>122</v>
      </c>
      <c r="G1321" t="s">
        <v>123</v>
      </c>
      <c r="H1321" s="10">
        <v>46210</v>
      </c>
      <c r="I1321">
        <v>15563.61</v>
      </c>
      <c r="J1321">
        <v>0</v>
      </c>
      <c r="K1321">
        <v>15563.61</v>
      </c>
    </row>
    <row r="1322" spans="1:11" x14ac:dyDescent="0.35">
      <c r="A1322">
        <v>9300000439</v>
      </c>
      <c r="B1322">
        <v>9400008700</v>
      </c>
      <c r="C1322" s="10">
        <v>46165</v>
      </c>
      <c r="D1322" t="s">
        <v>2032</v>
      </c>
      <c r="E1322" s="11">
        <v>18754236</v>
      </c>
      <c r="F1322" t="s">
        <v>445</v>
      </c>
      <c r="G1322" t="s">
        <v>446</v>
      </c>
      <c r="H1322" s="10">
        <v>46210</v>
      </c>
      <c r="I1322">
        <v>46477.48</v>
      </c>
      <c r="J1322">
        <v>0</v>
      </c>
      <c r="K1322">
        <v>46477.48</v>
      </c>
    </row>
    <row r="1323" spans="1:11" x14ac:dyDescent="0.35">
      <c r="A1323">
        <v>2730000393</v>
      </c>
      <c r="B1323">
        <v>9400008699</v>
      </c>
      <c r="C1323" s="10">
        <v>46165</v>
      </c>
      <c r="D1323" t="s">
        <v>2032</v>
      </c>
      <c r="E1323" s="11">
        <v>18765783</v>
      </c>
      <c r="F1323" t="s">
        <v>3551</v>
      </c>
      <c r="G1323" t="s">
        <v>3552</v>
      </c>
      <c r="H1323" s="10">
        <v>46210</v>
      </c>
      <c r="I1323">
        <v>17494.240000000002</v>
      </c>
      <c r="J1323">
        <v>0</v>
      </c>
      <c r="K1323">
        <v>17494.240000000002</v>
      </c>
    </row>
    <row r="1324" spans="1:11" x14ac:dyDescent="0.35">
      <c r="A1324">
        <v>2720000256</v>
      </c>
      <c r="B1324">
        <v>9400008696</v>
      </c>
      <c r="C1324" s="10">
        <v>46165</v>
      </c>
      <c r="D1324" t="s">
        <v>2032</v>
      </c>
      <c r="E1324" s="11">
        <v>18765582</v>
      </c>
      <c r="F1324" t="s">
        <v>122</v>
      </c>
      <c r="G1324" t="s">
        <v>123</v>
      </c>
      <c r="H1324" s="10">
        <v>46179</v>
      </c>
      <c r="I1324">
        <v>34020.01</v>
      </c>
      <c r="J1324">
        <v>0</v>
      </c>
      <c r="K1324">
        <v>34020.01</v>
      </c>
    </row>
    <row r="1325" spans="1:11" x14ac:dyDescent="0.35">
      <c r="A1325">
        <v>2730000392</v>
      </c>
      <c r="B1325">
        <v>9400008692</v>
      </c>
      <c r="C1325" s="10">
        <v>46165</v>
      </c>
      <c r="D1325" t="s">
        <v>2032</v>
      </c>
      <c r="E1325" s="11">
        <v>18765783</v>
      </c>
      <c r="F1325" t="s">
        <v>3551</v>
      </c>
      <c r="G1325" t="s">
        <v>3552</v>
      </c>
      <c r="H1325" s="10">
        <v>46179</v>
      </c>
      <c r="I1325">
        <v>210474.23999999999</v>
      </c>
      <c r="J1325">
        <v>5504.09</v>
      </c>
      <c r="K1325">
        <v>204970.15</v>
      </c>
    </row>
    <row r="1326" spans="1:11" x14ac:dyDescent="0.35">
      <c r="A1326">
        <v>2300000379</v>
      </c>
      <c r="B1326">
        <v>9400008691</v>
      </c>
      <c r="C1326" s="10">
        <v>46165</v>
      </c>
      <c r="D1326" t="s">
        <v>2032</v>
      </c>
      <c r="E1326" s="11">
        <v>18765760</v>
      </c>
      <c r="F1326" t="s">
        <v>619</v>
      </c>
      <c r="G1326" t="s">
        <v>620</v>
      </c>
      <c r="H1326" s="10">
        <v>46179</v>
      </c>
      <c r="I1326">
        <v>14632</v>
      </c>
      <c r="J1326">
        <v>2835.5</v>
      </c>
      <c r="K1326">
        <v>11796.5</v>
      </c>
    </row>
    <row r="1327" spans="1:11" x14ac:dyDescent="0.35">
      <c r="A1327">
        <v>9300000438</v>
      </c>
      <c r="B1327">
        <v>9400008689</v>
      </c>
      <c r="C1327" s="10">
        <v>46165</v>
      </c>
      <c r="D1327" t="s">
        <v>2032</v>
      </c>
      <c r="E1327" s="11">
        <v>18765171</v>
      </c>
      <c r="F1327" t="s">
        <v>280</v>
      </c>
      <c r="G1327" t="s">
        <v>281</v>
      </c>
      <c r="H1327" s="10">
        <v>46210</v>
      </c>
      <c r="I1327">
        <v>102801.60000000001</v>
      </c>
      <c r="J1327">
        <v>0</v>
      </c>
      <c r="K1327">
        <v>102801.60000000001</v>
      </c>
    </row>
    <row r="1328" spans="1:11" x14ac:dyDescent="0.35">
      <c r="A1328">
        <v>2300000378</v>
      </c>
      <c r="B1328">
        <v>9400008688</v>
      </c>
      <c r="C1328" s="10">
        <v>46165</v>
      </c>
      <c r="D1328" t="s">
        <v>2032</v>
      </c>
      <c r="E1328" s="11">
        <v>18765760</v>
      </c>
      <c r="F1328" t="s">
        <v>619</v>
      </c>
      <c r="G1328" t="s">
        <v>620</v>
      </c>
      <c r="H1328" s="10">
        <v>46210</v>
      </c>
      <c r="I1328">
        <v>28879.18</v>
      </c>
      <c r="J1328">
        <v>0</v>
      </c>
      <c r="K1328">
        <v>28879.18</v>
      </c>
    </row>
    <row r="1329" spans="1:11" x14ac:dyDescent="0.35">
      <c r="A1329">
        <v>3000000654</v>
      </c>
      <c r="B1329">
        <v>9400008685</v>
      </c>
      <c r="C1329" s="10">
        <v>46165</v>
      </c>
      <c r="D1329" t="s">
        <v>2032</v>
      </c>
      <c r="E1329" s="11">
        <v>18765815</v>
      </c>
      <c r="F1329" t="s">
        <v>194</v>
      </c>
      <c r="G1329" t="s">
        <v>195</v>
      </c>
      <c r="H1329" s="10">
        <v>46180</v>
      </c>
      <c r="I1329">
        <v>235475.4</v>
      </c>
      <c r="J1329">
        <v>0</v>
      </c>
      <c r="K1329">
        <v>235475.4</v>
      </c>
    </row>
    <row r="1330" spans="1:11" x14ac:dyDescent="0.35">
      <c r="A1330">
        <v>2730000391</v>
      </c>
      <c r="B1330">
        <v>9400008683</v>
      </c>
      <c r="C1330" s="10">
        <v>46165</v>
      </c>
      <c r="D1330" t="s">
        <v>2032</v>
      </c>
      <c r="E1330" s="11">
        <v>18765537</v>
      </c>
      <c r="F1330" t="s">
        <v>89</v>
      </c>
      <c r="G1330" t="s">
        <v>90</v>
      </c>
      <c r="H1330" s="10">
        <v>46179</v>
      </c>
      <c r="I1330">
        <v>7062.3</v>
      </c>
      <c r="J1330">
        <v>0</v>
      </c>
      <c r="K1330">
        <v>7062.3</v>
      </c>
    </row>
    <row r="1331" spans="1:11" x14ac:dyDescent="0.35">
      <c r="A1331">
        <v>8000000455</v>
      </c>
      <c r="B1331">
        <v>9400008681</v>
      </c>
      <c r="C1331" s="10">
        <v>46165</v>
      </c>
      <c r="D1331" t="s">
        <v>2032</v>
      </c>
      <c r="E1331" s="11">
        <v>18765826</v>
      </c>
      <c r="F1331" t="s">
        <v>255</v>
      </c>
      <c r="G1331" t="s">
        <v>256</v>
      </c>
      <c r="H1331" s="10">
        <v>46179</v>
      </c>
      <c r="I1331">
        <v>30868.799999999999</v>
      </c>
      <c r="J1331">
        <v>17589.09</v>
      </c>
      <c r="K1331">
        <v>13279.71</v>
      </c>
    </row>
    <row r="1332" spans="1:11" x14ac:dyDescent="0.35">
      <c r="A1332">
        <v>3000000652</v>
      </c>
      <c r="B1332">
        <v>9400008676</v>
      </c>
      <c r="C1332" s="10">
        <v>46165</v>
      </c>
      <c r="D1332" t="s">
        <v>2032</v>
      </c>
      <c r="E1332" s="11">
        <v>18765815</v>
      </c>
      <c r="F1332" t="s">
        <v>194</v>
      </c>
      <c r="G1332" t="s">
        <v>195</v>
      </c>
      <c r="H1332" s="10">
        <v>46210</v>
      </c>
      <c r="I1332">
        <v>7807.82</v>
      </c>
      <c r="J1332">
        <v>0</v>
      </c>
      <c r="K1332">
        <v>7807.82</v>
      </c>
    </row>
    <row r="1333" spans="1:11" x14ac:dyDescent="0.35">
      <c r="A1333">
        <v>2300000377</v>
      </c>
      <c r="B1333">
        <v>9400008675</v>
      </c>
      <c r="C1333" s="10">
        <v>46165</v>
      </c>
      <c r="D1333" t="s">
        <v>2032</v>
      </c>
      <c r="E1333" s="11">
        <v>18765664</v>
      </c>
      <c r="F1333" t="s">
        <v>709</v>
      </c>
      <c r="G1333" t="s">
        <v>710</v>
      </c>
      <c r="H1333" s="10">
        <v>46210</v>
      </c>
      <c r="I1333">
        <v>30440.46</v>
      </c>
      <c r="J1333">
        <v>0</v>
      </c>
      <c r="K1333">
        <v>30440.46</v>
      </c>
    </row>
    <row r="1334" spans="1:11" x14ac:dyDescent="0.35">
      <c r="A1334">
        <v>2730000390</v>
      </c>
      <c r="B1334">
        <v>9400008674</v>
      </c>
      <c r="C1334" s="10">
        <v>46165</v>
      </c>
      <c r="D1334" t="s">
        <v>2032</v>
      </c>
      <c r="E1334" s="11">
        <v>18765537</v>
      </c>
      <c r="F1334" t="s">
        <v>89</v>
      </c>
      <c r="G1334" t="s">
        <v>90</v>
      </c>
      <c r="H1334" s="10">
        <v>46210</v>
      </c>
      <c r="I1334">
        <v>217758.48</v>
      </c>
      <c r="J1334">
        <v>0</v>
      </c>
      <c r="K1334">
        <v>217758.48</v>
      </c>
    </row>
    <row r="1335" spans="1:11" x14ac:dyDescent="0.35">
      <c r="A1335">
        <v>9300000436</v>
      </c>
      <c r="B1335">
        <v>9400008670</v>
      </c>
      <c r="C1335" s="10">
        <v>46165</v>
      </c>
      <c r="D1335" t="s">
        <v>2032</v>
      </c>
      <c r="E1335" s="11">
        <v>18765188</v>
      </c>
      <c r="F1335" t="s">
        <v>607</v>
      </c>
      <c r="G1335" t="s">
        <v>608</v>
      </c>
      <c r="H1335" s="10">
        <v>46210</v>
      </c>
      <c r="I1335">
        <v>83062.559999999998</v>
      </c>
      <c r="J1335">
        <v>0</v>
      </c>
      <c r="K1335">
        <v>83062.559999999998</v>
      </c>
    </row>
    <row r="1336" spans="1:11" x14ac:dyDescent="0.35">
      <c r="A1336">
        <v>2720000255</v>
      </c>
      <c r="B1336">
        <v>9400008668</v>
      </c>
      <c r="C1336" s="10">
        <v>46165</v>
      </c>
      <c r="D1336" t="s">
        <v>2032</v>
      </c>
      <c r="E1336" s="11">
        <v>18765354</v>
      </c>
      <c r="F1336" t="s">
        <v>318</v>
      </c>
      <c r="G1336" t="s">
        <v>319</v>
      </c>
      <c r="H1336" s="10">
        <v>46179</v>
      </c>
      <c r="I1336">
        <v>49689.14</v>
      </c>
      <c r="J1336">
        <v>0</v>
      </c>
      <c r="K1336">
        <v>49689.14</v>
      </c>
    </row>
    <row r="1337" spans="1:11" x14ac:dyDescent="0.35">
      <c r="A1337">
        <v>2730000388</v>
      </c>
      <c r="B1337">
        <v>9400008667</v>
      </c>
      <c r="C1337" s="10">
        <v>46165</v>
      </c>
      <c r="D1337" t="s">
        <v>2032</v>
      </c>
      <c r="E1337" s="11">
        <v>18765756</v>
      </c>
      <c r="F1337" t="s">
        <v>681</v>
      </c>
      <c r="G1337" t="s">
        <v>682</v>
      </c>
      <c r="H1337" s="10">
        <v>46179</v>
      </c>
      <c r="I1337">
        <v>105430.09</v>
      </c>
      <c r="J1337">
        <v>33755.69</v>
      </c>
      <c r="K1337">
        <v>71674.399999999994</v>
      </c>
    </row>
    <row r="1338" spans="1:11" x14ac:dyDescent="0.35">
      <c r="A1338">
        <v>2710000586</v>
      </c>
      <c r="B1338">
        <v>9400008665</v>
      </c>
      <c r="C1338" s="10">
        <v>46165</v>
      </c>
      <c r="D1338" t="s">
        <v>2032</v>
      </c>
      <c r="E1338" s="11">
        <v>18765589</v>
      </c>
      <c r="F1338" t="s">
        <v>767</v>
      </c>
      <c r="G1338" t="s">
        <v>768</v>
      </c>
      <c r="H1338" s="10">
        <v>46179</v>
      </c>
      <c r="I1338">
        <v>175112</v>
      </c>
      <c r="J1338">
        <v>0</v>
      </c>
      <c r="K1338">
        <v>175112</v>
      </c>
    </row>
    <row r="1339" spans="1:11" x14ac:dyDescent="0.35">
      <c r="A1339">
        <v>9300000435</v>
      </c>
      <c r="B1339">
        <v>9400008661</v>
      </c>
      <c r="C1339" s="10">
        <v>46165</v>
      </c>
      <c r="D1339" t="s">
        <v>2032</v>
      </c>
      <c r="E1339" s="11">
        <v>18765171</v>
      </c>
      <c r="F1339" t="s">
        <v>949</v>
      </c>
      <c r="G1339" t="s">
        <v>950</v>
      </c>
      <c r="H1339" s="10">
        <v>46210</v>
      </c>
      <c r="I1339">
        <v>124593.84</v>
      </c>
      <c r="J1339">
        <v>0</v>
      </c>
      <c r="K1339">
        <v>124593.84</v>
      </c>
    </row>
    <row r="1340" spans="1:11" x14ac:dyDescent="0.35">
      <c r="A1340">
        <v>2300000376</v>
      </c>
      <c r="B1340">
        <v>9400008658</v>
      </c>
      <c r="C1340" s="10">
        <v>46165</v>
      </c>
      <c r="D1340" t="s">
        <v>2032</v>
      </c>
      <c r="E1340" s="11">
        <v>18765547</v>
      </c>
      <c r="F1340" t="s">
        <v>3659</v>
      </c>
      <c r="G1340" t="s">
        <v>3660</v>
      </c>
      <c r="H1340" s="10">
        <v>46210</v>
      </c>
      <c r="I1340">
        <v>57477.32</v>
      </c>
      <c r="J1340">
        <v>0</v>
      </c>
      <c r="K1340">
        <v>57477.32</v>
      </c>
    </row>
    <row r="1341" spans="1:11" x14ac:dyDescent="0.35">
      <c r="A1341">
        <v>9100000736</v>
      </c>
      <c r="B1341">
        <v>9400008655</v>
      </c>
      <c r="C1341" s="10">
        <v>46165</v>
      </c>
      <c r="D1341" t="s">
        <v>2032</v>
      </c>
      <c r="E1341" s="11">
        <v>18765224</v>
      </c>
      <c r="F1341" t="s">
        <v>345</v>
      </c>
      <c r="G1341" t="s">
        <v>346</v>
      </c>
      <c r="H1341" s="10">
        <v>46210</v>
      </c>
      <c r="I1341">
        <v>61462.9</v>
      </c>
      <c r="J1341">
        <v>0</v>
      </c>
      <c r="K1341">
        <v>61462.9</v>
      </c>
    </row>
    <row r="1342" spans="1:11" x14ac:dyDescent="0.35">
      <c r="A1342">
        <v>9300000434</v>
      </c>
      <c r="B1342">
        <v>9400008654</v>
      </c>
      <c r="C1342" s="10">
        <v>46165</v>
      </c>
      <c r="D1342" t="s">
        <v>2032</v>
      </c>
      <c r="E1342" s="11">
        <v>18765675</v>
      </c>
      <c r="F1342" t="s">
        <v>609</v>
      </c>
      <c r="G1342" t="s">
        <v>610</v>
      </c>
      <c r="H1342" s="10">
        <v>46210</v>
      </c>
      <c r="I1342">
        <v>253062.8</v>
      </c>
      <c r="J1342">
        <v>0</v>
      </c>
      <c r="K1342">
        <v>253062.8</v>
      </c>
    </row>
    <row r="1343" spans="1:11" x14ac:dyDescent="0.35">
      <c r="A1343">
        <v>2300000375</v>
      </c>
      <c r="B1343">
        <v>9400008652</v>
      </c>
      <c r="C1343" s="10">
        <v>46165</v>
      </c>
      <c r="D1343" t="s">
        <v>2032</v>
      </c>
      <c r="E1343" s="11">
        <v>18765533</v>
      </c>
      <c r="F1343" t="s">
        <v>3659</v>
      </c>
      <c r="G1343" t="s">
        <v>3660</v>
      </c>
      <c r="H1343" s="10">
        <v>46179</v>
      </c>
      <c r="I1343">
        <v>150568</v>
      </c>
      <c r="J1343">
        <v>8554.9500000000007</v>
      </c>
      <c r="K1343">
        <v>142013.04999999999</v>
      </c>
    </row>
    <row r="1344" spans="1:11" x14ac:dyDescent="0.35">
      <c r="A1344">
        <v>2300000374</v>
      </c>
      <c r="B1344">
        <v>9400008651</v>
      </c>
      <c r="C1344" s="10">
        <v>46165</v>
      </c>
      <c r="D1344" t="s">
        <v>2032</v>
      </c>
      <c r="E1344" s="11">
        <v>18765522</v>
      </c>
      <c r="F1344" t="s">
        <v>583</v>
      </c>
      <c r="G1344" t="s">
        <v>584</v>
      </c>
      <c r="H1344" s="10">
        <v>46210</v>
      </c>
      <c r="I1344">
        <v>113195.04</v>
      </c>
      <c r="J1344">
        <v>0</v>
      </c>
      <c r="K1344">
        <v>113195.04</v>
      </c>
    </row>
    <row r="1345" spans="1:11" x14ac:dyDescent="0.35">
      <c r="A1345">
        <v>2710000587</v>
      </c>
      <c r="B1345">
        <v>9400008642</v>
      </c>
      <c r="C1345" s="10">
        <v>46165</v>
      </c>
      <c r="D1345" t="s">
        <v>2032</v>
      </c>
      <c r="E1345" s="11">
        <v>18765589</v>
      </c>
      <c r="F1345" t="s">
        <v>767</v>
      </c>
      <c r="G1345" t="s">
        <v>768</v>
      </c>
      <c r="H1345" s="10">
        <v>46210</v>
      </c>
      <c r="I1345">
        <v>51496.38</v>
      </c>
      <c r="J1345">
        <v>0</v>
      </c>
      <c r="K1345">
        <v>51496.38</v>
      </c>
    </row>
    <row r="1346" spans="1:11" x14ac:dyDescent="0.35">
      <c r="A1346">
        <v>9100000734</v>
      </c>
      <c r="B1346">
        <v>9400008641</v>
      </c>
      <c r="C1346" s="10">
        <v>46165</v>
      </c>
      <c r="D1346" t="s">
        <v>2032</v>
      </c>
      <c r="E1346" s="11">
        <v>18765332</v>
      </c>
      <c r="F1346" t="s">
        <v>1109</v>
      </c>
      <c r="G1346" t="s">
        <v>1110</v>
      </c>
      <c r="H1346" s="10">
        <v>46165</v>
      </c>
      <c r="I1346">
        <v>119159.41</v>
      </c>
      <c r="J1346">
        <v>118624.7</v>
      </c>
      <c r="K1346">
        <v>534.7100000000064</v>
      </c>
    </row>
    <row r="1347" spans="1:11" x14ac:dyDescent="0.35">
      <c r="A1347">
        <v>2710000585</v>
      </c>
      <c r="B1347">
        <v>9400008630</v>
      </c>
      <c r="C1347" s="10">
        <v>46165</v>
      </c>
      <c r="D1347" t="s">
        <v>2032</v>
      </c>
      <c r="E1347" s="11">
        <v>18765242</v>
      </c>
      <c r="F1347" t="s">
        <v>150</v>
      </c>
      <c r="G1347" t="s">
        <v>151</v>
      </c>
      <c r="H1347" s="10">
        <v>46210</v>
      </c>
      <c r="I1347">
        <v>106119.17</v>
      </c>
      <c r="J1347">
        <v>0</v>
      </c>
      <c r="K1347">
        <v>106119.17</v>
      </c>
    </row>
    <row r="1348" spans="1:11" x14ac:dyDescent="0.35">
      <c r="A1348">
        <v>9300000431</v>
      </c>
      <c r="B1348">
        <v>9400008611</v>
      </c>
      <c r="C1348" s="10">
        <v>46165</v>
      </c>
      <c r="D1348" t="s">
        <v>2032</v>
      </c>
      <c r="E1348" s="11">
        <v>18765188</v>
      </c>
      <c r="F1348" t="s">
        <v>445</v>
      </c>
      <c r="G1348" t="s">
        <v>446</v>
      </c>
      <c r="H1348" s="10">
        <v>46179</v>
      </c>
      <c r="I1348">
        <v>34211.980000000003</v>
      </c>
      <c r="J1348">
        <v>11582.95</v>
      </c>
      <c r="K1348">
        <v>22629.030000000002</v>
      </c>
    </row>
    <row r="1349" spans="1:11" x14ac:dyDescent="0.35">
      <c r="A1349">
        <v>2720000253</v>
      </c>
      <c r="B1349">
        <v>9400008601</v>
      </c>
      <c r="C1349" s="10">
        <v>46165</v>
      </c>
      <c r="D1349" t="s">
        <v>2032</v>
      </c>
      <c r="E1349" s="11">
        <v>18765353</v>
      </c>
      <c r="F1349" t="s">
        <v>497</v>
      </c>
      <c r="G1349" t="s">
        <v>498</v>
      </c>
      <c r="H1349" s="10">
        <v>46210</v>
      </c>
      <c r="I1349">
        <v>62296.92</v>
      </c>
      <c r="J1349">
        <v>0</v>
      </c>
      <c r="K1349">
        <v>62296.92</v>
      </c>
    </row>
    <row r="1350" spans="1:11" x14ac:dyDescent="0.35">
      <c r="A1350">
        <v>2300000371</v>
      </c>
      <c r="B1350">
        <v>9400008599</v>
      </c>
      <c r="C1350" s="10">
        <v>46165</v>
      </c>
      <c r="D1350" t="s">
        <v>2032</v>
      </c>
      <c r="E1350" s="11">
        <v>18764871</v>
      </c>
      <c r="F1350" t="s">
        <v>463</v>
      </c>
      <c r="G1350" t="s">
        <v>464</v>
      </c>
      <c r="H1350" s="10">
        <v>46210</v>
      </c>
      <c r="I1350">
        <v>182642.76</v>
      </c>
      <c r="J1350">
        <v>0</v>
      </c>
      <c r="K1350">
        <v>182642.76</v>
      </c>
    </row>
    <row r="1351" spans="1:11" x14ac:dyDescent="0.35">
      <c r="A1351">
        <v>2720000252</v>
      </c>
      <c r="B1351">
        <v>9400008594</v>
      </c>
      <c r="C1351" s="10">
        <v>46165</v>
      </c>
      <c r="D1351" t="s">
        <v>2032</v>
      </c>
      <c r="E1351" s="11">
        <v>18764946</v>
      </c>
      <c r="F1351" t="s">
        <v>941</v>
      </c>
      <c r="G1351" t="s">
        <v>942</v>
      </c>
      <c r="H1351" s="10">
        <v>46179</v>
      </c>
      <c r="I1351">
        <v>67968</v>
      </c>
      <c r="J1351">
        <v>0</v>
      </c>
      <c r="K1351">
        <v>67968</v>
      </c>
    </row>
    <row r="1352" spans="1:11" x14ac:dyDescent="0.35">
      <c r="A1352">
        <v>3000000645</v>
      </c>
      <c r="B1352">
        <v>9400008593</v>
      </c>
      <c r="C1352" s="10">
        <v>46165</v>
      </c>
      <c r="D1352" t="s">
        <v>2032</v>
      </c>
      <c r="E1352" s="11">
        <v>18765314</v>
      </c>
      <c r="F1352" t="s">
        <v>477</v>
      </c>
      <c r="G1352" t="s">
        <v>478</v>
      </c>
      <c r="H1352" s="10">
        <v>46180</v>
      </c>
      <c r="I1352">
        <v>117363.18</v>
      </c>
      <c r="J1352">
        <v>0</v>
      </c>
      <c r="K1352">
        <v>117363.18</v>
      </c>
    </row>
    <row r="1353" spans="1:11" x14ac:dyDescent="0.35">
      <c r="A1353">
        <v>3000000644</v>
      </c>
      <c r="B1353">
        <v>9400008588</v>
      </c>
      <c r="C1353" s="10">
        <v>46165</v>
      </c>
      <c r="D1353" t="s">
        <v>2032</v>
      </c>
      <c r="E1353" s="11">
        <v>18765220</v>
      </c>
      <c r="F1353" t="s">
        <v>94</v>
      </c>
      <c r="G1353" t="s">
        <v>95</v>
      </c>
      <c r="H1353" s="10">
        <v>46180</v>
      </c>
      <c r="I1353">
        <v>46959.7</v>
      </c>
      <c r="J1353">
        <v>0</v>
      </c>
      <c r="K1353">
        <v>46959.7</v>
      </c>
    </row>
    <row r="1354" spans="1:11" x14ac:dyDescent="0.35">
      <c r="A1354">
        <v>9200000534</v>
      </c>
      <c r="B1354">
        <v>9400008582</v>
      </c>
      <c r="C1354" s="10">
        <v>46165</v>
      </c>
      <c r="D1354" t="s">
        <v>2032</v>
      </c>
      <c r="E1354" s="11">
        <v>18765176</v>
      </c>
      <c r="F1354" t="s">
        <v>3565</v>
      </c>
      <c r="G1354" t="s">
        <v>3566</v>
      </c>
      <c r="H1354" s="10">
        <v>46179</v>
      </c>
      <c r="I1354">
        <v>93644.800000000003</v>
      </c>
      <c r="J1354">
        <v>1313.55</v>
      </c>
      <c r="K1354">
        <v>92331.25</v>
      </c>
    </row>
    <row r="1355" spans="1:11" x14ac:dyDescent="0.35">
      <c r="A1355">
        <v>5200000234</v>
      </c>
      <c r="B1355">
        <v>9400008581</v>
      </c>
      <c r="C1355" s="10">
        <v>46165</v>
      </c>
      <c r="D1355" t="s">
        <v>2032</v>
      </c>
      <c r="E1355" s="11">
        <v>90000504</v>
      </c>
      <c r="F1355" t="s">
        <v>1581</v>
      </c>
      <c r="G1355" t="s">
        <v>1582</v>
      </c>
      <c r="H1355" s="10">
        <v>46165</v>
      </c>
      <c r="I1355">
        <v>17544.62</v>
      </c>
      <c r="J1355">
        <v>0</v>
      </c>
      <c r="K1355">
        <v>17544.62</v>
      </c>
    </row>
    <row r="1356" spans="1:11" x14ac:dyDescent="0.35">
      <c r="A1356">
        <v>3000000641</v>
      </c>
      <c r="B1356">
        <v>9400008566</v>
      </c>
      <c r="C1356" s="10">
        <v>46165</v>
      </c>
      <c r="D1356" t="s">
        <v>2032</v>
      </c>
      <c r="E1356" s="11">
        <v>18633999</v>
      </c>
      <c r="F1356" t="s">
        <v>809</v>
      </c>
      <c r="G1356" t="s">
        <v>810</v>
      </c>
      <c r="H1356" s="10">
        <v>46210</v>
      </c>
      <c r="I1356">
        <v>18212.259999999998</v>
      </c>
      <c r="J1356">
        <v>0</v>
      </c>
      <c r="K1356">
        <v>18212.259999999998</v>
      </c>
    </row>
    <row r="1357" spans="1:11" x14ac:dyDescent="0.35">
      <c r="A1357">
        <v>9100000728</v>
      </c>
      <c r="B1357">
        <v>9400008554</v>
      </c>
      <c r="C1357" s="10">
        <v>46165</v>
      </c>
      <c r="D1357" t="s">
        <v>2032</v>
      </c>
      <c r="E1357" s="11">
        <v>18764930</v>
      </c>
      <c r="F1357" t="s">
        <v>813</v>
      </c>
      <c r="G1357" t="s">
        <v>814</v>
      </c>
      <c r="H1357" s="10">
        <v>46179</v>
      </c>
      <c r="I1357">
        <v>55793.47</v>
      </c>
      <c r="J1357">
        <v>0</v>
      </c>
      <c r="K1357">
        <v>55793.47</v>
      </c>
    </row>
    <row r="1358" spans="1:11" x14ac:dyDescent="0.35">
      <c r="A1358">
        <v>9100000727</v>
      </c>
      <c r="B1358">
        <v>9400008545</v>
      </c>
      <c r="C1358" s="10">
        <v>46165</v>
      </c>
      <c r="D1358" t="s">
        <v>2032</v>
      </c>
      <c r="E1358" s="11">
        <v>18764930</v>
      </c>
      <c r="F1358" t="s">
        <v>813</v>
      </c>
      <c r="G1358" t="s">
        <v>814</v>
      </c>
      <c r="H1358" s="10">
        <v>46210</v>
      </c>
      <c r="I1358">
        <v>13474.65</v>
      </c>
      <c r="J1358">
        <v>0</v>
      </c>
      <c r="K1358">
        <v>13474.65</v>
      </c>
    </row>
    <row r="1359" spans="1:11" x14ac:dyDescent="0.35">
      <c r="A1359">
        <v>7000000374</v>
      </c>
      <c r="B1359">
        <v>9400008544</v>
      </c>
      <c r="C1359" s="10">
        <v>46165</v>
      </c>
      <c r="D1359" t="s">
        <v>2032</v>
      </c>
      <c r="E1359" s="11">
        <v>2346589</v>
      </c>
      <c r="F1359" t="s">
        <v>735</v>
      </c>
      <c r="G1359" t="s">
        <v>736</v>
      </c>
      <c r="H1359" s="10">
        <v>46179</v>
      </c>
      <c r="I1359">
        <v>2545.7399999999998</v>
      </c>
      <c r="J1359">
        <v>0</v>
      </c>
      <c r="K1359">
        <v>2545.7399999999998</v>
      </c>
    </row>
    <row r="1360" spans="1:11" x14ac:dyDescent="0.35">
      <c r="A1360">
        <v>3000000638</v>
      </c>
      <c r="B1360">
        <v>9400008522</v>
      </c>
      <c r="C1360" s="10">
        <v>46165</v>
      </c>
      <c r="D1360" t="s">
        <v>2032</v>
      </c>
      <c r="E1360" s="11">
        <v>18754423</v>
      </c>
      <c r="F1360" t="s">
        <v>178</v>
      </c>
      <c r="G1360" t="s">
        <v>179</v>
      </c>
      <c r="H1360" s="10">
        <v>46193</v>
      </c>
      <c r="I1360">
        <v>209851.2</v>
      </c>
      <c r="J1360">
        <v>0</v>
      </c>
      <c r="K1360">
        <v>209851.2</v>
      </c>
    </row>
    <row r="1361" spans="1:11" x14ac:dyDescent="0.35">
      <c r="A1361">
        <v>2710000575</v>
      </c>
      <c r="B1361">
        <v>9400008516</v>
      </c>
      <c r="C1361" s="10">
        <v>46165</v>
      </c>
      <c r="D1361" t="s">
        <v>2032</v>
      </c>
      <c r="E1361" s="11">
        <v>2711000030</v>
      </c>
      <c r="F1361" t="s">
        <v>757</v>
      </c>
      <c r="G1361" t="s">
        <v>758</v>
      </c>
      <c r="H1361" s="10">
        <v>46165</v>
      </c>
      <c r="I1361">
        <v>15393.98</v>
      </c>
      <c r="J1361">
        <v>0</v>
      </c>
      <c r="K1361">
        <v>15393.98</v>
      </c>
    </row>
    <row r="1362" spans="1:11" x14ac:dyDescent="0.35">
      <c r="A1362">
        <v>3000000634</v>
      </c>
      <c r="B1362">
        <v>9400008531</v>
      </c>
      <c r="C1362" s="10">
        <v>46164</v>
      </c>
      <c r="D1362" t="s">
        <v>2032</v>
      </c>
      <c r="E1362" s="11">
        <v>18764725</v>
      </c>
      <c r="F1362" t="s">
        <v>1121</v>
      </c>
      <c r="G1362" t="s">
        <v>1122</v>
      </c>
      <c r="H1362" s="10">
        <v>46209</v>
      </c>
      <c r="I1362">
        <v>15416.84</v>
      </c>
      <c r="J1362">
        <v>0</v>
      </c>
      <c r="K1362">
        <v>15416.84</v>
      </c>
    </row>
    <row r="1363" spans="1:11" x14ac:dyDescent="0.35">
      <c r="A1363">
        <v>9300000427</v>
      </c>
      <c r="B1363">
        <v>9400008506</v>
      </c>
      <c r="C1363" s="10">
        <v>46164</v>
      </c>
      <c r="D1363" t="s">
        <v>2032</v>
      </c>
      <c r="E1363" s="11">
        <v>18764945</v>
      </c>
      <c r="F1363" t="s">
        <v>361</v>
      </c>
      <c r="G1363" t="s">
        <v>362</v>
      </c>
      <c r="H1363" s="10">
        <v>46209</v>
      </c>
      <c r="I1363">
        <v>30565.08</v>
      </c>
      <c r="J1363">
        <v>0</v>
      </c>
      <c r="K1363">
        <v>30565.08</v>
      </c>
    </row>
    <row r="1364" spans="1:11" x14ac:dyDescent="0.35">
      <c r="A1364">
        <v>9300000426</v>
      </c>
      <c r="B1364">
        <v>9400008503</v>
      </c>
      <c r="C1364" s="10">
        <v>46164</v>
      </c>
      <c r="D1364" t="s">
        <v>2032</v>
      </c>
      <c r="E1364" s="11">
        <v>18754473</v>
      </c>
      <c r="F1364" t="s">
        <v>729</v>
      </c>
      <c r="G1364" t="s">
        <v>730</v>
      </c>
      <c r="H1364" s="10">
        <v>46209</v>
      </c>
      <c r="I1364">
        <v>16635.77</v>
      </c>
      <c r="J1364">
        <v>0</v>
      </c>
      <c r="K1364">
        <v>16635.77</v>
      </c>
    </row>
    <row r="1365" spans="1:11" x14ac:dyDescent="0.35">
      <c r="A1365">
        <v>9300000424</v>
      </c>
      <c r="B1365">
        <v>9400008498</v>
      </c>
      <c r="C1365" s="10">
        <v>46164</v>
      </c>
      <c r="D1365" t="s">
        <v>2032</v>
      </c>
      <c r="E1365" s="11">
        <v>18754402</v>
      </c>
      <c r="F1365" t="s">
        <v>935</v>
      </c>
      <c r="G1365" t="s">
        <v>936</v>
      </c>
      <c r="H1365" s="10">
        <v>46178</v>
      </c>
      <c r="I1365">
        <v>3308.1</v>
      </c>
      <c r="J1365">
        <v>883.71</v>
      </c>
      <c r="K1365">
        <v>2424.39</v>
      </c>
    </row>
    <row r="1366" spans="1:11" x14ac:dyDescent="0.35">
      <c r="A1366">
        <v>2720000250</v>
      </c>
      <c r="B1366">
        <v>9400008493</v>
      </c>
      <c r="C1366" s="10">
        <v>46164</v>
      </c>
      <c r="D1366" t="s">
        <v>2032</v>
      </c>
      <c r="E1366" s="11">
        <v>18754160</v>
      </c>
      <c r="F1366" t="s">
        <v>136</v>
      </c>
      <c r="G1366" t="s">
        <v>137</v>
      </c>
      <c r="H1366" s="10">
        <v>46209</v>
      </c>
      <c r="I1366">
        <v>19524.98</v>
      </c>
      <c r="J1366">
        <v>0</v>
      </c>
      <c r="K1366">
        <v>19524.98</v>
      </c>
    </row>
    <row r="1367" spans="1:11" x14ac:dyDescent="0.35">
      <c r="A1367">
        <v>3000000635</v>
      </c>
      <c r="B1367">
        <v>9400008486</v>
      </c>
      <c r="C1367" s="10">
        <v>46164</v>
      </c>
      <c r="D1367" t="s">
        <v>2032</v>
      </c>
      <c r="E1367" s="11">
        <v>18753119</v>
      </c>
      <c r="F1367" t="s">
        <v>3516</v>
      </c>
      <c r="G1367" t="s">
        <v>3517</v>
      </c>
      <c r="H1367" s="10">
        <v>46209</v>
      </c>
      <c r="I1367">
        <v>11283.16</v>
      </c>
      <c r="J1367">
        <v>0</v>
      </c>
      <c r="K1367">
        <v>11283.16</v>
      </c>
    </row>
    <row r="1368" spans="1:11" x14ac:dyDescent="0.35">
      <c r="A1368">
        <v>9300000420</v>
      </c>
      <c r="B1368">
        <v>9400008485</v>
      </c>
      <c r="C1368" s="10">
        <v>46164</v>
      </c>
      <c r="D1368" t="s">
        <v>2032</v>
      </c>
      <c r="E1368" s="11">
        <v>18754358</v>
      </c>
      <c r="F1368" t="s">
        <v>339</v>
      </c>
      <c r="G1368" t="s">
        <v>340</v>
      </c>
      <c r="H1368" s="10">
        <v>46209</v>
      </c>
      <c r="I1368">
        <v>78694.22</v>
      </c>
      <c r="J1368">
        <v>0</v>
      </c>
      <c r="K1368">
        <v>78694.22</v>
      </c>
    </row>
    <row r="1369" spans="1:11" x14ac:dyDescent="0.35">
      <c r="A1369">
        <v>5100000522</v>
      </c>
      <c r="B1369">
        <v>9400008482</v>
      </c>
      <c r="C1369" s="10">
        <v>46164</v>
      </c>
      <c r="D1369" t="s">
        <v>2032</v>
      </c>
      <c r="E1369" s="11">
        <v>18764873</v>
      </c>
      <c r="F1369" t="s">
        <v>379</v>
      </c>
      <c r="G1369" t="s">
        <v>380</v>
      </c>
      <c r="H1369" s="10">
        <v>46209</v>
      </c>
      <c r="I1369">
        <v>10874.88</v>
      </c>
      <c r="J1369">
        <v>0</v>
      </c>
      <c r="K1369">
        <v>10874.88</v>
      </c>
    </row>
    <row r="1370" spans="1:11" x14ac:dyDescent="0.35">
      <c r="A1370">
        <v>3000000633</v>
      </c>
      <c r="B1370">
        <v>9400008479</v>
      </c>
      <c r="C1370" s="10">
        <v>46164</v>
      </c>
      <c r="D1370" t="s">
        <v>2032</v>
      </c>
      <c r="E1370" s="11">
        <v>18764724</v>
      </c>
      <c r="F1370" t="s">
        <v>3516</v>
      </c>
      <c r="G1370" t="s">
        <v>3517</v>
      </c>
      <c r="H1370" s="10">
        <v>46178</v>
      </c>
      <c r="I1370">
        <v>120633.76</v>
      </c>
      <c r="J1370">
        <v>24030.35</v>
      </c>
      <c r="K1370">
        <v>96603.41</v>
      </c>
    </row>
    <row r="1371" spans="1:11" x14ac:dyDescent="0.35">
      <c r="A1371">
        <v>9200000533</v>
      </c>
      <c r="B1371">
        <v>9400008475</v>
      </c>
      <c r="C1371" s="10">
        <v>46164</v>
      </c>
      <c r="D1371" t="s">
        <v>2032</v>
      </c>
      <c r="E1371" s="11">
        <v>18754450</v>
      </c>
      <c r="F1371" t="s">
        <v>425</v>
      </c>
      <c r="G1371" t="s">
        <v>426</v>
      </c>
      <c r="H1371" s="10">
        <v>46209</v>
      </c>
      <c r="I1371">
        <v>104210.52</v>
      </c>
      <c r="J1371">
        <v>0</v>
      </c>
      <c r="K1371">
        <v>104210.52</v>
      </c>
    </row>
    <row r="1372" spans="1:11" x14ac:dyDescent="0.35">
      <c r="A1372">
        <v>3000000629</v>
      </c>
      <c r="B1372">
        <v>9400008446</v>
      </c>
      <c r="C1372" s="10">
        <v>46164</v>
      </c>
      <c r="D1372" t="s">
        <v>2032</v>
      </c>
      <c r="E1372" s="11">
        <v>18764725</v>
      </c>
      <c r="F1372" t="s">
        <v>1121</v>
      </c>
      <c r="G1372" t="s">
        <v>1122</v>
      </c>
      <c r="H1372" s="10">
        <v>46178</v>
      </c>
      <c r="I1372">
        <v>79050.559999999998</v>
      </c>
      <c r="J1372">
        <v>0</v>
      </c>
      <c r="K1372">
        <v>79050.559999999998</v>
      </c>
    </row>
    <row r="1373" spans="1:11" x14ac:dyDescent="0.35">
      <c r="A1373">
        <v>9100000713</v>
      </c>
      <c r="B1373">
        <v>9400008438</v>
      </c>
      <c r="C1373" s="10">
        <v>46164</v>
      </c>
      <c r="D1373" t="s">
        <v>2032</v>
      </c>
      <c r="E1373" s="11">
        <v>18754438</v>
      </c>
      <c r="F1373" t="s">
        <v>983</v>
      </c>
      <c r="G1373" t="s">
        <v>984</v>
      </c>
      <c r="H1373" s="10">
        <v>46209</v>
      </c>
      <c r="I1373">
        <v>83062.559999999998</v>
      </c>
      <c r="J1373">
        <v>0</v>
      </c>
      <c r="K1373">
        <v>83062.559999999998</v>
      </c>
    </row>
    <row r="1374" spans="1:11" x14ac:dyDescent="0.35">
      <c r="A1374">
        <v>9300000418</v>
      </c>
      <c r="B1374">
        <v>9400008434</v>
      </c>
      <c r="C1374" s="10">
        <v>46164</v>
      </c>
      <c r="D1374" t="s">
        <v>2032</v>
      </c>
      <c r="E1374" s="11">
        <v>18764702</v>
      </c>
      <c r="F1374" t="s">
        <v>1045</v>
      </c>
      <c r="G1374" t="s">
        <v>1046</v>
      </c>
      <c r="H1374" s="10">
        <v>46209</v>
      </c>
      <c r="I1374">
        <v>69856</v>
      </c>
      <c r="J1374">
        <v>0</v>
      </c>
      <c r="K1374">
        <v>69856</v>
      </c>
    </row>
    <row r="1375" spans="1:11" x14ac:dyDescent="0.35">
      <c r="A1375">
        <v>9300000417</v>
      </c>
      <c r="B1375">
        <v>9400008427</v>
      </c>
      <c r="C1375" s="10">
        <v>46164</v>
      </c>
      <c r="D1375" t="s">
        <v>2032</v>
      </c>
      <c r="E1375" s="11">
        <v>18754412</v>
      </c>
      <c r="F1375" t="s">
        <v>935</v>
      </c>
      <c r="G1375" t="s">
        <v>936</v>
      </c>
      <c r="H1375" s="10">
        <v>46178</v>
      </c>
      <c r="I1375">
        <v>265641.59999999998</v>
      </c>
      <c r="J1375">
        <v>0</v>
      </c>
      <c r="K1375">
        <v>265641.59999999998</v>
      </c>
    </row>
    <row r="1376" spans="1:11" x14ac:dyDescent="0.35">
      <c r="A1376">
        <v>5100000515</v>
      </c>
      <c r="B1376">
        <v>9400008426</v>
      </c>
      <c r="C1376" s="10">
        <v>46164</v>
      </c>
      <c r="D1376" t="s">
        <v>2032</v>
      </c>
      <c r="E1376" s="11">
        <v>18754596</v>
      </c>
      <c r="F1376" t="s">
        <v>1191</v>
      </c>
      <c r="G1376" t="s">
        <v>1192</v>
      </c>
      <c r="H1376" s="10">
        <v>46164</v>
      </c>
      <c r="I1376">
        <v>34233.599999999999</v>
      </c>
      <c r="J1376">
        <v>33664.29</v>
      </c>
      <c r="K1376">
        <v>569.30999999999767</v>
      </c>
    </row>
    <row r="1377" spans="1:11" x14ac:dyDescent="0.35">
      <c r="A1377">
        <v>8000000450</v>
      </c>
      <c r="B1377">
        <v>9400008425</v>
      </c>
      <c r="C1377" s="10">
        <v>46164</v>
      </c>
      <c r="D1377" t="s">
        <v>2032</v>
      </c>
      <c r="E1377" s="11">
        <v>18764713</v>
      </c>
      <c r="F1377" t="s">
        <v>693</v>
      </c>
      <c r="G1377" t="s">
        <v>694</v>
      </c>
      <c r="H1377" s="10">
        <v>46209</v>
      </c>
      <c r="I1377">
        <v>179385.48</v>
      </c>
      <c r="J1377">
        <v>0</v>
      </c>
      <c r="K1377">
        <v>179385.48</v>
      </c>
    </row>
    <row r="1378" spans="1:11" x14ac:dyDescent="0.35">
      <c r="A1378">
        <v>9200000525</v>
      </c>
      <c r="B1378">
        <v>9400008421</v>
      </c>
      <c r="C1378" s="10">
        <v>46164</v>
      </c>
      <c r="D1378" t="s">
        <v>2032</v>
      </c>
      <c r="E1378" s="11">
        <v>18752357</v>
      </c>
      <c r="F1378" t="s">
        <v>3617</v>
      </c>
      <c r="G1378" t="s">
        <v>3618</v>
      </c>
      <c r="H1378" s="10">
        <v>46209</v>
      </c>
      <c r="I1378">
        <v>41476.980000000003</v>
      </c>
      <c r="J1378">
        <v>0</v>
      </c>
      <c r="K1378">
        <v>41476.980000000003</v>
      </c>
    </row>
    <row r="1379" spans="1:11" x14ac:dyDescent="0.35">
      <c r="A1379">
        <v>2730000383</v>
      </c>
      <c r="B1379">
        <v>9400008419</v>
      </c>
      <c r="C1379" s="10">
        <v>46164</v>
      </c>
      <c r="D1379" t="s">
        <v>2032</v>
      </c>
      <c r="E1379" s="11">
        <v>18764669</v>
      </c>
      <c r="F1379" t="s">
        <v>3661</v>
      </c>
      <c r="G1379" t="s">
        <v>3662</v>
      </c>
      <c r="H1379" s="10">
        <v>46209</v>
      </c>
      <c r="I1379">
        <v>10827.68</v>
      </c>
      <c r="J1379">
        <v>0</v>
      </c>
      <c r="K1379">
        <v>10827.68</v>
      </c>
    </row>
    <row r="1380" spans="1:11" x14ac:dyDescent="0.35">
      <c r="A1380">
        <v>2720000244</v>
      </c>
      <c r="B1380">
        <v>9400008418</v>
      </c>
      <c r="C1380" s="10">
        <v>46164</v>
      </c>
      <c r="D1380" t="s">
        <v>2032</v>
      </c>
      <c r="E1380" s="11">
        <v>18754443</v>
      </c>
      <c r="F1380" t="s">
        <v>58</v>
      </c>
      <c r="G1380" t="s">
        <v>59</v>
      </c>
      <c r="H1380" s="10">
        <v>46209</v>
      </c>
      <c r="I1380">
        <v>51400.800000000003</v>
      </c>
      <c r="J1380">
        <v>0</v>
      </c>
      <c r="K1380">
        <v>51400.800000000003</v>
      </c>
    </row>
    <row r="1381" spans="1:11" x14ac:dyDescent="0.35">
      <c r="A1381">
        <v>3000000627</v>
      </c>
      <c r="B1381">
        <v>9400008414</v>
      </c>
      <c r="C1381" s="10">
        <v>46164</v>
      </c>
      <c r="D1381" t="s">
        <v>2032</v>
      </c>
      <c r="E1381" s="11">
        <v>18754435</v>
      </c>
      <c r="F1381" t="s">
        <v>3553</v>
      </c>
      <c r="G1381" t="s">
        <v>3554</v>
      </c>
      <c r="H1381" s="10">
        <v>46209</v>
      </c>
      <c r="I1381">
        <v>97744.52</v>
      </c>
      <c r="J1381">
        <v>0</v>
      </c>
      <c r="K1381">
        <v>97744.52</v>
      </c>
    </row>
    <row r="1382" spans="1:11" x14ac:dyDescent="0.35">
      <c r="A1382">
        <v>2730000382</v>
      </c>
      <c r="B1382">
        <v>9400008413</v>
      </c>
      <c r="C1382" s="10">
        <v>46164</v>
      </c>
      <c r="D1382" t="s">
        <v>2032</v>
      </c>
      <c r="E1382" s="11">
        <v>18764669</v>
      </c>
      <c r="F1382" t="s">
        <v>3661</v>
      </c>
      <c r="G1382" t="s">
        <v>3662</v>
      </c>
      <c r="H1382" s="10">
        <v>46178</v>
      </c>
      <c r="I1382">
        <v>58335.66</v>
      </c>
      <c r="J1382">
        <v>1293.77</v>
      </c>
      <c r="K1382">
        <v>57041.890000000007</v>
      </c>
    </row>
    <row r="1383" spans="1:11" x14ac:dyDescent="0.35">
      <c r="A1383">
        <v>2710000568</v>
      </c>
      <c r="B1383">
        <v>9400008411</v>
      </c>
      <c r="C1383" s="10">
        <v>46164</v>
      </c>
      <c r="D1383" t="s">
        <v>2032</v>
      </c>
      <c r="E1383" s="11">
        <v>18764706</v>
      </c>
      <c r="F1383" t="s">
        <v>66</v>
      </c>
      <c r="G1383" t="s">
        <v>67</v>
      </c>
      <c r="H1383" s="10">
        <v>46209</v>
      </c>
      <c r="I1383">
        <v>3552.04</v>
      </c>
      <c r="J1383">
        <v>0</v>
      </c>
      <c r="K1383">
        <v>3552.04</v>
      </c>
    </row>
    <row r="1384" spans="1:11" x14ac:dyDescent="0.35">
      <c r="A1384">
        <v>2710000567</v>
      </c>
      <c r="B1384">
        <v>9400008410</v>
      </c>
      <c r="C1384" s="10">
        <v>46164</v>
      </c>
      <c r="D1384" t="s">
        <v>2032</v>
      </c>
      <c r="E1384" s="11">
        <v>18764706</v>
      </c>
      <c r="F1384" t="s">
        <v>66</v>
      </c>
      <c r="G1384" t="s">
        <v>67</v>
      </c>
      <c r="H1384" s="10">
        <v>46164</v>
      </c>
      <c r="I1384">
        <v>28818.43</v>
      </c>
      <c r="J1384">
        <v>0</v>
      </c>
      <c r="K1384">
        <v>28818.43</v>
      </c>
    </row>
    <row r="1385" spans="1:11" x14ac:dyDescent="0.35">
      <c r="A1385">
        <v>3000000626</v>
      </c>
      <c r="B1385">
        <v>9400008405</v>
      </c>
      <c r="C1385" s="10">
        <v>46164</v>
      </c>
      <c r="D1385" t="s">
        <v>2032</v>
      </c>
      <c r="E1385" s="11">
        <v>18754419</v>
      </c>
      <c r="F1385" t="s">
        <v>3663</v>
      </c>
      <c r="G1385" t="s">
        <v>3664</v>
      </c>
      <c r="H1385" s="10">
        <v>46164</v>
      </c>
      <c r="I1385">
        <v>21288.78</v>
      </c>
      <c r="J1385">
        <v>21253.27</v>
      </c>
      <c r="K1385">
        <v>35.509999999998399</v>
      </c>
    </row>
    <row r="1386" spans="1:11" x14ac:dyDescent="0.35">
      <c r="A1386">
        <v>9100000707</v>
      </c>
      <c r="B1386">
        <v>9400008401</v>
      </c>
      <c r="C1386" s="10">
        <v>46164</v>
      </c>
      <c r="D1386" t="s">
        <v>2032</v>
      </c>
      <c r="E1386" s="11">
        <v>18754181</v>
      </c>
      <c r="F1386" t="s">
        <v>3665</v>
      </c>
      <c r="G1386" t="s">
        <v>3666</v>
      </c>
      <c r="H1386" s="10">
        <v>46164</v>
      </c>
      <c r="I1386">
        <v>93250.78</v>
      </c>
      <c r="J1386">
        <v>92265.1</v>
      </c>
      <c r="K1386">
        <v>985.67999999999302</v>
      </c>
    </row>
    <row r="1387" spans="1:11" x14ac:dyDescent="0.35">
      <c r="A1387">
        <v>2720000243</v>
      </c>
      <c r="B1387">
        <v>9400008388</v>
      </c>
      <c r="C1387" s="10">
        <v>46164</v>
      </c>
      <c r="D1387" t="s">
        <v>2032</v>
      </c>
      <c r="E1387" s="11">
        <v>18754451</v>
      </c>
      <c r="F1387" t="s">
        <v>941</v>
      </c>
      <c r="G1387" t="s">
        <v>942</v>
      </c>
      <c r="H1387" s="10">
        <v>46178</v>
      </c>
      <c r="I1387">
        <v>41064</v>
      </c>
      <c r="J1387">
        <v>1716.21</v>
      </c>
      <c r="K1387">
        <v>39347.79</v>
      </c>
    </row>
    <row r="1388" spans="1:11" x14ac:dyDescent="0.35">
      <c r="A1388">
        <v>5100000514</v>
      </c>
      <c r="B1388">
        <v>9400008367</v>
      </c>
      <c r="C1388" s="10">
        <v>46164</v>
      </c>
      <c r="D1388" t="s">
        <v>2032</v>
      </c>
      <c r="E1388" s="11">
        <v>18754319</v>
      </c>
      <c r="F1388" t="s">
        <v>379</v>
      </c>
      <c r="G1388" t="s">
        <v>380</v>
      </c>
      <c r="H1388" s="10">
        <v>46209</v>
      </c>
      <c r="I1388">
        <v>14499.84</v>
      </c>
      <c r="J1388">
        <v>0</v>
      </c>
      <c r="K1388">
        <v>14499.84</v>
      </c>
    </row>
    <row r="1389" spans="1:11" x14ac:dyDescent="0.35">
      <c r="A1389">
        <v>9100000702</v>
      </c>
      <c r="B1389">
        <v>9400008364</v>
      </c>
      <c r="C1389" s="10">
        <v>46164</v>
      </c>
      <c r="D1389" t="s">
        <v>2032</v>
      </c>
      <c r="E1389" s="11">
        <v>18754330</v>
      </c>
      <c r="F1389" t="s">
        <v>1185</v>
      </c>
      <c r="G1389" t="s">
        <v>1186</v>
      </c>
      <c r="H1389" s="10">
        <v>46164</v>
      </c>
      <c r="I1389">
        <v>63416.32</v>
      </c>
      <c r="J1389">
        <v>55518.14</v>
      </c>
      <c r="K1389">
        <v>7898.18</v>
      </c>
    </row>
    <row r="1390" spans="1:11" x14ac:dyDescent="0.35">
      <c r="A1390">
        <v>2000000148</v>
      </c>
      <c r="B1390">
        <v>9400008356</v>
      </c>
      <c r="C1390" s="10">
        <v>46164</v>
      </c>
      <c r="D1390" t="s">
        <v>2032</v>
      </c>
      <c r="E1390" s="11">
        <v>18753379</v>
      </c>
      <c r="F1390" t="s">
        <v>1201</v>
      </c>
      <c r="G1390" t="s">
        <v>1202</v>
      </c>
      <c r="H1390" s="10">
        <v>46209</v>
      </c>
      <c r="I1390">
        <v>31435.200000000001</v>
      </c>
      <c r="J1390">
        <v>0</v>
      </c>
      <c r="K1390">
        <v>31435.200000000001</v>
      </c>
    </row>
    <row r="1391" spans="1:11" x14ac:dyDescent="0.35">
      <c r="A1391">
        <v>9100000699</v>
      </c>
      <c r="B1391">
        <v>9400008353</v>
      </c>
      <c r="C1391" s="10">
        <v>46164</v>
      </c>
      <c r="D1391" t="s">
        <v>2032</v>
      </c>
      <c r="E1391" s="11">
        <v>18753705</v>
      </c>
      <c r="F1391" t="s">
        <v>1013</v>
      </c>
      <c r="G1391" t="s">
        <v>1014</v>
      </c>
      <c r="H1391" s="10">
        <v>46209</v>
      </c>
      <c r="I1391">
        <v>40630.699999999997</v>
      </c>
      <c r="J1391">
        <v>0</v>
      </c>
      <c r="K1391">
        <v>40630.699999999997</v>
      </c>
    </row>
    <row r="1392" spans="1:11" x14ac:dyDescent="0.35">
      <c r="A1392">
        <v>2710000565</v>
      </c>
      <c r="B1392">
        <v>9400008352</v>
      </c>
      <c r="C1392" s="10">
        <v>46164</v>
      </c>
      <c r="D1392" t="s">
        <v>2032</v>
      </c>
      <c r="E1392" s="11">
        <v>18754437</v>
      </c>
      <c r="F1392" t="s">
        <v>753</v>
      </c>
      <c r="G1392" t="s">
        <v>754</v>
      </c>
      <c r="H1392" s="10">
        <v>46178</v>
      </c>
      <c r="I1392">
        <v>33812.239999999998</v>
      </c>
      <c r="J1392">
        <v>0</v>
      </c>
      <c r="K1392">
        <v>33812.239999999998</v>
      </c>
    </row>
    <row r="1393" spans="1:11" x14ac:dyDescent="0.35">
      <c r="A1393">
        <v>2300000368</v>
      </c>
      <c r="B1393">
        <v>9400008343</v>
      </c>
      <c r="C1393" s="10">
        <v>46164</v>
      </c>
      <c r="D1393" t="s">
        <v>2032</v>
      </c>
      <c r="E1393" s="11">
        <v>18754314</v>
      </c>
      <c r="F1393" t="s">
        <v>78</v>
      </c>
      <c r="G1393" t="s">
        <v>79</v>
      </c>
      <c r="H1393" s="10">
        <v>46209</v>
      </c>
      <c r="I1393">
        <v>74704.2</v>
      </c>
      <c r="J1393">
        <v>0</v>
      </c>
      <c r="K1393">
        <v>74704.2</v>
      </c>
    </row>
    <row r="1394" spans="1:11" x14ac:dyDescent="0.35">
      <c r="A1394">
        <v>8000000441</v>
      </c>
      <c r="B1394">
        <v>9400008327</v>
      </c>
      <c r="C1394" s="10">
        <v>46164</v>
      </c>
      <c r="D1394" t="s">
        <v>2032</v>
      </c>
      <c r="E1394" s="11">
        <v>18754382</v>
      </c>
      <c r="F1394" t="s">
        <v>667</v>
      </c>
      <c r="G1394" t="s">
        <v>668</v>
      </c>
      <c r="H1394" s="10">
        <v>46209</v>
      </c>
      <c r="I1394">
        <v>22333.040000000001</v>
      </c>
      <c r="J1394">
        <v>0</v>
      </c>
      <c r="K1394">
        <v>22333.040000000001</v>
      </c>
    </row>
    <row r="1395" spans="1:11" x14ac:dyDescent="0.35">
      <c r="A1395">
        <v>7000000366</v>
      </c>
      <c r="B1395">
        <v>9400008326</v>
      </c>
      <c r="C1395" s="10">
        <v>46164</v>
      </c>
      <c r="D1395" t="s">
        <v>2032</v>
      </c>
      <c r="E1395" s="11">
        <v>18754459</v>
      </c>
      <c r="F1395" t="s">
        <v>735</v>
      </c>
      <c r="G1395" t="s">
        <v>736</v>
      </c>
      <c r="H1395" s="10">
        <v>46178</v>
      </c>
      <c r="I1395">
        <v>234961.6</v>
      </c>
      <c r="J1395">
        <v>20957.830000000002</v>
      </c>
      <c r="K1395">
        <v>214003.77000000002</v>
      </c>
    </row>
    <row r="1396" spans="1:11" x14ac:dyDescent="0.35">
      <c r="A1396">
        <v>9300000413</v>
      </c>
      <c r="B1396">
        <v>9400008322</v>
      </c>
      <c r="C1396" s="10">
        <v>46164</v>
      </c>
      <c r="D1396" t="s">
        <v>2032</v>
      </c>
      <c r="E1396" s="11">
        <v>18753019</v>
      </c>
      <c r="F1396" t="s">
        <v>963</v>
      </c>
      <c r="G1396" t="s">
        <v>964</v>
      </c>
      <c r="H1396" s="10">
        <v>46209</v>
      </c>
      <c r="I1396">
        <v>20466.54</v>
      </c>
      <c r="J1396">
        <v>0</v>
      </c>
      <c r="K1396">
        <v>20466.54</v>
      </c>
    </row>
    <row r="1397" spans="1:11" x14ac:dyDescent="0.35">
      <c r="A1397">
        <v>5100000512</v>
      </c>
      <c r="B1397">
        <v>9400008320</v>
      </c>
      <c r="C1397" s="10">
        <v>46164</v>
      </c>
      <c r="D1397" t="s">
        <v>2032</v>
      </c>
      <c r="E1397" s="11">
        <v>18753729</v>
      </c>
      <c r="F1397" t="s">
        <v>3531</v>
      </c>
      <c r="G1397" t="s">
        <v>3532</v>
      </c>
      <c r="H1397" s="10">
        <v>46209</v>
      </c>
      <c r="I1397">
        <v>41551.82</v>
      </c>
      <c r="J1397">
        <v>0</v>
      </c>
      <c r="K1397">
        <v>41551.82</v>
      </c>
    </row>
    <row r="1398" spans="1:11" x14ac:dyDescent="0.35">
      <c r="A1398">
        <v>2730000378</v>
      </c>
      <c r="B1398">
        <v>9400008312</v>
      </c>
      <c r="C1398" s="10">
        <v>46164</v>
      </c>
      <c r="D1398" t="s">
        <v>2032</v>
      </c>
      <c r="E1398" s="11">
        <v>18754343</v>
      </c>
      <c r="F1398" t="s">
        <v>1047</v>
      </c>
      <c r="G1398" t="s">
        <v>1048</v>
      </c>
      <c r="H1398" s="10">
        <v>46209</v>
      </c>
      <c r="I1398">
        <v>30840.48</v>
      </c>
      <c r="J1398">
        <v>0</v>
      </c>
      <c r="K1398">
        <v>30840.48</v>
      </c>
    </row>
    <row r="1399" spans="1:11" x14ac:dyDescent="0.35">
      <c r="A1399">
        <v>2730000377</v>
      </c>
      <c r="B1399">
        <v>9400008299</v>
      </c>
      <c r="C1399" s="10">
        <v>46164</v>
      </c>
      <c r="D1399" t="s">
        <v>2032</v>
      </c>
      <c r="E1399" s="11">
        <v>18646071</v>
      </c>
      <c r="F1399" t="s">
        <v>1047</v>
      </c>
      <c r="G1399" t="s">
        <v>1048</v>
      </c>
      <c r="H1399" s="10">
        <v>46178</v>
      </c>
      <c r="I1399">
        <v>72513.36</v>
      </c>
      <c r="J1399">
        <v>6174.36</v>
      </c>
      <c r="K1399">
        <v>66339</v>
      </c>
    </row>
    <row r="1400" spans="1:11" x14ac:dyDescent="0.35">
      <c r="A1400">
        <v>2730000376</v>
      </c>
      <c r="B1400">
        <v>9400008291</v>
      </c>
      <c r="C1400" s="10">
        <v>46164</v>
      </c>
      <c r="D1400" t="s">
        <v>2032</v>
      </c>
      <c r="E1400" s="11">
        <v>403</v>
      </c>
      <c r="F1400" t="s">
        <v>3667</v>
      </c>
      <c r="G1400" t="s">
        <v>3668</v>
      </c>
      <c r="H1400" s="10">
        <v>46209</v>
      </c>
      <c r="I1400">
        <v>15969.12</v>
      </c>
      <c r="J1400">
        <v>0</v>
      </c>
      <c r="K1400">
        <v>15969.12</v>
      </c>
    </row>
    <row r="1401" spans="1:11" x14ac:dyDescent="0.35">
      <c r="A1401">
        <v>2300000366</v>
      </c>
      <c r="B1401">
        <v>9400008288</v>
      </c>
      <c r="C1401" s="10">
        <v>46164</v>
      </c>
      <c r="D1401" t="s">
        <v>2032</v>
      </c>
      <c r="E1401" s="11">
        <v>18753656</v>
      </c>
      <c r="F1401" t="s">
        <v>3533</v>
      </c>
      <c r="G1401" t="s">
        <v>3534</v>
      </c>
      <c r="H1401" s="10">
        <v>46209</v>
      </c>
      <c r="I1401">
        <v>19219.22</v>
      </c>
      <c r="J1401">
        <v>0</v>
      </c>
      <c r="K1401">
        <v>19219.22</v>
      </c>
    </row>
    <row r="1402" spans="1:11" x14ac:dyDescent="0.35">
      <c r="A1402">
        <v>2730000375</v>
      </c>
      <c r="B1402">
        <v>9400008283</v>
      </c>
      <c r="C1402" s="10">
        <v>46164</v>
      </c>
      <c r="D1402" t="s">
        <v>2032</v>
      </c>
      <c r="E1402" s="11">
        <v>745</v>
      </c>
      <c r="F1402" t="s">
        <v>359</v>
      </c>
      <c r="G1402" t="s">
        <v>360</v>
      </c>
      <c r="H1402" s="10">
        <v>46178</v>
      </c>
      <c r="I1402">
        <v>13027.2</v>
      </c>
      <c r="J1402">
        <v>206.35</v>
      </c>
      <c r="K1402">
        <v>12820.85</v>
      </c>
    </row>
    <row r="1403" spans="1:11" x14ac:dyDescent="0.35">
      <c r="A1403">
        <v>2300000365</v>
      </c>
      <c r="B1403">
        <v>9400008279</v>
      </c>
      <c r="C1403" s="10">
        <v>46164</v>
      </c>
      <c r="D1403" t="s">
        <v>2032</v>
      </c>
      <c r="E1403" s="11">
        <v>18753727</v>
      </c>
      <c r="F1403" t="s">
        <v>647</v>
      </c>
      <c r="G1403" t="s">
        <v>648</v>
      </c>
      <c r="H1403" s="10">
        <v>46209</v>
      </c>
      <c r="I1403">
        <v>226163.52</v>
      </c>
      <c r="J1403">
        <v>0</v>
      </c>
      <c r="K1403">
        <v>226163.52</v>
      </c>
    </row>
    <row r="1404" spans="1:11" x14ac:dyDescent="0.35">
      <c r="A1404">
        <v>2730000374</v>
      </c>
      <c r="B1404">
        <v>9400008275</v>
      </c>
      <c r="C1404" s="10">
        <v>46164</v>
      </c>
      <c r="D1404" t="s">
        <v>2032</v>
      </c>
      <c r="E1404" s="11">
        <v>366</v>
      </c>
      <c r="F1404" t="s">
        <v>359</v>
      </c>
      <c r="G1404" t="s">
        <v>360</v>
      </c>
      <c r="H1404" s="10">
        <v>46178</v>
      </c>
      <c r="I1404">
        <v>6894.84</v>
      </c>
      <c r="J1404">
        <v>0</v>
      </c>
      <c r="K1404">
        <v>6894.84</v>
      </c>
    </row>
    <row r="1405" spans="1:11" x14ac:dyDescent="0.35">
      <c r="A1405">
        <v>2730000373</v>
      </c>
      <c r="B1405">
        <v>9400008268</v>
      </c>
      <c r="C1405" s="10">
        <v>46164</v>
      </c>
      <c r="D1405" t="s">
        <v>2032</v>
      </c>
      <c r="E1405" s="11">
        <v>1078</v>
      </c>
      <c r="F1405" t="s">
        <v>359</v>
      </c>
      <c r="G1405" t="s">
        <v>360</v>
      </c>
      <c r="H1405" s="10">
        <v>46178</v>
      </c>
      <c r="I1405">
        <v>6796.8</v>
      </c>
      <c r="J1405">
        <v>0</v>
      </c>
      <c r="K1405">
        <v>6796.8</v>
      </c>
    </row>
    <row r="1406" spans="1:11" x14ac:dyDescent="0.35">
      <c r="A1406">
        <v>9300000410</v>
      </c>
      <c r="B1406">
        <v>9400008247</v>
      </c>
      <c r="C1406" s="10">
        <v>46163</v>
      </c>
      <c r="D1406" t="s">
        <v>2032</v>
      </c>
      <c r="E1406" s="11">
        <v>18753138</v>
      </c>
      <c r="F1406" t="s">
        <v>615</v>
      </c>
      <c r="G1406" t="s">
        <v>616</v>
      </c>
      <c r="H1406" s="10">
        <v>46208</v>
      </c>
      <c r="I1406">
        <v>74928.34</v>
      </c>
      <c r="J1406">
        <v>0</v>
      </c>
      <c r="K1406">
        <v>74928.34</v>
      </c>
    </row>
    <row r="1407" spans="1:11" x14ac:dyDescent="0.35">
      <c r="A1407">
        <v>2720000240</v>
      </c>
      <c r="B1407">
        <v>9400008240</v>
      </c>
      <c r="C1407" s="10">
        <v>46163</v>
      </c>
      <c r="D1407" t="s">
        <v>2032</v>
      </c>
      <c r="E1407" s="11">
        <v>18753156</v>
      </c>
      <c r="F1407" t="s">
        <v>22</v>
      </c>
      <c r="G1407" t="s">
        <v>23</v>
      </c>
      <c r="H1407" s="10">
        <v>46208</v>
      </c>
      <c r="I1407">
        <v>18858.439999999999</v>
      </c>
      <c r="J1407">
        <v>0</v>
      </c>
      <c r="K1407">
        <v>18858.439999999999</v>
      </c>
    </row>
    <row r="1408" spans="1:11" x14ac:dyDescent="0.35">
      <c r="A1408">
        <v>2720000239</v>
      </c>
      <c r="B1408">
        <v>9400008239</v>
      </c>
      <c r="C1408" s="10">
        <v>46163</v>
      </c>
      <c r="D1408" t="s">
        <v>2032</v>
      </c>
      <c r="E1408" s="11">
        <v>18752279</v>
      </c>
      <c r="F1408" t="s">
        <v>545</v>
      </c>
      <c r="G1408" t="s">
        <v>546</v>
      </c>
      <c r="H1408" s="10">
        <v>46208</v>
      </c>
      <c r="I1408">
        <v>42344.06</v>
      </c>
      <c r="J1408">
        <v>0</v>
      </c>
      <c r="K1408">
        <v>42344.06</v>
      </c>
    </row>
    <row r="1409" spans="1:11" x14ac:dyDescent="0.35">
      <c r="A1409">
        <v>3000000619</v>
      </c>
      <c r="B1409">
        <v>9400008237</v>
      </c>
      <c r="C1409" s="10">
        <v>46163</v>
      </c>
      <c r="D1409" t="s">
        <v>2032</v>
      </c>
      <c r="E1409" s="11" t="s">
        <v>3681</v>
      </c>
      <c r="F1409" t="s">
        <v>875</v>
      </c>
      <c r="G1409" t="s">
        <v>876</v>
      </c>
      <c r="H1409" s="10">
        <v>46163</v>
      </c>
      <c r="I1409">
        <v>1523.61</v>
      </c>
      <c r="J1409">
        <v>0</v>
      </c>
      <c r="K1409">
        <v>1523.61</v>
      </c>
    </row>
    <row r="1410" spans="1:11" x14ac:dyDescent="0.35">
      <c r="A1410">
        <v>2710000559</v>
      </c>
      <c r="B1410">
        <v>9400008235</v>
      </c>
      <c r="C1410" s="10">
        <v>46163</v>
      </c>
      <c r="D1410" t="s">
        <v>2032</v>
      </c>
      <c r="E1410" s="11">
        <v>18753508</v>
      </c>
      <c r="F1410" t="s">
        <v>144</v>
      </c>
      <c r="G1410" t="s">
        <v>145</v>
      </c>
      <c r="H1410" s="10">
        <v>46208</v>
      </c>
      <c r="I1410">
        <v>20033.599999999999</v>
      </c>
      <c r="J1410">
        <v>0</v>
      </c>
      <c r="K1410">
        <v>20033.599999999999</v>
      </c>
    </row>
    <row r="1411" spans="1:11" x14ac:dyDescent="0.35">
      <c r="A1411">
        <v>2730000371</v>
      </c>
      <c r="B1411">
        <v>9400008233</v>
      </c>
      <c r="C1411" s="10">
        <v>46163</v>
      </c>
      <c r="D1411" t="s">
        <v>2032</v>
      </c>
      <c r="E1411" s="11">
        <v>18753553</v>
      </c>
      <c r="F1411" t="s">
        <v>120</v>
      </c>
      <c r="G1411" t="s">
        <v>121</v>
      </c>
      <c r="H1411" s="10">
        <v>46208</v>
      </c>
      <c r="I1411">
        <v>17292.900000000001</v>
      </c>
      <c r="J1411">
        <v>0</v>
      </c>
      <c r="K1411">
        <v>17292.900000000001</v>
      </c>
    </row>
    <row r="1412" spans="1:11" x14ac:dyDescent="0.35">
      <c r="A1412">
        <v>2710000557</v>
      </c>
      <c r="B1412">
        <v>9400008232</v>
      </c>
      <c r="C1412" s="10">
        <v>46163</v>
      </c>
      <c r="D1412" t="s">
        <v>2032</v>
      </c>
      <c r="E1412" s="11">
        <v>18753317</v>
      </c>
      <c r="F1412" t="s">
        <v>767</v>
      </c>
      <c r="G1412" t="s">
        <v>768</v>
      </c>
      <c r="H1412" s="10">
        <v>46177</v>
      </c>
      <c r="I1412">
        <v>197673.60000000001</v>
      </c>
      <c r="J1412">
        <v>41731.72</v>
      </c>
      <c r="K1412">
        <v>155941.88</v>
      </c>
    </row>
    <row r="1413" spans="1:11" x14ac:dyDescent="0.35">
      <c r="A1413">
        <v>8000000440</v>
      </c>
      <c r="B1413">
        <v>9400008229</v>
      </c>
      <c r="C1413" s="10">
        <v>46163</v>
      </c>
      <c r="D1413" t="s">
        <v>2032</v>
      </c>
      <c r="E1413" s="11">
        <v>18753462</v>
      </c>
      <c r="F1413" t="s">
        <v>3669</v>
      </c>
      <c r="G1413" t="s">
        <v>3670</v>
      </c>
      <c r="H1413" s="10">
        <v>46163</v>
      </c>
      <c r="I1413">
        <v>33184.42</v>
      </c>
      <c r="J1413">
        <v>32934.03</v>
      </c>
      <c r="K1413">
        <v>250.38999999999942</v>
      </c>
    </row>
    <row r="1414" spans="1:11" x14ac:dyDescent="0.35">
      <c r="A1414">
        <v>9300000408</v>
      </c>
      <c r="B1414">
        <v>9400008226</v>
      </c>
      <c r="C1414" s="10">
        <v>46163</v>
      </c>
      <c r="D1414" t="s">
        <v>2032</v>
      </c>
      <c r="E1414" s="11">
        <v>18753138</v>
      </c>
      <c r="F1414" t="s">
        <v>975</v>
      </c>
      <c r="G1414" t="s">
        <v>976</v>
      </c>
      <c r="H1414" s="10">
        <v>46208</v>
      </c>
      <c r="I1414">
        <v>16924.740000000002</v>
      </c>
      <c r="J1414">
        <v>0</v>
      </c>
      <c r="K1414">
        <v>16924.740000000002</v>
      </c>
    </row>
    <row r="1415" spans="1:11" x14ac:dyDescent="0.35">
      <c r="A1415">
        <v>3000000618</v>
      </c>
      <c r="B1415">
        <v>9400008220</v>
      </c>
      <c r="C1415" s="10">
        <v>46163</v>
      </c>
      <c r="D1415" t="s">
        <v>2032</v>
      </c>
      <c r="E1415" s="11">
        <v>18753377</v>
      </c>
      <c r="F1415" t="s">
        <v>365</v>
      </c>
      <c r="G1415" t="s">
        <v>366</v>
      </c>
      <c r="H1415" s="10">
        <v>46178</v>
      </c>
      <c r="I1415">
        <v>178957.62</v>
      </c>
      <c r="J1415">
        <v>0</v>
      </c>
      <c r="K1415">
        <v>178957.62</v>
      </c>
    </row>
    <row r="1416" spans="1:11" x14ac:dyDescent="0.35">
      <c r="A1416">
        <v>2730000369</v>
      </c>
      <c r="B1416">
        <v>9400008219</v>
      </c>
      <c r="C1416" s="10">
        <v>46163</v>
      </c>
      <c r="D1416" t="s">
        <v>2032</v>
      </c>
      <c r="E1416" s="11">
        <v>18753407</v>
      </c>
      <c r="F1416" t="s">
        <v>267</v>
      </c>
      <c r="G1416" t="s">
        <v>268</v>
      </c>
      <c r="H1416" s="10">
        <v>46208</v>
      </c>
      <c r="I1416">
        <v>4299.1000000000004</v>
      </c>
      <c r="J1416">
        <v>0</v>
      </c>
      <c r="K1416">
        <v>4299.1000000000004</v>
      </c>
    </row>
    <row r="1417" spans="1:11" x14ac:dyDescent="0.35">
      <c r="A1417">
        <v>2720000238</v>
      </c>
      <c r="B1417">
        <v>9400008218</v>
      </c>
      <c r="C1417" s="10">
        <v>46163</v>
      </c>
      <c r="D1417" t="s">
        <v>2032</v>
      </c>
      <c r="E1417" s="11">
        <v>18753400</v>
      </c>
      <c r="F1417" t="s">
        <v>122</v>
      </c>
      <c r="G1417" t="s">
        <v>123</v>
      </c>
      <c r="H1417" s="10">
        <v>46208</v>
      </c>
      <c r="I1417">
        <v>411206.40000000002</v>
      </c>
      <c r="J1417">
        <v>0</v>
      </c>
      <c r="K1417">
        <v>411206.40000000002</v>
      </c>
    </row>
    <row r="1418" spans="1:11" x14ac:dyDescent="0.35">
      <c r="A1418">
        <v>9300000406</v>
      </c>
      <c r="B1418">
        <v>9400008210</v>
      </c>
      <c r="C1418" s="10">
        <v>46163</v>
      </c>
      <c r="D1418" t="s">
        <v>2032</v>
      </c>
      <c r="E1418" s="11">
        <v>18753427</v>
      </c>
      <c r="F1418" t="s">
        <v>555</v>
      </c>
      <c r="G1418" t="s">
        <v>556</v>
      </c>
      <c r="H1418" s="10">
        <v>46208</v>
      </c>
      <c r="I1418">
        <v>90872.74</v>
      </c>
      <c r="J1418">
        <v>0</v>
      </c>
      <c r="K1418">
        <v>90872.74</v>
      </c>
    </row>
    <row r="1419" spans="1:11" x14ac:dyDescent="0.35">
      <c r="A1419">
        <v>9200000517</v>
      </c>
      <c r="B1419">
        <v>9400008191</v>
      </c>
      <c r="C1419" s="10">
        <v>46163</v>
      </c>
      <c r="D1419" t="s">
        <v>2032</v>
      </c>
      <c r="E1419" s="11">
        <v>18753054</v>
      </c>
      <c r="F1419" t="s">
        <v>859</v>
      </c>
      <c r="G1419" t="s">
        <v>860</v>
      </c>
      <c r="H1419" s="10">
        <v>46208</v>
      </c>
      <c r="I1419">
        <v>58282.559999999998</v>
      </c>
      <c r="J1419">
        <v>0</v>
      </c>
      <c r="K1419">
        <v>58282.559999999998</v>
      </c>
    </row>
    <row r="1420" spans="1:11" x14ac:dyDescent="0.35">
      <c r="A1420">
        <v>2000000146</v>
      </c>
      <c r="B1420">
        <v>9400008185</v>
      </c>
      <c r="C1420" s="10">
        <v>46163</v>
      </c>
      <c r="D1420" t="s">
        <v>2032</v>
      </c>
      <c r="E1420" s="11">
        <v>18753379</v>
      </c>
      <c r="F1420" t="s">
        <v>1201</v>
      </c>
      <c r="G1420" t="s">
        <v>1202</v>
      </c>
      <c r="H1420" s="10">
        <v>46208</v>
      </c>
      <c r="I1420">
        <v>26619.62</v>
      </c>
      <c r="J1420">
        <v>0</v>
      </c>
      <c r="K1420">
        <v>26619.62</v>
      </c>
    </row>
    <row r="1421" spans="1:11" x14ac:dyDescent="0.35">
      <c r="A1421">
        <v>2300000364</v>
      </c>
      <c r="B1421">
        <v>9400008183</v>
      </c>
      <c r="C1421" s="10">
        <v>46163</v>
      </c>
      <c r="D1421" t="s">
        <v>2032</v>
      </c>
      <c r="E1421" s="11">
        <v>18753386</v>
      </c>
      <c r="F1421" t="s">
        <v>627</v>
      </c>
      <c r="G1421" t="s">
        <v>628</v>
      </c>
      <c r="H1421" s="10">
        <v>46208</v>
      </c>
      <c r="I1421">
        <v>315147.59999999998</v>
      </c>
      <c r="J1421">
        <v>0</v>
      </c>
      <c r="K1421">
        <v>315147.59999999998</v>
      </c>
    </row>
    <row r="1422" spans="1:11" x14ac:dyDescent="0.35">
      <c r="A1422">
        <v>9300000405</v>
      </c>
      <c r="B1422">
        <v>9400008180</v>
      </c>
      <c r="C1422" s="10">
        <v>46163</v>
      </c>
      <c r="D1422" t="s">
        <v>2032</v>
      </c>
      <c r="E1422" s="11">
        <v>18753334</v>
      </c>
      <c r="F1422" t="s">
        <v>184</v>
      </c>
      <c r="G1422" t="s">
        <v>185</v>
      </c>
      <c r="H1422" s="10">
        <v>46208</v>
      </c>
      <c r="I1422">
        <v>19343.34</v>
      </c>
      <c r="J1422">
        <v>0</v>
      </c>
      <c r="K1422">
        <v>19343.34</v>
      </c>
    </row>
    <row r="1423" spans="1:11" x14ac:dyDescent="0.35">
      <c r="A1423">
        <v>9100000682</v>
      </c>
      <c r="B1423">
        <v>9400008169</v>
      </c>
      <c r="C1423" s="10">
        <v>46163</v>
      </c>
      <c r="D1423" t="s">
        <v>2032</v>
      </c>
      <c r="E1423" s="11">
        <v>18752909</v>
      </c>
      <c r="F1423" t="s">
        <v>247</v>
      </c>
      <c r="G1423" t="s">
        <v>248</v>
      </c>
      <c r="H1423" s="10">
        <v>46208</v>
      </c>
      <c r="I1423">
        <v>97754.91</v>
      </c>
      <c r="J1423">
        <v>0</v>
      </c>
      <c r="K1423">
        <v>97754.91</v>
      </c>
    </row>
    <row r="1424" spans="1:11" x14ac:dyDescent="0.35">
      <c r="A1424">
        <v>9200000510</v>
      </c>
      <c r="B1424">
        <v>9400008168</v>
      </c>
      <c r="C1424" s="10">
        <v>46163</v>
      </c>
      <c r="D1424" t="s">
        <v>2032</v>
      </c>
      <c r="E1424" s="11">
        <v>18751383</v>
      </c>
      <c r="F1424" t="s">
        <v>603</v>
      </c>
      <c r="G1424" t="s">
        <v>604</v>
      </c>
      <c r="H1424" s="10">
        <v>46208</v>
      </c>
      <c r="I1424">
        <v>49189.02</v>
      </c>
      <c r="J1424">
        <v>0</v>
      </c>
      <c r="K1424">
        <v>49189.02</v>
      </c>
    </row>
    <row r="1425" spans="1:11" x14ac:dyDescent="0.35">
      <c r="A1425">
        <v>9200000507</v>
      </c>
      <c r="B1425">
        <v>9400008156</v>
      </c>
      <c r="C1425" s="10">
        <v>46163</v>
      </c>
      <c r="D1425" t="s">
        <v>2032</v>
      </c>
      <c r="E1425" s="11">
        <v>18753235</v>
      </c>
      <c r="F1425" t="s">
        <v>725</v>
      </c>
      <c r="G1425" t="s">
        <v>726</v>
      </c>
      <c r="H1425" s="10">
        <v>46208</v>
      </c>
      <c r="I1425">
        <v>59843</v>
      </c>
      <c r="J1425">
        <v>0</v>
      </c>
      <c r="K1425">
        <v>59843</v>
      </c>
    </row>
    <row r="1426" spans="1:11" x14ac:dyDescent="0.35">
      <c r="A1426">
        <v>2710000555</v>
      </c>
      <c r="B1426">
        <v>9400008152</v>
      </c>
      <c r="C1426" s="10">
        <v>46163</v>
      </c>
      <c r="D1426" t="s">
        <v>2032</v>
      </c>
      <c r="E1426" s="11">
        <v>18752875</v>
      </c>
      <c r="F1426" t="s">
        <v>679</v>
      </c>
      <c r="G1426" t="s">
        <v>680</v>
      </c>
      <c r="H1426" s="10">
        <v>46208</v>
      </c>
      <c r="I1426">
        <v>16037.62</v>
      </c>
      <c r="J1426">
        <v>0</v>
      </c>
      <c r="K1426">
        <v>16037.62</v>
      </c>
    </row>
    <row r="1427" spans="1:11" x14ac:dyDescent="0.35">
      <c r="A1427">
        <v>9100000679</v>
      </c>
      <c r="B1427">
        <v>9400008148</v>
      </c>
      <c r="C1427" s="10">
        <v>46163</v>
      </c>
      <c r="D1427" t="s">
        <v>2032</v>
      </c>
      <c r="E1427" s="11">
        <v>18752801</v>
      </c>
      <c r="F1427" t="s">
        <v>349</v>
      </c>
      <c r="G1427" t="s">
        <v>350</v>
      </c>
      <c r="H1427" s="10">
        <v>46208</v>
      </c>
      <c r="I1427">
        <v>9455.65</v>
      </c>
      <c r="J1427">
        <v>0</v>
      </c>
      <c r="K1427">
        <v>9455.65</v>
      </c>
    </row>
    <row r="1428" spans="1:11" x14ac:dyDescent="0.35">
      <c r="A1428">
        <v>9100000678</v>
      </c>
      <c r="B1428">
        <v>9400008144</v>
      </c>
      <c r="C1428" s="10">
        <v>46163</v>
      </c>
      <c r="D1428" t="s">
        <v>2032</v>
      </c>
      <c r="E1428" s="11" t="s">
        <v>3682</v>
      </c>
      <c r="F1428" t="s">
        <v>349</v>
      </c>
      <c r="G1428" t="s">
        <v>350</v>
      </c>
      <c r="H1428" s="10">
        <v>46177</v>
      </c>
      <c r="I1428">
        <v>70870.8</v>
      </c>
      <c r="J1428">
        <v>68435.990000000005</v>
      </c>
      <c r="K1428">
        <v>2434.8099999999977</v>
      </c>
    </row>
    <row r="1429" spans="1:11" x14ac:dyDescent="0.35">
      <c r="A1429">
        <v>2720000235</v>
      </c>
      <c r="B1429">
        <v>9400008138</v>
      </c>
      <c r="C1429" s="10">
        <v>46163</v>
      </c>
      <c r="D1429" t="s">
        <v>2032</v>
      </c>
      <c r="E1429" s="11">
        <v>18753112</v>
      </c>
      <c r="F1429" t="s">
        <v>146</v>
      </c>
      <c r="G1429" t="s">
        <v>147</v>
      </c>
      <c r="H1429" s="10">
        <v>46208</v>
      </c>
      <c r="I1429">
        <v>411206.40000000002</v>
      </c>
      <c r="J1429">
        <v>0</v>
      </c>
      <c r="K1429">
        <v>411206.40000000002</v>
      </c>
    </row>
    <row r="1430" spans="1:11" x14ac:dyDescent="0.35">
      <c r="A1430">
        <v>3000000614</v>
      </c>
      <c r="B1430">
        <v>9400008133</v>
      </c>
      <c r="C1430" s="10">
        <v>46163</v>
      </c>
      <c r="D1430" t="s">
        <v>2032</v>
      </c>
      <c r="E1430" s="11">
        <v>18753039</v>
      </c>
      <c r="F1430" t="s">
        <v>581</v>
      </c>
      <c r="G1430" t="s">
        <v>582</v>
      </c>
      <c r="H1430" s="10">
        <v>46178</v>
      </c>
      <c r="I1430">
        <v>26719.919999999998</v>
      </c>
      <c r="J1430">
        <v>0</v>
      </c>
      <c r="K1430">
        <v>26719.919999999998</v>
      </c>
    </row>
    <row r="1431" spans="1:11" x14ac:dyDescent="0.35">
      <c r="A1431">
        <v>9100000677</v>
      </c>
      <c r="B1431">
        <v>9400008131</v>
      </c>
      <c r="C1431" s="10">
        <v>46163</v>
      </c>
      <c r="D1431" t="s">
        <v>2032</v>
      </c>
      <c r="E1431" s="11">
        <v>18753040</v>
      </c>
      <c r="F1431" t="s">
        <v>3094</v>
      </c>
      <c r="G1431" t="s">
        <v>3095</v>
      </c>
      <c r="H1431" s="10">
        <v>46163</v>
      </c>
      <c r="I1431">
        <v>41668.85</v>
      </c>
      <c r="J1431">
        <v>41147.72</v>
      </c>
      <c r="K1431">
        <v>521.12999999999738</v>
      </c>
    </row>
    <row r="1432" spans="1:11" x14ac:dyDescent="0.35">
      <c r="A1432">
        <v>8000000438</v>
      </c>
      <c r="B1432">
        <v>9400008129</v>
      </c>
      <c r="C1432" s="10">
        <v>46163</v>
      </c>
      <c r="D1432" t="s">
        <v>2032</v>
      </c>
      <c r="E1432" s="11">
        <v>18752802</v>
      </c>
      <c r="F1432" t="s">
        <v>3096</v>
      </c>
      <c r="G1432" t="s">
        <v>3097</v>
      </c>
      <c r="H1432" s="10">
        <v>46208</v>
      </c>
      <c r="I1432">
        <v>22652.48</v>
      </c>
      <c r="J1432">
        <v>0</v>
      </c>
      <c r="K1432">
        <v>22652.48</v>
      </c>
    </row>
    <row r="1433" spans="1:11" x14ac:dyDescent="0.35">
      <c r="A1433">
        <v>8000000437</v>
      </c>
      <c r="B1433">
        <v>9400008127</v>
      </c>
      <c r="C1433" s="10">
        <v>46163</v>
      </c>
      <c r="D1433" t="s">
        <v>2032</v>
      </c>
      <c r="E1433" s="11">
        <v>18752872</v>
      </c>
      <c r="F1433" t="s">
        <v>845</v>
      </c>
      <c r="G1433" t="s">
        <v>846</v>
      </c>
      <c r="H1433" s="10">
        <v>46208</v>
      </c>
      <c r="I1433">
        <v>10760.66</v>
      </c>
      <c r="J1433">
        <v>0</v>
      </c>
      <c r="K1433">
        <v>10760.66</v>
      </c>
    </row>
    <row r="1434" spans="1:11" x14ac:dyDescent="0.35">
      <c r="A1434">
        <v>2730000366</v>
      </c>
      <c r="B1434">
        <v>9400008118</v>
      </c>
      <c r="C1434" s="10">
        <v>46163</v>
      </c>
      <c r="D1434" t="s">
        <v>2032</v>
      </c>
      <c r="E1434" s="11">
        <v>18720275</v>
      </c>
      <c r="F1434" t="s">
        <v>383</v>
      </c>
      <c r="G1434" t="s">
        <v>384</v>
      </c>
      <c r="H1434" s="10">
        <v>46208</v>
      </c>
      <c r="I1434">
        <v>9040.4599999999991</v>
      </c>
      <c r="J1434">
        <v>0</v>
      </c>
      <c r="K1434">
        <v>9040.4599999999991</v>
      </c>
    </row>
    <row r="1435" spans="1:11" x14ac:dyDescent="0.35">
      <c r="A1435">
        <v>2710000552</v>
      </c>
      <c r="B1435">
        <v>9400008096</v>
      </c>
      <c r="C1435" s="10">
        <v>46163</v>
      </c>
      <c r="D1435" t="s">
        <v>2032</v>
      </c>
      <c r="E1435" s="11">
        <v>18752779</v>
      </c>
      <c r="F1435" t="s">
        <v>493</v>
      </c>
      <c r="G1435" t="s">
        <v>494</v>
      </c>
      <c r="H1435" s="10">
        <v>46208</v>
      </c>
      <c r="I1435">
        <v>16037.62</v>
      </c>
      <c r="J1435">
        <v>0</v>
      </c>
      <c r="K1435">
        <v>16037.62</v>
      </c>
    </row>
    <row r="1436" spans="1:11" x14ac:dyDescent="0.35">
      <c r="A1436">
        <v>2710000551</v>
      </c>
      <c r="B1436">
        <v>9400008095</v>
      </c>
      <c r="C1436" s="10">
        <v>46163</v>
      </c>
      <c r="D1436" t="s">
        <v>2032</v>
      </c>
      <c r="E1436" s="11">
        <v>18752779</v>
      </c>
      <c r="F1436" t="s">
        <v>493</v>
      </c>
      <c r="G1436" t="s">
        <v>494</v>
      </c>
      <c r="H1436" s="10">
        <v>46177</v>
      </c>
      <c r="I1436">
        <v>34111.56</v>
      </c>
      <c r="J1436">
        <v>0</v>
      </c>
      <c r="K1436">
        <v>34111.56</v>
      </c>
    </row>
    <row r="1437" spans="1:11" x14ac:dyDescent="0.35">
      <c r="A1437">
        <v>5100000496</v>
      </c>
      <c r="B1437">
        <v>9400008087</v>
      </c>
      <c r="C1437" s="10">
        <v>46163</v>
      </c>
      <c r="D1437" t="s">
        <v>2032</v>
      </c>
      <c r="E1437" s="11">
        <v>18645232</v>
      </c>
      <c r="F1437" t="s">
        <v>931</v>
      </c>
      <c r="G1437" t="s">
        <v>932</v>
      </c>
      <c r="H1437" s="10">
        <v>46208</v>
      </c>
      <c r="I1437">
        <v>56415.8</v>
      </c>
      <c r="J1437">
        <v>0</v>
      </c>
      <c r="K1437">
        <v>56415.8</v>
      </c>
    </row>
    <row r="1438" spans="1:11" x14ac:dyDescent="0.35">
      <c r="A1438">
        <v>7000000355</v>
      </c>
      <c r="B1438">
        <v>9400008082</v>
      </c>
      <c r="C1438" s="10">
        <v>46163</v>
      </c>
      <c r="D1438" t="s">
        <v>2032</v>
      </c>
      <c r="E1438" s="11">
        <v>18752172</v>
      </c>
      <c r="F1438" t="s">
        <v>543</v>
      </c>
      <c r="G1438" t="s">
        <v>544</v>
      </c>
      <c r="H1438" s="10">
        <v>46208</v>
      </c>
      <c r="I1438">
        <v>44818.06</v>
      </c>
      <c r="J1438">
        <v>0</v>
      </c>
      <c r="K1438">
        <v>44818.06</v>
      </c>
    </row>
    <row r="1439" spans="1:11" x14ac:dyDescent="0.35">
      <c r="A1439">
        <v>2710000530</v>
      </c>
      <c r="B1439">
        <v>9400008645</v>
      </c>
      <c r="C1439" s="10">
        <v>46162</v>
      </c>
      <c r="D1439" t="s">
        <v>2032</v>
      </c>
      <c r="E1439" s="11">
        <v>18751917</v>
      </c>
      <c r="F1439" t="s">
        <v>491</v>
      </c>
      <c r="G1439" t="s">
        <v>492</v>
      </c>
      <c r="H1439" s="10">
        <v>46207</v>
      </c>
      <c r="I1439">
        <v>238519.54</v>
      </c>
      <c r="J1439">
        <v>0</v>
      </c>
      <c r="K1439">
        <v>238519.54</v>
      </c>
    </row>
    <row r="1440" spans="1:11" x14ac:dyDescent="0.35">
      <c r="A1440">
        <v>2710000547</v>
      </c>
      <c r="B1440">
        <v>9400008055</v>
      </c>
      <c r="C1440" s="10">
        <v>46162</v>
      </c>
      <c r="D1440" t="s">
        <v>2032</v>
      </c>
      <c r="E1440" s="11">
        <v>18752387</v>
      </c>
      <c r="F1440" t="s">
        <v>521</v>
      </c>
      <c r="G1440" t="s">
        <v>522</v>
      </c>
      <c r="H1440" s="10">
        <v>46207</v>
      </c>
      <c r="I1440">
        <v>46167.5</v>
      </c>
      <c r="J1440">
        <v>0</v>
      </c>
      <c r="K1440">
        <v>46167.5</v>
      </c>
    </row>
    <row r="1441" spans="1:11" x14ac:dyDescent="0.35">
      <c r="A1441">
        <v>2710000546</v>
      </c>
      <c r="B1441">
        <v>9400008054</v>
      </c>
      <c r="C1441" s="10">
        <v>46162</v>
      </c>
      <c r="D1441" t="s">
        <v>2032</v>
      </c>
      <c r="E1441" s="11">
        <v>18752387</v>
      </c>
      <c r="F1441" t="s">
        <v>521</v>
      </c>
      <c r="G1441" t="s">
        <v>522</v>
      </c>
      <c r="H1441" s="10">
        <v>46176</v>
      </c>
      <c r="I1441">
        <v>19200.96</v>
      </c>
      <c r="J1441">
        <v>0</v>
      </c>
      <c r="K1441">
        <v>19200.96</v>
      </c>
    </row>
    <row r="1442" spans="1:11" x14ac:dyDescent="0.35">
      <c r="A1442">
        <v>2710000545</v>
      </c>
      <c r="B1442">
        <v>9400008053</v>
      </c>
      <c r="C1442" s="10">
        <v>46162</v>
      </c>
      <c r="D1442" t="s">
        <v>2032</v>
      </c>
      <c r="E1442" s="11">
        <v>18752377</v>
      </c>
      <c r="F1442" t="s">
        <v>1425</v>
      </c>
      <c r="G1442" t="s">
        <v>1426</v>
      </c>
      <c r="H1442" s="10">
        <v>46176</v>
      </c>
      <c r="I1442">
        <v>22103.759999999998</v>
      </c>
      <c r="J1442">
        <v>0</v>
      </c>
      <c r="K1442">
        <v>22103.759999999998</v>
      </c>
    </row>
    <row r="1443" spans="1:11" x14ac:dyDescent="0.35">
      <c r="A1443">
        <v>2710000544</v>
      </c>
      <c r="B1443">
        <v>9400008052</v>
      </c>
      <c r="C1443" s="10">
        <v>46162</v>
      </c>
      <c r="D1443" t="s">
        <v>2032</v>
      </c>
      <c r="E1443" s="11">
        <v>18752107</v>
      </c>
      <c r="F1443" t="s">
        <v>755</v>
      </c>
      <c r="G1443" t="s">
        <v>756</v>
      </c>
      <c r="H1443" s="10">
        <v>46207</v>
      </c>
      <c r="I1443">
        <v>31878.05</v>
      </c>
      <c r="J1443">
        <v>0</v>
      </c>
      <c r="K1443">
        <v>31878.05</v>
      </c>
    </row>
    <row r="1444" spans="1:11" x14ac:dyDescent="0.35">
      <c r="A1444">
        <v>5100000493</v>
      </c>
      <c r="B1444">
        <v>9400008051</v>
      </c>
      <c r="C1444" s="10">
        <v>46162</v>
      </c>
      <c r="D1444" t="s">
        <v>2032</v>
      </c>
      <c r="E1444" s="11">
        <v>18752042</v>
      </c>
      <c r="F1444" t="s">
        <v>3102</v>
      </c>
      <c r="G1444" t="s">
        <v>3103</v>
      </c>
      <c r="H1444" s="10">
        <v>46162</v>
      </c>
      <c r="I1444">
        <v>29745.439999999999</v>
      </c>
      <c r="J1444">
        <v>29634.18</v>
      </c>
      <c r="K1444">
        <v>111.2599999999984</v>
      </c>
    </row>
    <row r="1445" spans="1:11" x14ac:dyDescent="0.35">
      <c r="A1445">
        <v>2000000144</v>
      </c>
      <c r="B1445">
        <v>9400008047</v>
      </c>
      <c r="C1445" s="10">
        <v>46162</v>
      </c>
      <c r="D1445" t="s">
        <v>2032</v>
      </c>
      <c r="E1445" s="11">
        <v>18752242</v>
      </c>
      <c r="F1445" t="s">
        <v>847</v>
      </c>
      <c r="G1445" t="s">
        <v>848</v>
      </c>
      <c r="H1445" s="10">
        <v>46207</v>
      </c>
      <c r="I1445">
        <v>47012.160000000003</v>
      </c>
      <c r="J1445">
        <v>0</v>
      </c>
      <c r="K1445">
        <v>47012.160000000003</v>
      </c>
    </row>
    <row r="1446" spans="1:11" x14ac:dyDescent="0.35">
      <c r="A1446">
        <v>2710000536</v>
      </c>
      <c r="B1446">
        <v>9400008033</v>
      </c>
      <c r="C1446" s="10">
        <v>46162</v>
      </c>
      <c r="D1446" t="s">
        <v>2032</v>
      </c>
      <c r="E1446" s="11">
        <v>18751947</v>
      </c>
      <c r="F1446" t="s">
        <v>579</v>
      </c>
      <c r="G1446" t="s">
        <v>580</v>
      </c>
      <c r="H1446" s="10">
        <v>46176</v>
      </c>
      <c r="I1446">
        <v>77051.360000000001</v>
      </c>
      <c r="J1446">
        <v>1101.22</v>
      </c>
      <c r="K1446">
        <v>75950.14</v>
      </c>
    </row>
    <row r="1447" spans="1:11" x14ac:dyDescent="0.35">
      <c r="A1447">
        <v>9100000667</v>
      </c>
      <c r="B1447">
        <v>9400008032</v>
      </c>
      <c r="C1447" s="10">
        <v>46162</v>
      </c>
      <c r="D1447" t="s">
        <v>2032</v>
      </c>
      <c r="E1447" s="11">
        <v>18752045</v>
      </c>
      <c r="F1447" t="s">
        <v>525</v>
      </c>
      <c r="G1447" t="s">
        <v>526</v>
      </c>
      <c r="H1447" s="10">
        <v>46207</v>
      </c>
      <c r="I1447">
        <v>32703.7</v>
      </c>
      <c r="J1447">
        <v>0</v>
      </c>
      <c r="K1447">
        <v>32703.7</v>
      </c>
    </row>
    <row r="1448" spans="1:11" x14ac:dyDescent="0.35">
      <c r="A1448">
        <v>5100000488</v>
      </c>
      <c r="B1448">
        <v>9400008030</v>
      </c>
      <c r="C1448" s="10">
        <v>46162</v>
      </c>
      <c r="D1448" t="s">
        <v>2032</v>
      </c>
      <c r="E1448" s="11">
        <v>18645173</v>
      </c>
      <c r="F1448" t="s">
        <v>473</v>
      </c>
      <c r="G1448" t="s">
        <v>474</v>
      </c>
      <c r="H1448" s="10">
        <v>46207</v>
      </c>
      <c r="I1448">
        <v>28207.9</v>
      </c>
      <c r="J1448">
        <v>0</v>
      </c>
      <c r="K1448">
        <v>28207.9</v>
      </c>
    </row>
    <row r="1449" spans="1:11" x14ac:dyDescent="0.35">
      <c r="A1449">
        <v>8000000433</v>
      </c>
      <c r="B1449">
        <v>9400008021</v>
      </c>
      <c r="C1449" s="10">
        <v>46162</v>
      </c>
      <c r="D1449" t="s">
        <v>2032</v>
      </c>
      <c r="E1449" s="11">
        <v>18698976</v>
      </c>
      <c r="F1449" t="s">
        <v>255</v>
      </c>
      <c r="G1449" t="s">
        <v>256</v>
      </c>
      <c r="H1449" s="10">
        <v>46207</v>
      </c>
      <c r="I1449">
        <v>13971.8</v>
      </c>
      <c r="J1449">
        <v>0</v>
      </c>
      <c r="K1449">
        <v>13971.8</v>
      </c>
    </row>
    <row r="1450" spans="1:11" x14ac:dyDescent="0.35">
      <c r="A1450">
        <v>2300000349</v>
      </c>
      <c r="B1450">
        <v>9400008017</v>
      </c>
      <c r="C1450" s="10">
        <v>46162</v>
      </c>
      <c r="D1450" t="s">
        <v>2032</v>
      </c>
      <c r="E1450" s="11">
        <v>18751519</v>
      </c>
      <c r="F1450" t="s">
        <v>675</v>
      </c>
      <c r="G1450" t="s">
        <v>676</v>
      </c>
      <c r="H1450" s="10">
        <v>46207</v>
      </c>
      <c r="I1450">
        <v>20347.919999999998</v>
      </c>
      <c r="J1450">
        <v>0</v>
      </c>
      <c r="K1450">
        <v>20347.919999999998</v>
      </c>
    </row>
    <row r="1451" spans="1:11" x14ac:dyDescent="0.35">
      <c r="A1451">
        <v>2720000233</v>
      </c>
      <c r="B1451">
        <v>9400007999</v>
      </c>
      <c r="C1451" s="10">
        <v>46162</v>
      </c>
      <c r="D1451" t="s">
        <v>2032</v>
      </c>
      <c r="E1451" s="11">
        <v>18752177</v>
      </c>
      <c r="F1451" t="s">
        <v>567</v>
      </c>
      <c r="G1451" t="s">
        <v>568</v>
      </c>
      <c r="H1451" s="10">
        <v>46176</v>
      </c>
      <c r="I1451">
        <v>88822.85</v>
      </c>
      <c r="J1451">
        <v>88170.81</v>
      </c>
      <c r="K1451">
        <v>652.04000000000815</v>
      </c>
    </row>
    <row r="1452" spans="1:11" x14ac:dyDescent="0.35">
      <c r="A1452">
        <v>5100000482</v>
      </c>
      <c r="B1452">
        <v>9400007995</v>
      </c>
      <c r="C1452" s="10">
        <v>46162</v>
      </c>
      <c r="D1452" t="s">
        <v>2032</v>
      </c>
      <c r="E1452" s="11">
        <v>18579881</v>
      </c>
      <c r="F1452" t="s">
        <v>587</v>
      </c>
      <c r="G1452" t="s">
        <v>588</v>
      </c>
      <c r="H1452" s="10">
        <v>46207</v>
      </c>
      <c r="I1452">
        <v>11283.16</v>
      </c>
      <c r="J1452">
        <v>0</v>
      </c>
      <c r="K1452">
        <v>11283.16</v>
      </c>
    </row>
    <row r="1453" spans="1:11" x14ac:dyDescent="0.35">
      <c r="A1453">
        <v>8000000431</v>
      </c>
      <c r="B1453">
        <v>9400007991</v>
      </c>
      <c r="C1453" s="10">
        <v>46162</v>
      </c>
      <c r="D1453" t="s">
        <v>2032</v>
      </c>
      <c r="E1453" s="11">
        <v>18698976</v>
      </c>
      <c r="F1453" t="s">
        <v>255</v>
      </c>
      <c r="G1453" t="s">
        <v>256</v>
      </c>
      <c r="H1453" s="10">
        <v>46207</v>
      </c>
      <c r="I1453">
        <v>4095.08</v>
      </c>
      <c r="J1453">
        <v>0</v>
      </c>
      <c r="K1453">
        <v>4095.08</v>
      </c>
    </row>
    <row r="1454" spans="1:11" x14ac:dyDescent="0.35">
      <c r="A1454">
        <v>8000000430</v>
      </c>
      <c r="B1454">
        <v>9400007988</v>
      </c>
      <c r="C1454" s="10">
        <v>46162</v>
      </c>
      <c r="D1454" t="s">
        <v>2032</v>
      </c>
      <c r="E1454" s="11">
        <v>18698976</v>
      </c>
      <c r="F1454" t="s">
        <v>255</v>
      </c>
      <c r="G1454" t="s">
        <v>256</v>
      </c>
      <c r="H1454" s="10">
        <v>46207</v>
      </c>
      <c r="I1454">
        <v>150697.79999999999</v>
      </c>
      <c r="J1454">
        <v>0</v>
      </c>
      <c r="K1454">
        <v>150697.79999999999</v>
      </c>
    </row>
    <row r="1455" spans="1:11" x14ac:dyDescent="0.35">
      <c r="A1455">
        <v>9100000662</v>
      </c>
      <c r="B1455">
        <v>9400007987</v>
      </c>
      <c r="C1455" s="10">
        <v>46162</v>
      </c>
      <c r="D1455" t="s">
        <v>2032</v>
      </c>
      <c r="E1455" s="11">
        <v>18751749</v>
      </c>
      <c r="F1455" t="s">
        <v>989</v>
      </c>
      <c r="G1455" t="s">
        <v>990</v>
      </c>
      <c r="H1455" s="10">
        <v>46207</v>
      </c>
      <c r="I1455">
        <v>27131.599999999999</v>
      </c>
      <c r="J1455">
        <v>0</v>
      </c>
      <c r="K1455">
        <v>27131.599999999999</v>
      </c>
    </row>
    <row r="1456" spans="1:11" x14ac:dyDescent="0.35">
      <c r="A1456">
        <v>9200000505</v>
      </c>
      <c r="B1456">
        <v>9400007969</v>
      </c>
      <c r="C1456" s="10">
        <v>46162</v>
      </c>
      <c r="D1456" t="s">
        <v>2032</v>
      </c>
      <c r="E1456" s="11">
        <v>18752201</v>
      </c>
      <c r="F1456" t="s">
        <v>971</v>
      </c>
      <c r="G1456" t="s">
        <v>972</v>
      </c>
      <c r="H1456" s="10">
        <v>46207</v>
      </c>
      <c r="I1456">
        <v>66088.28</v>
      </c>
      <c r="J1456">
        <v>0</v>
      </c>
      <c r="K1456">
        <v>66088.28</v>
      </c>
    </row>
    <row r="1457" spans="1:11" x14ac:dyDescent="0.35">
      <c r="A1457">
        <v>9200000504</v>
      </c>
      <c r="B1457">
        <v>9400007965</v>
      </c>
      <c r="C1457" s="10">
        <v>46162</v>
      </c>
      <c r="D1457" t="s">
        <v>2032</v>
      </c>
      <c r="E1457" s="11">
        <v>18751962</v>
      </c>
      <c r="F1457" t="s">
        <v>617</v>
      </c>
      <c r="G1457" t="s">
        <v>618</v>
      </c>
      <c r="H1457" s="10">
        <v>46207</v>
      </c>
      <c r="I1457">
        <v>41531.279999999999</v>
      </c>
      <c r="J1457">
        <v>0</v>
      </c>
      <c r="K1457">
        <v>41531.279999999999</v>
      </c>
    </row>
    <row r="1458" spans="1:11" x14ac:dyDescent="0.35">
      <c r="A1458">
        <v>2720000231</v>
      </c>
      <c r="B1458">
        <v>9400007962</v>
      </c>
      <c r="C1458" s="10">
        <v>46162</v>
      </c>
      <c r="D1458" t="s">
        <v>2032</v>
      </c>
      <c r="E1458" s="11">
        <v>18752061</v>
      </c>
      <c r="F1458" t="s">
        <v>261</v>
      </c>
      <c r="G1458" t="s">
        <v>262</v>
      </c>
      <c r="H1458" s="10">
        <v>46207</v>
      </c>
      <c r="I1458">
        <v>28218.42</v>
      </c>
      <c r="J1458">
        <v>0</v>
      </c>
      <c r="K1458">
        <v>28218.42</v>
      </c>
    </row>
    <row r="1459" spans="1:11" x14ac:dyDescent="0.35">
      <c r="A1459">
        <v>2720000230</v>
      </c>
      <c r="B1459">
        <v>9400007955</v>
      </c>
      <c r="C1459" s="10">
        <v>46162</v>
      </c>
      <c r="D1459" t="s">
        <v>2032</v>
      </c>
      <c r="E1459" s="11">
        <v>18751446</v>
      </c>
      <c r="F1459" t="s">
        <v>575</v>
      </c>
      <c r="G1459" t="s">
        <v>576</v>
      </c>
      <c r="H1459" s="10">
        <v>46207</v>
      </c>
      <c r="I1459">
        <v>51400.800000000003</v>
      </c>
      <c r="J1459">
        <v>0</v>
      </c>
      <c r="K1459">
        <v>51400.800000000003</v>
      </c>
    </row>
    <row r="1460" spans="1:11" x14ac:dyDescent="0.35">
      <c r="A1460">
        <v>9300000402</v>
      </c>
      <c r="B1460">
        <v>9400007954</v>
      </c>
      <c r="C1460" s="10">
        <v>46162</v>
      </c>
      <c r="D1460" t="s">
        <v>2032</v>
      </c>
      <c r="E1460" s="11">
        <v>18751802</v>
      </c>
      <c r="F1460" t="s">
        <v>701</v>
      </c>
      <c r="G1460" t="s">
        <v>702</v>
      </c>
      <c r="H1460" s="10">
        <v>46207</v>
      </c>
      <c r="I1460">
        <v>25571.200000000001</v>
      </c>
      <c r="J1460">
        <v>0</v>
      </c>
      <c r="K1460">
        <v>25571.200000000001</v>
      </c>
    </row>
    <row r="1461" spans="1:11" x14ac:dyDescent="0.35">
      <c r="A1461">
        <v>9200000503</v>
      </c>
      <c r="B1461">
        <v>9400007952</v>
      </c>
      <c r="C1461" s="10">
        <v>46162</v>
      </c>
      <c r="D1461" t="s">
        <v>2032</v>
      </c>
      <c r="E1461" s="11">
        <v>18752163</v>
      </c>
      <c r="F1461" t="s">
        <v>971</v>
      </c>
      <c r="G1461" t="s">
        <v>972</v>
      </c>
      <c r="H1461" s="10">
        <v>46207</v>
      </c>
      <c r="I1461">
        <v>136233.35999999999</v>
      </c>
      <c r="J1461">
        <v>0</v>
      </c>
      <c r="K1461">
        <v>136233.35999999999</v>
      </c>
    </row>
    <row r="1462" spans="1:11" x14ac:dyDescent="0.35">
      <c r="A1462">
        <v>9100000659</v>
      </c>
      <c r="B1462">
        <v>9400007945</v>
      </c>
      <c r="C1462" s="10">
        <v>46162</v>
      </c>
      <c r="D1462" t="s">
        <v>2032</v>
      </c>
      <c r="E1462" s="11">
        <v>0</v>
      </c>
      <c r="F1462" t="s">
        <v>160</v>
      </c>
      <c r="G1462" t="s">
        <v>161</v>
      </c>
      <c r="H1462" s="10">
        <v>46162</v>
      </c>
      <c r="I1462">
        <v>34.07</v>
      </c>
      <c r="J1462">
        <v>0</v>
      </c>
      <c r="K1462">
        <v>34.07</v>
      </c>
    </row>
    <row r="1463" spans="1:11" x14ac:dyDescent="0.35">
      <c r="A1463">
        <v>9200000502</v>
      </c>
      <c r="B1463">
        <v>9400007943</v>
      </c>
      <c r="C1463" s="10">
        <v>46162</v>
      </c>
      <c r="D1463" t="s">
        <v>2032</v>
      </c>
      <c r="E1463" s="11">
        <v>18752075</v>
      </c>
      <c r="F1463" t="s">
        <v>891</v>
      </c>
      <c r="G1463" t="s">
        <v>892</v>
      </c>
      <c r="H1463" s="10">
        <v>46207</v>
      </c>
      <c r="I1463">
        <v>19539.12</v>
      </c>
      <c r="J1463">
        <v>0</v>
      </c>
      <c r="K1463">
        <v>19539.12</v>
      </c>
    </row>
    <row r="1464" spans="1:11" x14ac:dyDescent="0.35">
      <c r="A1464">
        <v>9200000501</v>
      </c>
      <c r="B1464">
        <v>9400007935</v>
      </c>
      <c r="C1464" s="10">
        <v>46162</v>
      </c>
      <c r="D1464" t="s">
        <v>2032</v>
      </c>
      <c r="E1464" s="11">
        <v>18751932</v>
      </c>
      <c r="F1464" t="s">
        <v>625</v>
      </c>
      <c r="G1464" t="s">
        <v>626</v>
      </c>
      <c r="H1464" s="10">
        <v>46207</v>
      </c>
      <c r="I1464">
        <v>11283.16</v>
      </c>
      <c r="J1464">
        <v>0</v>
      </c>
      <c r="K1464">
        <v>11283.16</v>
      </c>
    </row>
    <row r="1465" spans="1:11" x14ac:dyDescent="0.35">
      <c r="A1465">
        <v>9200000500</v>
      </c>
      <c r="B1465">
        <v>9400007934</v>
      </c>
      <c r="C1465" s="10">
        <v>46162</v>
      </c>
      <c r="D1465" t="s">
        <v>2032</v>
      </c>
      <c r="E1465" s="11">
        <v>18751932</v>
      </c>
      <c r="F1465" t="s">
        <v>625</v>
      </c>
      <c r="G1465" t="s">
        <v>626</v>
      </c>
      <c r="H1465" s="10">
        <v>46176</v>
      </c>
      <c r="I1465">
        <v>53891.08</v>
      </c>
      <c r="J1465">
        <v>53885.26</v>
      </c>
      <c r="K1465">
        <v>5.819999999999709</v>
      </c>
    </row>
    <row r="1466" spans="1:11" x14ac:dyDescent="0.35">
      <c r="A1466">
        <v>2730000358</v>
      </c>
      <c r="B1466">
        <v>9400007932</v>
      </c>
      <c r="C1466" s="10">
        <v>46162</v>
      </c>
      <c r="D1466" t="s">
        <v>2032</v>
      </c>
      <c r="E1466" s="11">
        <v>18752090</v>
      </c>
      <c r="F1466" t="s">
        <v>523</v>
      </c>
      <c r="G1466" t="s">
        <v>524</v>
      </c>
      <c r="H1466" s="10">
        <v>46207</v>
      </c>
      <c r="I1466">
        <v>123361.92</v>
      </c>
      <c r="J1466">
        <v>0</v>
      </c>
      <c r="K1466">
        <v>123361.92</v>
      </c>
    </row>
    <row r="1467" spans="1:11" x14ac:dyDescent="0.35">
      <c r="A1467">
        <v>3000000593</v>
      </c>
      <c r="B1467">
        <v>9400007929</v>
      </c>
      <c r="C1467" s="10">
        <v>46162</v>
      </c>
      <c r="D1467" t="s">
        <v>2032</v>
      </c>
      <c r="E1467" s="11">
        <v>18751321</v>
      </c>
      <c r="F1467" t="s">
        <v>188</v>
      </c>
      <c r="G1467" t="s">
        <v>189</v>
      </c>
      <c r="H1467" s="10">
        <v>46207</v>
      </c>
      <c r="I1467">
        <v>56415.8</v>
      </c>
      <c r="J1467">
        <v>0</v>
      </c>
      <c r="K1467">
        <v>56415.8</v>
      </c>
    </row>
    <row r="1468" spans="1:11" x14ac:dyDescent="0.35">
      <c r="A1468">
        <v>9200000498</v>
      </c>
      <c r="B1468">
        <v>9400007922</v>
      </c>
      <c r="C1468" s="10">
        <v>46162</v>
      </c>
      <c r="D1468" t="s">
        <v>2032</v>
      </c>
      <c r="E1468" s="11">
        <v>18740896</v>
      </c>
      <c r="F1468" t="s">
        <v>439</v>
      </c>
      <c r="G1468" t="s">
        <v>440</v>
      </c>
      <c r="H1468" s="10">
        <v>46207</v>
      </c>
      <c r="I1468">
        <v>103828.2</v>
      </c>
      <c r="J1468">
        <v>0</v>
      </c>
      <c r="K1468">
        <v>103828.2</v>
      </c>
    </row>
    <row r="1469" spans="1:11" x14ac:dyDescent="0.35">
      <c r="A1469">
        <v>7000000342</v>
      </c>
      <c r="B1469">
        <v>9400007912</v>
      </c>
      <c r="C1469" s="10">
        <v>46162</v>
      </c>
      <c r="D1469" t="s">
        <v>2032</v>
      </c>
      <c r="E1469" s="11">
        <v>18751708</v>
      </c>
      <c r="F1469" t="s">
        <v>513</v>
      </c>
      <c r="G1469" t="s">
        <v>514</v>
      </c>
      <c r="H1469" s="10">
        <v>46207</v>
      </c>
      <c r="I1469">
        <v>31305.88</v>
      </c>
      <c r="J1469">
        <v>0</v>
      </c>
      <c r="K1469">
        <v>31305.88</v>
      </c>
    </row>
    <row r="1470" spans="1:11" x14ac:dyDescent="0.35">
      <c r="A1470">
        <v>9300000401</v>
      </c>
      <c r="B1470">
        <v>9400007908</v>
      </c>
      <c r="C1470" s="10">
        <v>46162</v>
      </c>
      <c r="D1470" t="s">
        <v>2032</v>
      </c>
      <c r="E1470" s="11">
        <v>18751844</v>
      </c>
      <c r="F1470" t="s">
        <v>607</v>
      </c>
      <c r="G1470" t="s">
        <v>608</v>
      </c>
      <c r="H1470" s="10">
        <v>46207</v>
      </c>
      <c r="I1470">
        <v>69688.72</v>
      </c>
      <c r="J1470">
        <v>0</v>
      </c>
      <c r="K1470">
        <v>69688.72</v>
      </c>
    </row>
    <row r="1471" spans="1:11" x14ac:dyDescent="0.35">
      <c r="A1471">
        <v>2710000535</v>
      </c>
      <c r="B1471">
        <v>9400007904</v>
      </c>
      <c r="C1471" s="10">
        <v>46162</v>
      </c>
      <c r="D1471" t="s">
        <v>2032</v>
      </c>
      <c r="E1471" s="11">
        <v>18751898</v>
      </c>
      <c r="F1471" t="s">
        <v>791</v>
      </c>
      <c r="G1471" t="s">
        <v>792</v>
      </c>
      <c r="H1471" s="10">
        <v>46207</v>
      </c>
      <c r="I1471">
        <v>16037.62</v>
      </c>
      <c r="J1471">
        <v>0</v>
      </c>
      <c r="K1471">
        <v>16037.62</v>
      </c>
    </row>
    <row r="1472" spans="1:11" x14ac:dyDescent="0.35">
      <c r="A1472">
        <v>2710000534</v>
      </c>
      <c r="B1472">
        <v>9400007903</v>
      </c>
      <c r="C1472" s="10">
        <v>46162</v>
      </c>
      <c r="D1472" t="s">
        <v>2032</v>
      </c>
      <c r="E1472" s="11">
        <v>18751898</v>
      </c>
      <c r="F1472" t="s">
        <v>791</v>
      </c>
      <c r="G1472" t="s">
        <v>792</v>
      </c>
      <c r="H1472" s="10">
        <v>46176</v>
      </c>
      <c r="I1472">
        <v>14632</v>
      </c>
      <c r="J1472">
        <v>0</v>
      </c>
      <c r="K1472">
        <v>14632</v>
      </c>
    </row>
    <row r="1473" spans="1:11" x14ac:dyDescent="0.35">
      <c r="A1473">
        <v>2710000533</v>
      </c>
      <c r="B1473">
        <v>9400007902</v>
      </c>
      <c r="C1473" s="10">
        <v>46162</v>
      </c>
      <c r="D1473" t="s">
        <v>2032</v>
      </c>
      <c r="E1473" s="11">
        <v>18752094</v>
      </c>
      <c r="F1473" t="s">
        <v>3108</v>
      </c>
      <c r="G1473" t="s">
        <v>3109</v>
      </c>
      <c r="H1473" s="10">
        <v>46207</v>
      </c>
      <c r="I1473">
        <v>29827.46</v>
      </c>
      <c r="J1473">
        <v>0</v>
      </c>
      <c r="K1473">
        <v>29827.46</v>
      </c>
    </row>
    <row r="1474" spans="1:11" x14ac:dyDescent="0.35">
      <c r="A1474">
        <v>9100000654</v>
      </c>
      <c r="B1474">
        <v>9400007896</v>
      </c>
      <c r="C1474" s="10">
        <v>46162</v>
      </c>
      <c r="D1474" t="s">
        <v>2032</v>
      </c>
      <c r="E1474" s="11">
        <v>18646183</v>
      </c>
      <c r="F1474" t="s">
        <v>3106</v>
      </c>
      <c r="G1474" t="s">
        <v>3107</v>
      </c>
      <c r="H1474" s="10">
        <v>46162</v>
      </c>
      <c r="I1474">
        <v>24771.63</v>
      </c>
      <c r="J1474">
        <v>24674.28</v>
      </c>
      <c r="K1474">
        <v>97.350000000002183</v>
      </c>
    </row>
    <row r="1475" spans="1:11" x14ac:dyDescent="0.35">
      <c r="A1475">
        <v>3000000592</v>
      </c>
      <c r="B1475">
        <v>9400007891</v>
      </c>
      <c r="C1475" s="10">
        <v>46162</v>
      </c>
      <c r="D1475" t="s">
        <v>2032</v>
      </c>
      <c r="E1475" s="11">
        <v>18751879</v>
      </c>
      <c r="F1475" t="s">
        <v>511</v>
      </c>
      <c r="G1475" t="s">
        <v>512</v>
      </c>
      <c r="H1475" s="10">
        <v>46207</v>
      </c>
      <c r="I1475">
        <v>28207.9</v>
      </c>
      <c r="J1475">
        <v>0</v>
      </c>
      <c r="K1475">
        <v>28207.9</v>
      </c>
    </row>
    <row r="1476" spans="1:11" x14ac:dyDescent="0.35">
      <c r="A1476">
        <v>3000000591</v>
      </c>
      <c r="B1476">
        <v>9400007890</v>
      </c>
      <c r="C1476" s="10">
        <v>46162</v>
      </c>
      <c r="D1476" t="s">
        <v>2032</v>
      </c>
      <c r="E1476" s="11">
        <v>18751863</v>
      </c>
      <c r="F1476" t="s">
        <v>487</v>
      </c>
      <c r="G1476" t="s">
        <v>488</v>
      </c>
      <c r="H1476" s="10">
        <v>46207</v>
      </c>
      <c r="I1476">
        <v>20830.36</v>
      </c>
      <c r="J1476">
        <v>0</v>
      </c>
      <c r="K1476">
        <v>20830.36</v>
      </c>
    </row>
    <row r="1477" spans="1:11" x14ac:dyDescent="0.35">
      <c r="A1477">
        <v>2730000357</v>
      </c>
      <c r="B1477">
        <v>9400007889</v>
      </c>
      <c r="C1477" s="10">
        <v>46162</v>
      </c>
      <c r="D1477" t="s">
        <v>2032</v>
      </c>
      <c r="E1477" s="11">
        <v>18751991</v>
      </c>
      <c r="F1477" t="s">
        <v>523</v>
      </c>
      <c r="G1477" t="s">
        <v>524</v>
      </c>
      <c r="H1477" s="10">
        <v>46207</v>
      </c>
      <c r="I1477">
        <v>3271.71</v>
      </c>
      <c r="J1477">
        <v>0</v>
      </c>
      <c r="K1477">
        <v>3271.71</v>
      </c>
    </row>
    <row r="1478" spans="1:11" x14ac:dyDescent="0.35">
      <c r="A1478">
        <v>2710000529</v>
      </c>
      <c r="B1478">
        <v>9400007883</v>
      </c>
      <c r="C1478" s="10">
        <v>46162</v>
      </c>
      <c r="D1478" t="s">
        <v>2032</v>
      </c>
      <c r="E1478" s="11">
        <v>18751702</v>
      </c>
      <c r="F1478" t="s">
        <v>687</v>
      </c>
      <c r="G1478" t="s">
        <v>688</v>
      </c>
      <c r="H1478" s="10">
        <v>46207</v>
      </c>
      <c r="I1478">
        <v>17499.86</v>
      </c>
      <c r="J1478">
        <v>0</v>
      </c>
      <c r="K1478">
        <v>17499.86</v>
      </c>
    </row>
    <row r="1479" spans="1:11" x14ac:dyDescent="0.35">
      <c r="A1479">
        <v>2710000528</v>
      </c>
      <c r="B1479">
        <v>9400007876</v>
      </c>
      <c r="C1479" s="10">
        <v>46162</v>
      </c>
      <c r="D1479" t="s">
        <v>2032</v>
      </c>
      <c r="E1479" s="11">
        <v>18751702</v>
      </c>
      <c r="F1479" t="s">
        <v>687</v>
      </c>
      <c r="G1479" t="s">
        <v>688</v>
      </c>
      <c r="H1479" s="10">
        <v>46176</v>
      </c>
      <c r="I1479">
        <v>45572.54</v>
      </c>
      <c r="J1479">
        <v>0</v>
      </c>
      <c r="K1479">
        <v>45572.54</v>
      </c>
    </row>
    <row r="1480" spans="1:11" x14ac:dyDescent="0.35">
      <c r="A1480">
        <v>8000000429</v>
      </c>
      <c r="B1480">
        <v>9400007869</v>
      </c>
      <c r="C1480" s="10">
        <v>46162</v>
      </c>
      <c r="D1480" t="s">
        <v>2032</v>
      </c>
      <c r="E1480" s="11">
        <v>18646135</v>
      </c>
      <c r="F1480" t="s">
        <v>3110</v>
      </c>
      <c r="G1480" t="s">
        <v>3111</v>
      </c>
      <c r="H1480" s="10">
        <v>46162</v>
      </c>
      <c r="I1480">
        <v>20440.21</v>
      </c>
      <c r="J1480">
        <v>20425.86</v>
      </c>
      <c r="K1480">
        <v>14.349999999998545</v>
      </c>
    </row>
    <row r="1481" spans="1:11" x14ac:dyDescent="0.35">
      <c r="A1481">
        <v>3000000588</v>
      </c>
      <c r="B1481">
        <v>9400007865</v>
      </c>
      <c r="C1481" s="10">
        <v>46162</v>
      </c>
      <c r="D1481" t="s">
        <v>2032</v>
      </c>
      <c r="E1481" s="11">
        <v>18751472</v>
      </c>
      <c r="F1481" t="s">
        <v>955</v>
      </c>
      <c r="G1481" t="s">
        <v>956</v>
      </c>
      <c r="H1481" s="10">
        <v>46207</v>
      </c>
      <c r="I1481">
        <v>35146.42</v>
      </c>
      <c r="J1481">
        <v>0</v>
      </c>
      <c r="K1481">
        <v>35146.42</v>
      </c>
    </row>
    <row r="1482" spans="1:11" x14ac:dyDescent="0.35">
      <c r="A1482">
        <v>2710000525</v>
      </c>
      <c r="B1482">
        <v>9400007862</v>
      </c>
      <c r="C1482" s="10">
        <v>46162</v>
      </c>
      <c r="D1482" t="s">
        <v>2032</v>
      </c>
      <c r="E1482" s="11">
        <v>18741251</v>
      </c>
      <c r="F1482" t="s">
        <v>757</v>
      </c>
      <c r="G1482" t="s">
        <v>758</v>
      </c>
      <c r="H1482" s="10">
        <v>46176</v>
      </c>
      <c r="I1482">
        <v>32956.39</v>
      </c>
      <c r="J1482">
        <v>0</v>
      </c>
      <c r="K1482">
        <v>32956.39</v>
      </c>
    </row>
    <row r="1483" spans="1:11" x14ac:dyDescent="0.35">
      <c r="A1483">
        <v>3000000587</v>
      </c>
      <c r="B1483">
        <v>9400007859</v>
      </c>
      <c r="C1483" s="10">
        <v>46162</v>
      </c>
      <c r="D1483" t="s">
        <v>2032</v>
      </c>
      <c r="E1483" s="11">
        <v>18751472</v>
      </c>
      <c r="F1483" t="s">
        <v>955</v>
      </c>
      <c r="G1483" t="s">
        <v>956</v>
      </c>
      <c r="H1483" s="10">
        <v>46176</v>
      </c>
      <c r="I1483">
        <v>38653.26</v>
      </c>
      <c r="J1483">
        <v>12462.26</v>
      </c>
      <c r="K1483">
        <v>26191</v>
      </c>
    </row>
    <row r="1484" spans="1:11" x14ac:dyDescent="0.35">
      <c r="A1484">
        <v>9100000653</v>
      </c>
      <c r="B1484">
        <v>9400007858</v>
      </c>
      <c r="C1484" s="10">
        <v>46162</v>
      </c>
      <c r="D1484" t="s">
        <v>2032</v>
      </c>
      <c r="E1484" s="11">
        <v>18698793</v>
      </c>
      <c r="F1484" t="s">
        <v>282</v>
      </c>
      <c r="G1484" t="s">
        <v>283</v>
      </c>
      <c r="H1484" s="10">
        <v>46207</v>
      </c>
      <c r="I1484">
        <v>37754</v>
      </c>
      <c r="J1484">
        <v>0</v>
      </c>
      <c r="K1484">
        <v>37754</v>
      </c>
    </row>
    <row r="1485" spans="1:11" x14ac:dyDescent="0.35">
      <c r="A1485">
        <v>2730000354</v>
      </c>
      <c r="B1485">
        <v>9400007856</v>
      </c>
      <c r="C1485" s="10">
        <v>46162</v>
      </c>
      <c r="D1485" t="s">
        <v>2032</v>
      </c>
      <c r="E1485" s="11">
        <v>18709335</v>
      </c>
      <c r="F1485" t="s">
        <v>523</v>
      </c>
      <c r="G1485" t="s">
        <v>524</v>
      </c>
      <c r="H1485" s="10">
        <v>46207</v>
      </c>
      <c r="I1485">
        <v>29629.1</v>
      </c>
      <c r="J1485">
        <v>0</v>
      </c>
      <c r="K1485">
        <v>29629.1</v>
      </c>
    </row>
    <row r="1486" spans="1:11" x14ac:dyDescent="0.35">
      <c r="A1486">
        <v>9300000398</v>
      </c>
      <c r="B1486">
        <v>9400007854</v>
      </c>
      <c r="C1486" s="10">
        <v>46162</v>
      </c>
      <c r="D1486" t="s">
        <v>2032</v>
      </c>
      <c r="E1486" s="11">
        <v>18720364</v>
      </c>
      <c r="F1486" t="s">
        <v>1045</v>
      </c>
      <c r="G1486" t="s">
        <v>1046</v>
      </c>
      <c r="H1486" s="10">
        <v>46207</v>
      </c>
      <c r="I1486">
        <v>78499.66</v>
      </c>
      <c r="J1486">
        <v>0</v>
      </c>
      <c r="K1486">
        <v>78499.66</v>
      </c>
    </row>
    <row r="1487" spans="1:11" x14ac:dyDescent="0.35">
      <c r="A1487">
        <v>9300000397</v>
      </c>
      <c r="B1487">
        <v>9400007853</v>
      </c>
      <c r="C1487" s="10">
        <v>46162</v>
      </c>
      <c r="D1487" t="s">
        <v>2032</v>
      </c>
      <c r="E1487" s="11">
        <v>18720364</v>
      </c>
      <c r="F1487" t="s">
        <v>417</v>
      </c>
      <c r="G1487" t="s">
        <v>418</v>
      </c>
      <c r="H1487" s="10">
        <v>46207</v>
      </c>
      <c r="I1487">
        <v>245735.38</v>
      </c>
      <c r="J1487">
        <v>0</v>
      </c>
      <c r="K1487">
        <v>245735.38</v>
      </c>
    </row>
    <row r="1488" spans="1:11" x14ac:dyDescent="0.35">
      <c r="B1488">
        <v>1400005848</v>
      </c>
      <c r="C1488" s="10">
        <v>46162</v>
      </c>
      <c r="D1488" t="s">
        <v>2037</v>
      </c>
      <c r="E1488" s="11" t="s">
        <v>2074</v>
      </c>
      <c r="F1488" t="s">
        <v>817</v>
      </c>
      <c r="G1488" t="s">
        <v>818</v>
      </c>
      <c r="H1488" s="10">
        <v>46157</v>
      </c>
      <c r="I1488">
        <v>1542300</v>
      </c>
      <c r="J1488">
        <v>1179522.5600000001</v>
      </c>
      <c r="K1488">
        <v>362777.43999999994</v>
      </c>
    </row>
    <row r="1489" spans="1:11" x14ac:dyDescent="0.35">
      <c r="B1489">
        <v>1400005841</v>
      </c>
      <c r="C1489" s="10">
        <v>46162</v>
      </c>
      <c r="D1489" t="s">
        <v>2037</v>
      </c>
      <c r="E1489" s="11" t="s">
        <v>2070</v>
      </c>
      <c r="F1489" t="s">
        <v>1233</v>
      </c>
      <c r="G1489" t="s">
        <v>1234</v>
      </c>
      <c r="H1489" s="10">
        <v>46162</v>
      </c>
      <c r="I1489">
        <v>73530</v>
      </c>
      <c r="J1489">
        <v>7.42</v>
      </c>
      <c r="K1489">
        <v>73522.58</v>
      </c>
    </row>
    <row r="1490" spans="1:11" x14ac:dyDescent="0.35">
      <c r="A1490">
        <v>2720000226</v>
      </c>
      <c r="B1490">
        <v>9400007817</v>
      </c>
      <c r="C1490" s="10">
        <v>46161</v>
      </c>
      <c r="D1490" t="s">
        <v>2032</v>
      </c>
      <c r="E1490" s="11">
        <v>18751331</v>
      </c>
      <c r="F1490" t="s">
        <v>17</v>
      </c>
      <c r="G1490" t="s">
        <v>18</v>
      </c>
      <c r="H1490" s="10">
        <v>46206</v>
      </c>
      <c r="I1490">
        <v>68557.320000000007</v>
      </c>
      <c r="J1490">
        <v>0</v>
      </c>
      <c r="K1490">
        <v>68557.320000000007</v>
      </c>
    </row>
    <row r="1491" spans="1:11" x14ac:dyDescent="0.35">
      <c r="A1491">
        <v>2710000524</v>
      </c>
      <c r="B1491">
        <v>9400007809</v>
      </c>
      <c r="C1491" s="10">
        <v>46161</v>
      </c>
      <c r="D1491" t="s">
        <v>2032</v>
      </c>
      <c r="E1491" s="11">
        <v>18751364</v>
      </c>
      <c r="F1491" t="s">
        <v>28</v>
      </c>
      <c r="G1491" t="s">
        <v>29</v>
      </c>
      <c r="H1491" s="10">
        <v>46206</v>
      </c>
      <c r="I1491">
        <v>22035.8</v>
      </c>
      <c r="J1491">
        <v>0</v>
      </c>
      <c r="K1491">
        <v>22035.8</v>
      </c>
    </row>
    <row r="1492" spans="1:11" x14ac:dyDescent="0.35">
      <c r="A1492">
        <v>2710000523</v>
      </c>
      <c r="B1492">
        <v>9400007808</v>
      </c>
      <c r="C1492" s="10">
        <v>46161</v>
      </c>
      <c r="D1492" t="s">
        <v>2032</v>
      </c>
      <c r="E1492" s="11">
        <v>18751295</v>
      </c>
      <c r="F1492" t="s">
        <v>31</v>
      </c>
      <c r="G1492" t="s">
        <v>32</v>
      </c>
      <c r="H1492" s="10">
        <v>46206</v>
      </c>
      <c r="I1492">
        <v>36012.61</v>
      </c>
      <c r="J1492">
        <v>0</v>
      </c>
      <c r="K1492">
        <v>36012.61</v>
      </c>
    </row>
    <row r="1493" spans="1:11" x14ac:dyDescent="0.35">
      <c r="A1493">
        <v>2000000142</v>
      </c>
      <c r="B1493">
        <v>9400007798</v>
      </c>
      <c r="C1493" s="10">
        <v>46161</v>
      </c>
      <c r="D1493" t="s">
        <v>2032</v>
      </c>
      <c r="E1493" s="11">
        <v>18740969</v>
      </c>
      <c r="F1493" t="s">
        <v>34</v>
      </c>
      <c r="G1493" t="s">
        <v>35</v>
      </c>
      <c r="H1493" s="10">
        <v>46206</v>
      </c>
      <c r="I1493">
        <v>9177.5</v>
      </c>
      <c r="J1493">
        <v>0</v>
      </c>
      <c r="K1493">
        <v>9177.5</v>
      </c>
    </row>
    <row r="1494" spans="1:11" x14ac:dyDescent="0.35">
      <c r="A1494">
        <v>2300000334</v>
      </c>
      <c r="B1494">
        <v>9400007778</v>
      </c>
      <c r="C1494" s="10">
        <v>46161</v>
      </c>
      <c r="D1494" t="s">
        <v>2032</v>
      </c>
      <c r="E1494" s="11">
        <v>18741175</v>
      </c>
      <c r="F1494" t="s">
        <v>37</v>
      </c>
      <c r="G1494" t="s">
        <v>38</v>
      </c>
      <c r="H1494" s="10">
        <v>46206</v>
      </c>
      <c r="I1494">
        <v>69171.600000000006</v>
      </c>
      <c r="J1494">
        <v>0</v>
      </c>
      <c r="K1494">
        <v>69171.600000000006</v>
      </c>
    </row>
    <row r="1495" spans="1:11" x14ac:dyDescent="0.35">
      <c r="A1495">
        <v>9300000393</v>
      </c>
      <c r="B1495">
        <v>9400007771</v>
      </c>
      <c r="C1495" s="10">
        <v>46161</v>
      </c>
      <c r="D1495" t="s">
        <v>2032</v>
      </c>
      <c r="E1495" s="11">
        <v>18710212</v>
      </c>
      <c r="F1495" t="s">
        <v>39</v>
      </c>
      <c r="G1495" t="s">
        <v>40</v>
      </c>
      <c r="H1495" s="10">
        <v>46161</v>
      </c>
      <c r="I1495">
        <v>23673.38</v>
      </c>
      <c r="J1495">
        <v>23212.71</v>
      </c>
      <c r="K1495">
        <v>460.67000000000189</v>
      </c>
    </row>
    <row r="1496" spans="1:11" x14ac:dyDescent="0.35">
      <c r="A1496">
        <v>9200000490</v>
      </c>
      <c r="B1496">
        <v>9400007770</v>
      </c>
      <c r="C1496" s="10">
        <v>46161</v>
      </c>
      <c r="D1496" t="s">
        <v>2032</v>
      </c>
      <c r="E1496" s="11">
        <v>18720344</v>
      </c>
      <c r="F1496" t="s">
        <v>44</v>
      </c>
      <c r="G1496" t="s">
        <v>45</v>
      </c>
      <c r="H1496" s="10">
        <v>46206</v>
      </c>
      <c r="I1496">
        <v>65330.7</v>
      </c>
      <c r="J1496">
        <v>0</v>
      </c>
      <c r="K1496">
        <v>65330.7</v>
      </c>
    </row>
    <row r="1497" spans="1:11" x14ac:dyDescent="0.35">
      <c r="A1497">
        <v>2300000335</v>
      </c>
      <c r="B1497">
        <v>9400007765</v>
      </c>
      <c r="C1497" s="10">
        <v>46161</v>
      </c>
      <c r="D1497" t="s">
        <v>2032</v>
      </c>
      <c r="E1497" s="11">
        <v>18751334</v>
      </c>
      <c r="F1497" t="s">
        <v>49</v>
      </c>
      <c r="G1497" t="s">
        <v>50</v>
      </c>
      <c r="H1497" s="10">
        <v>46206</v>
      </c>
      <c r="I1497">
        <v>92518.04</v>
      </c>
      <c r="J1497">
        <v>0</v>
      </c>
      <c r="K1497">
        <v>92518.04</v>
      </c>
    </row>
    <row r="1498" spans="1:11" x14ac:dyDescent="0.35">
      <c r="A1498">
        <v>2720000224</v>
      </c>
      <c r="B1498">
        <v>9400007762</v>
      </c>
      <c r="C1498" s="10">
        <v>46161</v>
      </c>
      <c r="D1498" t="s">
        <v>2032</v>
      </c>
      <c r="E1498" s="11">
        <v>18720411</v>
      </c>
      <c r="F1498" t="s">
        <v>53</v>
      </c>
      <c r="G1498" t="s">
        <v>54</v>
      </c>
      <c r="H1498" s="10">
        <v>46206</v>
      </c>
      <c r="I1498">
        <v>37288.94</v>
      </c>
      <c r="J1498">
        <v>0</v>
      </c>
      <c r="K1498">
        <v>37288.94</v>
      </c>
    </row>
    <row r="1499" spans="1:11" x14ac:dyDescent="0.35">
      <c r="A1499">
        <v>2720000222</v>
      </c>
      <c r="B1499">
        <v>9400007756</v>
      </c>
      <c r="C1499" s="10">
        <v>46161</v>
      </c>
      <c r="D1499" t="s">
        <v>2032</v>
      </c>
      <c r="E1499" s="11">
        <v>18740733</v>
      </c>
      <c r="F1499" t="s">
        <v>58</v>
      </c>
      <c r="G1499" t="s">
        <v>59</v>
      </c>
      <c r="H1499" s="10">
        <v>46206</v>
      </c>
      <c r="I1499">
        <v>30840.48</v>
      </c>
      <c r="J1499">
        <v>0</v>
      </c>
      <c r="K1499">
        <v>30840.48</v>
      </c>
    </row>
    <row r="1500" spans="1:11" x14ac:dyDescent="0.35">
      <c r="A1500">
        <v>9300000391</v>
      </c>
      <c r="B1500">
        <v>9400007755</v>
      </c>
      <c r="C1500" s="10">
        <v>46161</v>
      </c>
      <c r="D1500" t="s">
        <v>2032</v>
      </c>
      <c r="E1500" s="11">
        <v>18710158</v>
      </c>
      <c r="F1500" t="s">
        <v>60</v>
      </c>
      <c r="G1500" t="s">
        <v>61</v>
      </c>
      <c r="H1500" s="10">
        <v>46161</v>
      </c>
      <c r="I1500">
        <v>201982.78</v>
      </c>
      <c r="J1500">
        <v>201811.62</v>
      </c>
      <c r="K1500">
        <v>171.16000000000349</v>
      </c>
    </row>
    <row r="1501" spans="1:11" x14ac:dyDescent="0.35">
      <c r="A1501">
        <v>8000000428</v>
      </c>
      <c r="B1501">
        <v>9400007748</v>
      </c>
      <c r="C1501" s="10">
        <v>46161</v>
      </c>
      <c r="D1501" t="s">
        <v>2032</v>
      </c>
      <c r="E1501" s="11" t="s">
        <v>2033</v>
      </c>
      <c r="F1501" t="s">
        <v>62</v>
      </c>
      <c r="G1501" t="s">
        <v>63</v>
      </c>
      <c r="H1501" s="10">
        <v>46161</v>
      </c>
      <c r="I1501">
        <v>269.76</v>
      </c>
      <c r="J1501">
        <v>0</v>
      </c>
      <c r="K1501">
        <v>269.76</v>
      </c>
    </row>
    <row r="1502" spans="1:11" x14ac:dyDescent="0.35">
      <c r="A1502">
        <v>2710000519</v>
      </c>
      <c r="B1502">
        <v>9400007746</v>
      </c>
      <c r="C1502" s="10">
        <v>46161</v>
      </c>
      <c r="D1502" t="s">
        <v>2032</v>
      </c>
      <c r="E1502" s="11">
        <v>18741253</v>
      </c>
      <c r="F1502" t="s">
        <v>64</v>
      </c>
      <c r="G1502" t="s">
        <v>65</v>
      </c>
      <c r="H1502" s="10">
        <v>46206</v>
      </c>
      <c r="I1502">
        <v>154202.4</v>
      </c>
      <c r="J1502">
        <v>0</v>
      </c>
      <c r="K1502">
        <v>154202.4</v>
      </c>
    </row>
    <row r="1503" spans="1:11" x14ac:dyDescent="0.35">
      <c r="A1503">
        <v>2710000518</v>
      </c>
      <c r="B1503">
        <v>9400007745</v>
      </c>
      <c r="C1503" s="10">
        <v>46161</v>
      </c>
      <c r="D1503" t="s">
        <v>2032</v>
      </c>
      <c r="E1503" s="11">
        <v>18741215</v>
      </c>
      <c r="F1503" t="s">
        <v>66</v>
      </c>
      <c r="G1503" t="s">
        <v>67</v>
      </c>
      <c r="H1503" s="10">
        <v>46206</v>
      </c>
      <c r="I1503">
        <v>55823.91</v>
      </c>
      <c r="J1503">
        <v>0</v>
      </c>
      <c r="K1503">
        <v>55823.91</v>
      </c>
    </row>
    <row r="1504" spans="1:11" x14ac:dyDescent="0.35">
      <c r="A1504">
        <v>2710000517</v>
      </c>
      <c r="B1504">
        <v>9400007743</v>
      </c>
      <c r="C1504" s="10">
        <v>46161</v>
      </c>
      <c r="D1504" t="s">
        <v>2032</v>
      </c>
      <c r="E1504" s="11">
        <v>18741215</v>
      </c>
      <c r="F1504" t="s">
        <v>66</v>
      </c>
      <c r="G1504" t="s">
        <v>67</v>
      </c>
      <c r="H1504" s="10">
        <v>46175</v>
      </c>
      <c r="I1504">
        <v>92636.5</v>
      </c>
      <c r="J1504">
        <v>0</v>
      </c>
      <c r="K1504">
        <v>92636.5</v>
      </c>
    </row>
    <row r="1505" spans="1:11" x14ac:dyDescent="0.35">
      <c r="A1505">
        <v>2300000331</v>
      </c>
      <c r="B1505">
        <v>9400007742</v>
      </c>
      <c r="C1505" s="10">
        <v>46161</v>
      </c>
      <c r="D1505" t="s">
        <v>2032</v>
      </c>
      <c r="E1505" s="11">
        <v>18741060</v>
      </c>
      <c r="F1505" t="s">
        <v>68</v>
      </c>
      <c r="G1505" t="s">
        <v>69</v>
      </c>
      <c r="H1505" s="10">
        <v>46206</v>
      </c>
      <c r="I1505">
        <v>47537.26</v>
      </c>
      <c r="J1505">
        <v>0</v>
      </c>
      <c r="K1505">
        <v>47537.26</v>
      </c>
    </row>
    <row r="1506" spans="1:11" x14ac:dyDescent="0.35">
      <c r="A1506">
        <v>2710000515</v>
      </c>
      <c r="B1506">
        <v>9400007740</v>
      </c>
      <c r="C1506" s="10">
        <v>46161</v>
      </c>
      <c r="D1506" t="s">
        <v>2032</v>
      </c>
      <c r="E1506" s="11">
        <v>18740823</v>
      </c>
      <c r="F1506" t="s">
        <v>72</v>
      </c>
      <c r="G1506" t="s">
        <v>73</v>
      </c>
      <c r="H1506" s="10">
        <v>46206</v>
      </c>
      <c r="I1506">
        <v>65080.77</v>
      </c>
      <c r="J1506">
        <v>0</v>
      </c>
      <c r="K1506">
        <v>65080.77</v>
      </c>
    </row>
    <row r="1507" spans="1:11" x14ac:dyDescent="0.35">
      <c r="A1507">
        <v>2720000221</v>
      </c>
      <c r="B1507">
        <v>9400007739</v>
      </c>
      <c r="C1507" s="10">
        <v>46161</v>
      </c>
      <c r="D1507" t="s">
        <v>2032</v>
      </c>
      <c r="E1507" s="11">
        <v>18740735</v>
      </c>
      <c r="F1507" t="s">
        <v>74</v>
      </c>
      <c r="G1507" t="s">
        <v>75</v>
      </c>
      <c r="H1507" s="10">
        <v>46206</v>
      </c>
      <c r="I1507">
        <v>25422.38</v>
      </c>
      <c r="J1507">
        <v>0</v>
      </c>
      <c r="K1507">
        <v>25422.38</v>
      </c>
    </row>
    <row r="1508" spans="1:11" x14ac:dyDescent="0.35">
      <c r="A1508">
        <v>2300000329</v>
      </c>
      <c r="B1508">
        <v>9400007735</v>
      </c>
      <c r="C1508" s="10">
        <v>46161</v>
      </c>
      <c r="D1508" t="s">
        <v>2032</v>
      </c>
      <c r="E1508" s="11">
        <v>18740932</v>
      </c>
      <c r="F1508" t="s">
        <v>78</v>
      </c>
      <c r="G1508" t="s">
        <v>79</v>
      </c>
      <c r="H1508" s="10">
        <v>46206</v>
      </c>
      <c r="I1508">
        <v>61544.08</v>
      </c>
      <c r="J1508">
        <v>0</v>
      </c>
      <c r="K1508">
        <v>61544.08</v>
      </c>
    </row>
    <row r="1509" spans="1:11" x14ac:dyDescent="0.35">
      <c r="A1509">
        <v>9300000390</v>
      </c>
      <c r="B1509">
        <v>9400007727</v>
      </c>
      <c r="C1509" s="10">
        <v>46161</v>
      </c>
      <c r="D1509" t="s">
        <v>2032</v>
      </c>
      <c r="E1509" s="11">
        <v>18710158</v>
      </c>
      <c r="F1509" t="s">
        <v>82</v>
      </c>
      <c r="G1509" t="s">
        <v>83</v>
      </c>
      <c r="H1509" s="10">
        <v>46206</v>
      </c>
      <c r="I1509">
        <v>30617.08</v>
      </c>
      <c r="J1509">
        <v>0</v>
      </c>
      <c r="K1509">
        <v>30617.08</v>
      </c>
    </row>
    <row r="1510" spans="1:11" x14ac:dyDescent="0.35">
      <c r="A1510">
        <v>2730000350</v>
      </c>
      <c r="B1510">
        <v>9400007680</v>
      </c>
      <c r="C1510" s="10">
        <v>46161</v>
      </c>
      <c r="D1510" t="s">
        <v>2032</v>
      </c>
      <c r="E1510" s="11">
        <v>18740843</v>
      </c>
      <c r="F1510" t="s">
        <v>84</v>
      </c>
      <c r="G1510" t="s">
        <v>85</v>
      </c>
      <c r="H1510" s="10">
        <v>46206</v>
      </c>
      <c r="I1510">
        <v>51400.800000000003</v>
      </c>
      <c r="J1510">
        <v>0</v>
      </c>
      <c r="K1510">
        <v>51400.800000000003</v>
      </c>
    </row>
    <row r="1511" spans="1:11" x14ac:dyDescent="0.35">
      <c r="A1511">
        <v>9100000643</v>
      </c>
      <c r="B1511">
        <v>9400007679</v>
      </c>
      <c r="C1511" s="10">
        <v>46161</v>
      </c>
      <c r="D1511" t="s">
        <v>2032</v>
      </c>
      <c r="E1511" s="11">
        <v>18740730</v>
      </c>
      <c r="F1511" t="s">
        <v>86</v>
      </c>
      <c r="G1511" t="s">
        <v>87</v>
      </c>
      <c r="H1511" s="10">
        <v>46206</v>
      </c>
      <c r="I1511">
        <v>55276.42</v>
      </c>
      <c r="J1511">
        <v>0</v>
      </c>
      <c r="K1511">
        <v>55276.42</v>
      </c>
    </row>
    <row r="1512" spans="1:11" x14ac:dyDescent="0.35">
      <c r="A1512">
        <v>2730000349</v>
      </c>
      <c r="B1512">
        <v>9400007676</v>
      </c>
      <c r="C1512" s="10">
        <v>46161</v>
      </c>
      <c r="D1512" t="s">
        <v>2032</v>
      </c>
      <c r="E1512" s="11">
        <v>18740980</v>
      </c>
      <c r="F1512" t="s">
        <v>89</v>
      </c>
      <c r="G1512" t="s">
        <v>90</v>
      </c>
      <c r="H1512" s="10">
        <v>46206</v>
      </c>
      <c r="I1512">
        <v>35173.440000000002</v>
      </c>
      <c r="J1512">
        <v>0</v>
      </c>
      <c r="K1512">
        <v>35173.440000000002</v>
      </c>
    </row>
    <row r="1513" spans="1:11" x14ac:dyDescent="0.35">
      <c r="B1513">
        <v>1400005736</v>
      </c>
      <c r="C1513" s="10">
        <v>46161</v>
      </c>
      <c r="D1513" t="s">
        <v>2037</v>
      </c>
      <c r="E1513" s="11">
        <v>344</v>
      </c>
      <c r="F1513" t="s">
        <v>355</v>
      </c>
      <c r="G1513" t="s">
        <v>356</v>
      </c>
      <c r="H1513" s="10">
        <v>46161</v>
      </c>
      <c r="I1513">
        <v>59</v>
      </c>
      <c r="J1513">
        <v>0</v>
      </c>
      <c r="K1513">
        <v>59</v>
      </c>
    </row>
    <row r="1514" spans="1:11" x14ac:dyDescent="0.35">
      <c r="B1514">
        <v>1400005726</v>
      </c>
      <c r="C1514" s="10">
        <v>46161</v>
      </c>
      <c r="D1514" t="s">
        <v>2037</v>
      </c>
      <c r="E1514" s="11">
        <v>350</v>
      </c>
      <c r="F1514" t="s">
        <v>355</v>
      </c>
      <c r="G1514" t="s">
        <v>356</v>
      </c>
      <c r="H1514" s="10">
        <v>46161</v>
      </c>
      <c r="I1514">
        <v>59</v>
      </c>
      <c r="J1514">
        <v>0</v>
      </c>
      <c r="K1514">
        <v>59</v>
      </c>
    </row>
    <row r="1515" spans="1:11" x14ac:dyDescent="0.35">
      <c r="B1515">
        <v>1400005725</v>
      </c>
      <c r="C1515" s="10">
        <v>46161</v>
      </c>
      <c r="D1515" t="s">
        <v>2037</v>
      </c>
      <c r="E1515" s="11">
        <v>57080</v>
      </c>
      <c r="F1515" t="s">
        <v>357</v>
      </c>
      <c r="G1515" t="s">
        <v>358</v>
      </c>
      <c r="H1515" s="10">
        <v>46161</v>
      </c>
      <c r="I1515">
        <v>59</v>
      </c>
      <c r="J1515">
        <v>0</v>
      </c>
      <c r="K1515">
        <v>59</v>
      </c>
    </row>
    <row r="1516" spans="1:11" x14ac:dyDescent="0.35">
      <c r="B1516">
        <v>1400005711</v>
      </c>
      <c r="C1516" s="10">
        <v>46161</v>
      </c>
      <c r="D1516" t="s">
        <v>2037</v>
      </c>
      <c r="E1516" s="11">
        <v>774</v>
      </c>
      <c r="F1516" t="s">
        <v>316</v>
      </c>
      <c r="G1516" t="s">
        <v>317</v>
      </c>
      <c r="H1516" s="10">
        <v>46161</v>
      </c>
      <c r="I1516">
        <v>59</v>
      </c>
      <c r="J1516">
        <v>0</v>
      </c>
      <c r="K1516">
        <v>59</v>
      </c>
    </row>
    <row r="1517" spans="1:11" x14ac:dyDescent="0.35">
      <c r="B1517">
        <v>1400005704</v>
      </c>
      <c r="C1517" s="10">
        <v>46161</v>
      </c>
      <c r="D1517" t="s">
        <v>2037</v>
      </c>
      <c r="E1517" s="11">
        <v>779</v>
      </c>
      <c r="F1517" t="s">
        <v>316</v>
      </c>
      <c r="G1517" t="s">
        <v>317</v>
      </c>
      <c r="H1517" s="10">
        <v>46161</v>
      </c>
      <c r="I1517">
        <v>59</v>
      </c>
      <c r="J1517">
        <v>0</v>
      </c>
      <c r="K1517">
        <v>59</v>
      </c>
    </row>
    <row r="1518" spans="1:11" x14ac:dyDescent="0.35">
      <c r="B1518">
        <v>1400005703</v>
      </c>
      <c r="C1518" s="10">
        <v>46161</v>
      </c>
      <c r="D1518" t="s">
        <v>2037</v>
      </c>
      <c r="E1518" s="11">
        <v>210091</v>
      </c>
      <c r="F1518" t="s">
        <v>122</v>
      </c>
      <c r="G1518" t="s">
        <v>123</v>
      </c>
      <c r="H1518" s="10">
        <v>46161</v>
      </c>
      <c r="I1518">
        <v>59</v>
      </c>
      <c r="J1518">
        <v>13.73</v>
      </c>
      <c r="K1518">
        <v>45.269999999999996</v>
      </c>
    </row>
    <row r="1519" spans="1:11" x14ac:dyDescent="0.35">
      <c r="B1519">
        <v>1400005701</v>
      </c>
      <c r="C1519" s="10">
        <v>46161</v>
      </c>
      <c r="D1519" t="s">
        <v>2037</v>
      </c>
      <c r="E1519" s="11">
        <v>47</v>
      </c>
      <c r="F1519" t="s">
        <v>308</v>
      </c>
      <c r="G1519" t="s">
        <v>309</v>
      </c>
      <c r="H1519" s="10">
        <v>46161</v>
      </c>
      <c r="I1519">
        <v>59</v>
      </c>
      <c r="J1519">
        <v>0</v>
      </c>
      <c r="K1519">
        <v>59</v>
      </c>
    </row>
    <row r="1520" spans="1:11" x14ac:dyDescent="0.35">
      <c r="B1520">
        <v>1400005699</v>
      </c>
      <c r="C1520" s="10">
        <v>46161</v>
      </c>
      <c r="D1520" t="s">
        <v>2037</v>
      </c>
      <c r="E1520" s="11" t="s">
        <v>3683</v>
      </c>
      <c r="F1520" t="s">
        <v>503</v>
      </c>
      <c r="G1520" t="s">
        <v>504</v>
      </c>
      <c r="H1520" s="10">
        <v>46157</v>
      </c>
      <c r="I1520">
        <v>162638</v>
      </c>
      <c r="J1520">
        <v>0</v>
      </c>
      <c r="K1520">
        <v>162638</v>
      </c>
    </row>
    <row r="1521" spans="1:11" x14ac:dyDescent="0.35">
      <c r="B1521">
        <v>1400005695</v>
      </c>
      <c r="C1521" s="10">
        <v>46161</v>
      </c>
      <c r="D1521" t="s">
        <v>2037</v>
      </c>
      <c r="E1521" s="11" t="s">
        <v>2060</v>
      </c>
      <c r="F1521" t="s">
        <v>763</v>
      </c>
      <c r="G1521" t="s">
        <v>764</v>
      </c>
      <c r="H1521" s="10">
        <v>46157</v>
      </c>
      <c r="I1521">
        <v>42080</v>
      </c>
      <c r="J1521">
        <v>7143.7</v>
      </c>
      <c r="K1521">
        <v>34936.300000000003</v>
      </c>
    </row>
    <row r="1522" spans="1:11" x14ac:dyDescent="0.35">
      <c r="B1522">
        <v>100001346</v>
      </c>
      <c r="C1522" s="10">
        <v>46161</v>
      </c>
      <c r="D1522" t="s">
        <v>2034</v>
      </c>
      <c r="E1522" s="11"/>
      <c r="F1522" t="s">
        <v>101</v>
      </c>
      <c r="G1522" t="s">
        <v>102</v>
      </c>
      <c r="H1522" s="10">
        <v>46161</v>
      </c>
      <c r="I1522">
        <v>51000</v>
      </c>
      <c r="J1522">
        <v>0</v>
      </c>
      <c r="K1522">
        <v>51000</v>
      </c>
    </row>
    <row r="1523" spans="1:11" x14ac:dyDescent="0.35">
      <c r="A1523">
        <v>2000000138</v>
      </c>
      <c r="B1523">
        <v>9400007616</v>
      </c>
      <c r="C1523" s="10">
        <v>46160</v>
      </c>
      <c r="D1523" t="s">
        <v>2032</v>
      </c>
      <c r="E1523" s="11">
        <v>18720363</v>
      </c>
      <c r="F1523" t="s">
        <v>105</v>
      </c>
      <c r="G1523" t="s">
        <v>106</v>
      </c>
      <c r="H1523" s="10">
        <v>46205</v>
      </c>
      <c r="I1523">
        <v>799293.46</v>
      </c>
      <c r="J1523">
        <v>0</v>
      </c>
      <c r="K1523">
        <v>799293.46</v>
      </c>
    </row>
    <row r="1524" spans="1:11" x14ac:dyDescent="0.35">
      <c r="A1524">
        <v>3000000575</v>
      </c>
      <c r="B1524">
        <v>9400007613</v>
      </c>
      <c r="C1524" s="10">
        <v>46160</v>
      </c>
      <c r="D1524" t="s">
        <v>2032</v>
      </c>
      <c r="E1524" s="11" t="s">
        <v>2035</v>
      </c>
      <c r="F1524" t="s">
        <v>107</v>
      </c>
      <c r="G1524" t="s">
        <v>108</v>
      </c>
      <c r="H1524" s="10">
        <v>46205</v>
      </c>
      <c r="I1524">
        <v>1841.21</v>
      </c>
      <c r="J1524">
        <v>0</v>
      </c>
      <c r="K1524">
        <v>1841.21</v>
      </c>
    </row>
    <row r="1525" spans="1:11" x14ac:dyDescent="0.35">
      <c r="A1525">
        <v>2000000134</v>
      </c>
      <c r="B1525">
        <v>9400007609</v>
      </c>
      <c r="C1525" s="10">
        <v>46160</v>
      </c>
      <c r="D1525" t="s">
        <v>2032</v>
      </c>
      <c r="E1525" s="11">
        <v>18720398</v>
      </c>
      <c r="F1525" t="s">
        <v>109</v>
      </c>
      <c r="G1525" t="s">
        <v>110</v>
      </c>
      <c r="H1525" s="10">
        <v>46205</v>
      </c>
      <c r="I1525">
        <v>20956.8</v>
      </c>
      <c r="J1525">
        <v>0</v>
      </c>
      <c r="K1525">
        <v>20956.8</v>
      </c>
    </row>
    <row r="1526" spans="1:11" x14ac:dyDescent="0.35">
      <c r="A1526">
        <v>2000000133</v>
      </c>
      <c r="B1526">
        <v>9400007607</v>
      </c>
      <c r="C1526" s="10">
        <v>46160</v>
      </c>
      <c r="D1526" t="s">
        <v>2032</v>
      </c>
      <c r="E1526" s="11">
        <v>18720378</v>
      </c>
      <c r="F1526" t="s">
        <v>96</v>
      </c>
      <c r="G1526" t="s">
        <v>97</v>
      </c>
      <c r="H1526" s="10">
        <v>46205</v>
      </c>
      <c r="I1526">
        <v>123546.3</v>
      </c>
      <c r="J1526">
        <v>0</v>
      </c>
      <c r="K1526">
        <v>123546.3</v>
      </c>
    </row>
    <row r="1527" spans="1:11" x14ac:dyDescent="0.35">
      <c r="A1527">
        <v>2710000514</v>
      </c>
      <c r="B1527">
        <v>9400007598</v>
      </c>
      <c r="C1527" s="10">
        <v>46160</v>
      </c>
      <c r="D1527" t="s">
        <v>2032</v>
      </c>
      <c r="E1527" s="11">
        <v>18667341</v>
      </c>
      <c r="F1527" t="s">
        <v>118</v>
      </c>
      <c r="G1527" t="s">
        <v>119</v>
      </c>
      <c r="H1527" s="10">
        <v>46205</v>
      </c>
      <c r="I1527">
        <v>51400.800000000003</v>
      </c>
      <c r="J1527">
        <v>0</v>
      </c>
      <c r="K1527">
        <v>51400.800000000003</v>
      </c>
    </row>
    <row r="1528" spans="1:11" x14ac:dyDescent="0.35">
      <c r="A1528">
        <v>2710000513</v>
      </c>
      <c r="B1528">
        <v>9400007597</v>
      </c>
      <c r="C1528" s="10">
        <v>46160</v>
      </c>
      <c r="D1528" t="s">
        <v>2032</v>
      </c>
      <c r="E1528" s="11">
        <v>18667341</v>
      </c>
      <c r="F1528" t="s">
        <v>118</v>
      </c>
      <c r="G1528" t="s">
        <v>119</v>
      </c>
      <c r="H1528" s="10">
        <v>46174</v>
      </c>
      <c r="I1528">
        <v>42572.28</v>
      </c>
      <c r="J1528">
        <v>0</v>
      </c>
      <c r="K1528">
        <v>42572.28</v>
      </c>
    </row>
    <row r="1529" spans="1:11" x14ac:dyDescent="0.35">
      <c r="A1529">
        <v>2720000216</v>
      </c>
      <c r="B1529">
        <v>9400007594</v>
      </c>
      <c r="C1529" s="10">
        <v>46160</v>
      </c>
      <c r="D1529" t="s">
        <v>2032</v>
      </c>
      <c r="E1529" s="11">
        <v>18720281</v>
      </c>
      <c r="F1529" t="s">
        <v>122</v>
      </c>
      <c r="G1529" t="s">
        <v>123</v>
      </c>
      <c r="H1529" s="10">
        <v>46205</v>
      </c>
      <c r="I1529">
        <v>257004</v>
      </c>
      <c r="J1529">
        <v>0</v>
      </c>
      <c r="K1529">
        <v>257004</v>
      </c>
    </row>
    <row r="1530" spans="1:11" x14ac:dyDescent="0.35">
      <c r="A1530">
        <v>2730000346</v>
      </c>
      <c r="B1530">
        <v>9400007593</v>
      </c>
      <c r="C1530" s="10">
        <v>46160</v>
      </c>
      <c r="D1530" t="s">
        <v>2032</v>
      </c>
      <c r="E1530" s="11">
        <v>18720340</v>
      </c>
      <c r="F1530" t="s">
        <v>120</v>
      </c>
      <c r="G1530" t="s">
        <v>121</v>
      </c>
      <c r="H1530" s="10">
        <v>46205</v>
      </c>
      <c r="I1530">
        <v>10280.16</v>
      </c>
      <c r="J1530">
        <v>0</v>
      </c>
      <c r="K1530">
        <v>10280.16</v>
      </c>
    </row>
    <row r="1531" spans="1:11" x14ac:dyDescent="0.35">
      <c r="A1531">
        <v>9200000485</v>
      </c>
      <c r="B1531">
        <v>9400007588</v>
      </c>
      <c r="C1531" s="10">
        <v>46160</v>
      </c>
      <c r="D1531" t="s">
        <v>2032</v>
      </c>
      <c r="E1531" s="11">
        <v>18709964</v>
      </c>
      <c r="F1531" t="s">
        <v>124</v>
      </c>
      <c r="G1531" t="s">
        <v>125</v>
      </c>
      <c r="H1531" s="10">
        <v>46205</v>
      </c>
      <c r="I1531">
        <v>40702.92</v>
      </c>
      <c r="J1531">
        <v>0</v>
      </c>
      <c r="K1531">
        <v>40702.92</v>
      </c>
    </row>
    <row r="1532" spans="1:11" x14ac:dyDescent="0.35">
      <c r="A1532">
        <v>2720000215</v>
      </c>
      <c r="B1532">
        <v>9400007587</v>
      </c>
      <c r="C1532" s="10">
        <v>46160</v>
      </c>
      <c r="D1532" t="s">
        <v>2032</v>
      </c>
      <c r="E1532" s="11">
        <v>18709961</v>
      </c>
      <c r="F1532" t="s">
        <v>22</v>
      </c>
      <c r="G1532" t="s">
        <v>23</v>
      </c>
      <c r="H1532" s="10">
        <v>46205</v>
      </c>
      <c r="I1532">
        <v>11326.86</v>
      </c>
      <c r="J1532">
        <v>0</v>
      </c>
      <c r="K1532">
        <v>11326.86</v>
      </c>
    </row>
    <row r="1533" spans="1:11" x14ac:dyDescent="0.35">
      <c r="A1533">
        <v>9200000484</v>
      </c>
      <c r="B1533">
        <v>9400007582</v>
      </c>
      <c r="C1533" s="10">
        <v>46160</v>
      </c>
      <c r="D1533" t="s">
        <v>2032</v>
      </c>
      <c r="E1533" s="11">
        <v>18720277</v>
      </c>
      <c r="F1533" t="s">
        <v>132</v>
      </c>
      <c r="G1533" t="s">
        <v>133</v>
      </c>
      <c r="H1533" s="10">
        <v>46205</v>
      </c>
      <c r="I1533">
        <v>223908.48000000001</v>
      </c>
      <c r="J1533">
        <v>0</v>
      </c>
      <c r="K1533">
        <v>223908.48000000001</v>
      </c>
    </row>
    <row r="1534" spans="1:11" x14ac:dyDescent="0.35">
      <c r="A1534">
        <v>2710000511</v>
      </c>
      <c r="B1534">
        <v>9400007576</v>
      </c>
      <c r="C1534" s="10">
        <v>46160</v>
      </c>
      <c r="D1534" t="s">
        <v>2032</v>
      </c>
      <c r="E1534" s="11">
        <v>18720279</v>
      </c>
      <c r="F1534" t="s">
        <v>134</v>
      </c>
      <c r="G1534" t="s">
        <v>135</v>
      </c>
      <c r="H1534" s="10">
        <v>46205</v>
      </c>
      <c r="I1534">
        <v>13678.56</v>
      </c>
      <c r="J1534">
        <v>0</v>
      </c>
      <c r="K1534">
        <v>13678.56</v>
      </c>
    </row>
    <row r="1535" spans="1:11" x14ac:dyDescent="0.35">
      <c r="A1535">
        <v>2720000213</v>
      </c>
      <c r="B1535">
        <v>9400007574</v>
      </c>
      <c r="C1535" s="10">
        <v>46160</v>
      </c>
      <c r="D1535" t="s">
        <v>2032</v>
      </c>
      <c r="E1535" s="11">
        <v>18710100</v>
      </c>
      <c r="F1535" t="s">
        <v>136</v>
      </c>
      <c r="G1535" t="s">
        <v>137</v>
      </c>
      <c r="H1535" s="10">
        <v>46205</v>
      </c>
      <c r="I1535">
        <v>79362.080000000002</v>
      </c>
      <c r="J1535">
        <v>0</v>
      </c>
      <c r="K1535">
        <v>79362.080000000002</v>
      </c>
    </row>
    <row r="1536" spans="1:11" x14ac:dyDescent="0.35">
      <c r="A1536">
        <v>2710000509</v>
      </c>
      <c r="B1536">
        <v>9400007572</v>
      </c>
      <c r="C1536" s="10">
        <v>46160</v>
      </c>
      <c r="D1536" t="s">
        <v>2032</v>
      </c>
      <c r="E1536" s="11">
        <v>18710166</v>
      </c>
      <c r="F1536" t="s">
        <v>138</v>
      </c>
      <c r="G1536" t="s">
        <v>139</v>
      </c>
      <c r="H1536" s="10">
        <v>46160</v>
      </c>
      <c r="I1536">
        <v>56874.57</v>
      </c>
      <c r="J1536">
        <v>45885.15</v>
      </c>
      <c r="K1536">
        <v>10989.419999999998</v>
      </c>
    </row>
    <row r="1537" spans="1:11" x14ac:dyDescent="0.35">
      <c r="A1537">
        <v>9200000483</v>
      </c>
      <c r="B1537">
        <v>9400007570</v>
      </c>
      <c r="C1537" s="10">
        <v>46160</v>
      </c>
      <c r="D1537" t="s">
        <v>2032</v>
      </c>
      <c r="E1537" s="11">
        <v>18709724</v>
      </c>
      <c r="F1537" t="s">
        <v>140</v>
      </c>
      <c r="G1537" t="s">
        <v>141</v>
      </c>
      <c r="H1537" s="10">
        <v>46205</v>
      </c>
      <c r="I1537">
        <v>35071.78</v>
      </c>
      <c r="J1537">
        <v>0</v>
      </c>
      <c r="K1537">
        <v>35071.78</v>
      </c>
    </row>
    <row r="1538" spans="1:11" x14ac:dyDescent="0.35">
      <c r="A1538">
        <v>9100000636</v>
      </c>
      <c r="B1538">
        <v>9400007567</v>
      </c>
      <c r="C1538" s="10">
        <v>46160</v>
      </c>
      <c r="D1538" t="s">
        <v>2032</v>
      </c>
      <c r="E1538" s="11">
        <v>18710082</v>
      </c>
      <c r="F1538" t="s">
        <v>142</v>
      </c>
      <c r="G1538" t="s">
        <v>143</v>
      </c>
      <c r="H1538" s="10">
        <v>46205</v>
      </c>
      <c r="I1538">
        <v>27418.82</v>
      </c>
      <c r="J1538">
        <v>0</v>
      </c>
      <c r="K1538">
        <v>27418.82</v>
      </c>
    </row>
    <row r="1539" spans="1:11" x14ac:dyDescent="0.35">
      <c r="A1539">
        <v>2720000212</v>
      </c>
      <c r="B1539">
        <v>9400007563</v>
      </c>
      <c r="C1539" s="10">
        <v>46160</v>
      </c>
      <c r="D1539" t="s">
        <v>2032</v>
      </c>
      <c r="E1539" s="11">
        <v>18699288</v>
      </c>
      <c r="F1539" t="s">
        <v>146</v>
      </c>
      <c r="G1539" t="s">
        <v>147</v>
      </c>
      <c r="H1539" s="10">
        <v>46167</v>
      </c>
      <c r="I1539">
        <v>98621.56</v>
      </c>
      <c r="J1539">
        <v>0</v>
      </c>
      <c r="K1539">
        <v>98621.56</v>
      </c>
    </row>
    <row r="1540" spans="1:11" x14ac:dyDescent="0.35">
      <c r="A1540">
        <v>2710000504</v>
      </c>
      <c r="B1540">
        <v>9400007562</v>
      </c>
      <c r="C1540" s="10">
        <v>46160</v>
      </c>
      <c r="D1540" t="s">
        <v>2032</v>
      </c>
      <c r="E1540" s="11">
        <v>18709752</v>
      </c>
      <c r="F1540" t="s">
        <v>148</v>
      </c>
      <c r="G1540" t="s">
        <v>149</v>
      </c>
      <c r="H1540" s="10">
        <v>46205</v>
      </c>
      <c r="I1540">
        <v>29159</v>
      </c>
      <c r="J1540">
        <v>0</v>
      </c>
      <c r="K1540">
        <v>29159</v>
      </c>
    </row>
    <row r="1541" spans="1:11" x14ac:dyDescent="0.35">
      <c r="A1541">
        <v>2710000503</v>
      </c>
      <c r="B1541">
        <v>9400007561</v>
      </c>
      <c r="C1541" s="10">
        <v>46160</v>
      </c>
      <c r="D1541" t="s">
        <v>2032</v>
      </c>
      <c r="E1541" s="11">
        <v>18709652</v>
      </c>
      <c r="F1541" t="s">
        <v>150</v>
      </c>
      <c r="G1541" t="s">
        <v>151</v>
      </c>
      <c r="H1541" s="10">
        <v>46205</v>
      </c>
      <c r="I1541">
        <v>21842.74</v>
      </c>
      <c r="J1541">
        <v>0</v>
      </c>
      <c r="K1541">
        <v>21842.74</v>
      </c>
    </row>
    <row r="1542" spans="1:11" x14ac:dyDescent="0.35">
      <c r="A1542">
        <v>9200000481</v>
      </c>
      <c r="B1542">
        <v>9400007559</v>
      </c>
      <c r="C1542" s="10">
        <v>46160</v>
      </c>
      <c r="D1542" t="s">
        <v>2032</v>
      </c>
      <c r="E1542" s="11">
        <v>18709304</v>
      </c>
      <c r="F1542" t="s">
        <v>152</v>
      </c>
      <c r="G1542" t="s">
        <v>153</v>
      </c>
      <c r="H1542" s="10">
        <v>46160</v>
      </c>
      <c r="I1542">
        <v>6311.96</v>
      </c>
      <c r="J1542">
        <v>5748.8</v>
      </c>
      <c r="K1542">
        <v>563.15999999999985</v>
      </c>
    </row>
    <row r="1543" spans="1:11" x14ac:dyDescent="0.35">
      <c r="A1543">
        <v>9300000389</v>
      </c>
      <c r="B1543">
        <v>9400007552</v>
      </c>
      <c r="C1543" s="10">
        <v>46160</v>
      </c>
      <c r="D1543" t="s">
        <v>2032</v>
      </c>
      <c r="E1543" s="11">
        <v>18709719</v>
      </c>
      <c r="F1543" t="s">
        <v>156</v>
      </c>
      <c r="G1543" t="s">
        <v>157</v>
      </c>
      <c r="H1543" s="10">
        <v>46205</v>
      </c>
      <c r="I1543">
        <v>76313.539999999994</v>
      </c>
      <c r="J1543">
        <v>0</v>
      </c>
      <c r="K1543">
        <v>76313.539999999994</v>
      </c>
    </row>
    <row r="1544" spans="1:11" x14ac:dyDescent="0.35">
      <c r="A1544">
        <v>9200000480</v>
      </c>
      <c r="B1544">
        <v>9400007551</v>
      </c>
      <c r="C1544" s="10">
        <v>46160</v>
      </c>
      <c r="D1544" t="s">
        <v>2032</v>
      </c>
      <c r="E1544" s="11">
        <v>18667238</v>
      </c>
      <c r="F1544" t="s">
        <v>158</v>
      </c>
      <c r="G1544" t="s">
        <v>159</v>
      </c>
      <c r="H1544" s="10">
        <v>46205</v>
      </c>
      <c r="I1544">
        <v>73777.86</v>
      </c>
      <c r="J1544">
        <v>0</v>
      </c>
      <c r="K1544">
        <v>73777.86</v>
      </c>
    </row>
    <row r="1545" spans="1:11" x14ac:dyDescent="0.35">
      <c r="A1545">
        <v>9100000634</v>
      </c>
      <c r="B1545">
        <v>9400007547</v>
      </c>
      <c r="C1545" s="10">
        <v>46160</v>
      </c>
      <c r="D1545" t="s">
        <v>2032</v>
      </c>
      <c r="E1545" s="11">
        <v>18698596</v>
      </c>
      <c r="F1545" t="s">
        <v>160</v>
      </c>
      <c r="G1545" t="s">
        <v>161</v>
      </c>
      <c r="H1545" s="10">
        <v>46160</v>
      </c>
      <c r="I1545">
        <v>17622.5</v>
      </c>
      <c r="J1545">
        <v>16770.04</v>
      </c>
      <c r="K1545">
        <v>852.45999999999913</v>
      </c>
    </row>
    <row r="1546" spans="1:11" x14ac:dyDescent="0.35">
      <c r="A1546">
        <v>9100000631</v>
      </c>
      <c r="B1546">
        <v>9400007531</v>
      </c>
      <c r="C1546" s="10">
        <v>46160</v>
      </c>
      <c r="D1546" t="s">
        <v>2032</v>
      </c>
      <c r="E1546" s="11">
        <v>18709945</v>
      </c>
      <c r="F1546" t="s">
        <v>174</v>
      </c>
      <c r="G1546" t="s">
        <v>175</v>
      </c>
      <c r="H1546" s="10">
        <v>46174</v>
      </c>
      <c r="I1546">
        <v>8496</v>
      </c>
      <c r="J1546">
        <v>0</v>
      </c>
      <c r="K1546">
        <v>8496</v>
      </c>
    </row>
    <row r="1547" spans="1:11" x14ac:dyDescent="0.35">
      <c r="A1547">
        <v>9100000630</v>
      </c>
      <c r="B1547">
        <v>9400007526</v>
      </c>
      <c r="C1547" s="10">
        <v>46160</v>
      </c>
      <c r="D1547" t="s">
        <v>2032</v>
      </c>
      <c r="E1547" s="11">
        <v>18709945</v>
      </c>
      <c r="F1547" t="s">
        <v>174</v>
      </c>
      <c r="G1547" t="s">
        <v>175</v>
      </c>
      <c r="H1547" s="10">
        <v>46205</v>
      </c>
      <c r="I1547">
        <v>21459.58</v>
      </c>
      <c r="J1547">
        <v>0</v>
      </c>
      <c r="K1547">
        <v>21459.58</v>
      </c>
    </row>
    <row r="1548" spans="1:11" x14ac:dyDescent="0.35">
      <c r="A1548">
        <v>2300000316</v>
      </c>
      <c r="B1548">
        <v>9400007507</v>
      </c>
      <c r="C1548" s="10">
        <v>46160</v>
      </c>
      <c r="D1548" t="s">
        <v>2032</v>
      </c>
      <c r="E1548" s="11">
        <v>18709889</v>
      </c>
      <c r="F1548" t="s">
        <v>176</v>
      </c>
      <c r="G1548" t="s">
        <v>177</v>
      </c>
      <c r="H1548" s="10">
        <v>46205</v>
      </c>
      <c r="I1548">
        <v>308404.8</v>
      </c>
      <c r="J1548">
        <v>0</v>
      </c>
      <c r="K1548">
        <v>308404.8</v>
      </c>
    </row>
    <row r="1549" spans="1:11" x14ac:dyDescent="0.35">
      <c r="A1549">
        <v>9300000385</v>
      </c>
      <c r="B1549">
        <v>9400007473</v>
      </c>
      <c r="C1549" s="10">
        <v>46160</v>
      </c>
      <c r="D1549" t="s">
        <v>2032</v>
      </c>
      <c r="E1549" s="11">
        <v>18667677</v>
      </c>
      <c r="F1549" t="s">
        <v>184</v>
      </c>
      <c r="G1549" t="s">
        <v>185</v>
      </c>
      <c r="H1549" s="10">
        <v>46205</v>
      </c>
      <c r="I1549">
        <v>28207.9</v>
      </c>
      <c r="J1549">
        <v>0</v>
      </c>
      <c r="K1549">
        <v>28207.9</v>
      </c>
    </row>
    <row r="1550" spans="1:11" x14ac:dyDescent="0.35">
      <c r="B1550">
        <v>1400005420</v>
      </c>
      <c r="C1550" s="10">
        <v>46160</v>
      </c>
      <c r="D1550" t="s">
        <v>2037</v>
      </c>
      <c r="E1550" s="11" t="s">
        <v>2038</v>
      </c>
      <c r="F1550" t="s">
        <v>215</v>
      </c>
      <c r="G1550" t="s">
        <v>216</v>
      </c>
      <c r="H1550" s="10">
        <v>46156</v>
      </c>
      <c r="I1550">
        <v>317774</v>
      </c>
      <c r="J1550">
        <v>221747.45</v>
      </c>
      <c r="K1550">
        <v>96026.549999999988</v>
      </c>
    </row>
    <row r="1551" spans="1:11" x14ac:dyDescent="0.35">
      <c r="B1551">
        <v>1400005418</v>
      </c>
      <c r="C1551" s="10">
        <v>46160</v>
      </c>
      <c r="D1551" t="s">
        <v>2037</v>
      </c>
      <c r="E1551" s="11" t="s">
        <v>2039</v>
      </c>
      <c r="F1551" t="s">
        <v>219</v>
      </c>
      <c r="G1551" t="s">
        <v>220</v>
      </c>
      <c r="H1551" s="10">
        <v>46156</v>
      </c>
      <c r="I1551">
        <v>119213</v>
      </c>
      <c r="J1551">
        <v>0</v>
      </c>
      <c r="K1551">
        <v>119213</v>
      </c>
    </row>
    <row r="1552" spans="1:11" x14ac:dyDescent="0.35">
      <c r="A1552">
        <v>2730000335</v>
      </c>
      <c r="B1552">
        <v>9400007406</v>
      </c>
      <c r="C1552" s="10">
        <v>46158</v>
      </c>
      <c r="D1552" t="s">
        <v>2032</v>
      </c>
      <c r="E1552" s="11">
        <v>18699279</v>
      </c>
      <c r="F1552" t="s">
        <v>225</v>
      </c>
      <c r="G1552" t="s">
        <v>226</v>
      </c>
      <c r="H1552" s="10">
        <v>46203</v>
      </c>
      <c r="I1552">
        <v>257004</v>
      </c>
      <c r="J1552">
        <v>0</v>
      </c>
      <c r="K1552">
        <v>257004</v>
      </c>
    </row>
    <row r="1553" spans="1:11" x14ac:dyDescent="0.35">
      <c r="A1553">
        <v>2720000209</v>
      </c>
      <c r="B1553">
        <v>9400007405</v>
      </c>
      <c r="C1553" s="10">
        <v>46158</v>
      </c>
      <c r="D1553" t="s">
        <v>2032</v>
      </c>
      <c r="E1553" s="11">
        <v>18709329</v>
      </c>
      <c r="F1553" t="s">
        <v>227</v>
      </c>
      <c r="G1553" t="s">
        <v>228</v>
      </c>
      <c r="H1553" s="10">
        <v>46203</v>
      </c>
      <c r="I1553">
        <v>17666.16</v>
      </c>
      <c r="J1553">
        <v>0</v>
      </c>
      <c r="K1553">
        <v>17666.16</v>
      </c>
    </row>
    <row r="1554" spans="1:11" x14ac:dyDescent="0.35">
      <c r="A1554">
        <v>9200000478</v>
      </c>
      <c r="B1554">
        <v>9400007397</v>
      </c>
      <c r="C1554" s="10">
        <v>46158</v>
      </c>
      <c r="D1554" t="s">
        <v>2032</v>
      </c>
      <c r="E1554" s="11">
        <v>18709306</v>
      </c>
      <c r="F1554" t="s">
        <v>229</v>
      </c>
      <c r="G1554" t="s">
        <v>230</v>
      </c>
      <c r="H1554" s="10">
        <v>46172</v>
      </c>
      <c r="I1554">
        <v>50976</v>
      </c>
      <c r="J1554">
        <v>47953.96</v>
      </c>
      <c r="K1554">
        <v>3022.0400000000009</v>
      </c>
    </row>
    <row r="1555" spans="1:11" x14ac:dyDescent="0.35">
      <c r="A1555">
        <v>9200000477</v>
      </c>
      <c r="B1555">
        <v>9400007393</v>
      </c>
      <c r="C1555" s="10">
        <v>46158</v>
      </c>
      <c r="D1555" t="s">
        <v>2032</v>
      </c>
      <c r="E1555" s="11">
        <v>18699290</v>
      </c>
      <c r="F1555" t="s">
        <v>231</v>
      </c>
      <c r="G1555" t="s">
        <v>232</v>
      </c>
      <c r="H1555" s="10">
        <v>46203</v>
      </c>
      <c r="I1555">
        <v>60767.16</v>
      </c>
      <c r="J1555">
        <v>0</v>
      </c>
      <c r="K1555">
        <v>60767.16</v>
      </c>
    </row>
    <row r="1556" spans="1:11" x14ac:dyDescent="0.35">
      <c r="A1556">
        <v>2720000206</v>
      </c>
      <c r="B1556">
        <v>9400007392</v>
      </c>
      <c r="C1556" s="10">
        <v>46158</v>
      </c>
      <c r="D1556" t="s">
        <v>2032</v>
      </c>
      <c r="E1556" s="11">
        <v>18699225</v>
      </c>
      <c r="F1556" t="s">
        <v>22</v>
      </c>
      <c r="G1556" t="s">
        <v>23</v>
      </c>
      <c r="H1556" s="10">
        <v>46203</v>
      </c>
      <c r="I1556">
        <v>143195.84</v>
      </c>
      <c r="J1556">
        <v>0</v>
      </c>
      <c r="K1556">
        <v>143195.84</v>
      </c>
    </row>
    <row r="1557" spans="1:11" x14ac:dyDescent="0.35">
      <c r="A1557">
        <v>2710000498</v>
      </c>
      <c r="B1557">
        <v>9400007387</v>
      </c>
      <c r="C1557" s="10">
        <v>46158</v>
      </c>
      <c r="D1557" t="s">
        <v>2032</v>
      </c>
      <c r="E1557" s="11">
        <v>18699119</v>
      </c>
      <c r="F1557" t="s">
        <v>64</v>
      </c>
      <c r="G1557" t="s">
        <v>65</v>
      </c>
      <c r="H1557" s="10">
        <v>46158</v>
      </c>
      <c r="I1557">
        <v>18428.669999999998</v>
      </c>
      <c r="J1557">
        <v>0</v>
      </c>
      <c r="K1557">
        <v>18428.669999999998</v>
      </c>
    </row>
    <row r="1558" spans="1:11" x14ac:dyDescent="0.35">
      <c r="A1558">
        <v>9100000614</v>
      </c>
      <c r="B1558">
        <v>9400007385</v>
      </c>
      <c r="C1558" s="10">
        <v>46158</v>
      </c>
      <c r="D1558" t="s">
        <v>2032</v>
      </c>
      <c r="E1558" s="11">
        <v>1234</v>
      </c>
      <c r="F1558" t="s">
        <v>233</v>
      </c>
      <c r="G1558" t="s">
        <v>234</v>
      </c>
      <c r="H1558" s="10">
        <v>46203</v>
      </c>
      <c r="I1558">
        <v>6811.68</v>
      </c>
      <c r="J1558">
        <v>0</v>
      </c>
      <c r="K1558">
        <v>6811.68</v>
      </c>
    </row>
    <row r="1559" spans="1:11" x14ac:dyDescent="0.35">
      <c r="A1559">
        <v>2720000204</v>
      </c>
      <c r="B1559">
        <v>9400007377</v>
      </c>
      <c r="C1559" s="10">
        <v>46158</v>
      </c>
      <c r="D1559" t="s">
        <v>2032</v>
      </c>
      <c r="E1559" s="11">
        <v>18698988</v>
      </c>
      <c r="F1559" t="s">
        <v>146</v>
      </c>
      <c r="G1559" t="s">
        <v>147</v>
      </c>
      <c r="H1559" s="10">
        <v>46165</v>
      </c>
      <c r="I1559">
        <v>370085.76</v>
      </c>
      <c r="J1559">
        <v>184309.87</v>
      </c>
      <c r="K1559">
        <v>185775.89</v>
      </c>
    </row>
    <row r="1560" spans="1:11" x14ac:dyDescent="0.35">
      <c r="A1560">
        <v>2720000203</v>
      </c>
      <c r="B1560">
        <v>9400007357</v>
      </c>
      <c r="C1560" s="10">
        <v>46158</v>
      </c>
      <c r="D1560" t="s">
        <v>2032</v>
      </c>
      <c r="E1560" s="11">
        <v>18699058</v>
      </c>
      <c r="F1560" t="s">
        <v>225</v>
      </c>
      <c r="G1560" t="s">
        <v>226</v>
      </c>
      <c r="H1560" s="10">
        <v>46203</v>
      </c>
      <c r="I1560">
        <v>28963.34</v>
      </c>
      <c r="J1560">
        <v>0</v>
      </c>
      <c r="K1560">
        <v>28963.34</v>
      </c>
    </row>
    <row r="1561" spans="1:11" x14ac:dyDescent="0.35">
      <c r="A1561">
        <v>9100000612</v>
      </c>
      <c r="B1561">
        <v>9400007349</v>
      </c>
      <c r="C1561" s="10">
        <v>46158</v>
      </c>
      <c r="D1561" t="s">
        <v>2032</v>
      </c>
      <c r="E1561" s="11">
        <v>18698837</v>
      </c>
      <c r="F1561" t="s">
        <v>241</v>
      </c>
      <c r="G1561" t="s">
        <v>242</v>
      </c>
      <c r="H1561" s="10">
        <v>46158</v>
      </c>
      <c r="I1561">
        <v>119406.92</v>
      </c>
      <c r="J1561">
        <v>117597.67</v>
      </c>
      <c r="K1561">
        <v>1809.25</v>
      </c>
    </row>
    <row r="1562" spans="1:11" x14ac:dyDescent="0.35">
      <c r="A1562">
        <v>8000000421</v>
      </c>
      <c r="B1562">
        <v>9400007346</v>
      </c>
      <c r="C1562" s="10">
        <v>46158</v>
      </c>
      <c r="D1562" t="s">
        <v>2032</v>
      </c>
      <c r="E1562" s="11">
        <v>18699178</v>
      </c>
      <c r="F1562" t="s">
        <v>243</v>
      </c>
      <c r="G1562" t="s">
        <v>244</v>
      </c>
      <c r="H1562" s="10">
        <v>46203</v>
      </c>
      <c r="I1562">
        <v>20293.64</v>
      </c>
      <c r="J1562">
        <v>0</v>
      </c>
      <c r="K1562">
        <v>20293.64</v>
      </c>
    </row>
    <row r="1563" spans="1:11" x14ac:dyDescent="0.35">
      <c r="A1563">
        <v>9100000609</v>
      </c>
      <c r="B1563">
        <v>9400007317</v>
      </c>
      <c r="C1563" s="10">
        <v>46158</v>
      </c>
      <c r="D1563" t="s">
        <v>2032</v>
      </c>
      <c r="E1563" s="11">
        <v>18698805</v>
      </c>
      <c r="F1563" t="s">
        <v>247</v>
      </c>
      <c r="G1563" t="s">
        <v>248</v>
      </c>
      <c r="H1563" s="10">
        <v>46203</v>
      </c>
      <c r="I1563">
        <v>26258.06</v>
      </c>
      <c r="J1563">
        <v>0</v>
      </c>
      <c r="K1563">
        <v>26258.06</v>
      </c>
    </row>
    <row r="1564" spans="1:11" x14ac:dyDescent="0.35">
      <c r="A1564">
        <v>9300000380</v>
      </c>
      <c r="B1564">
        <v>9400007314</v>
      </c>
      <c r="C1564" s="10">
        <v>46158</v>
      </c>
      <c r="D1564" t="s">
        <v>2032</v>
      </c>
      <c r="E1564" s="11">
        <v>18667764</v>
      </c>
      <c r="F1564" t="s">
        <v>249</v>
      </c>
      <c r="G1564" t="s">
        <v>250</v>
      </c>
      <c r="H1564" s="10">
        <v>46203</v>
      </c>
      <c r="I1564">
        <v>45503.86</v>
      </c>
      <c r="J1564">
        <v>0</v>
      </c>
      <c r="K1564">
        <v>45503.86</v>
      </c>
    </row>
    <row r="1565" spans="1:11" x14ac:dyDescent="0.35">
      <c r="A1565">
        <v>2710000496</v>
      </c>
      <c r="B1565">
        <v>9400007312</v>
      </c>
      <c r="C1565" s="10">
        <v>46158</v>
      </c>
      <c r="D1565" t="s">
        <v>2032</v>
      </c>
      <c r="E1565" s="11">
        <v>18698885</v>
      </c>
      <c r="F1565" t="s">
        <v>70</v>
      </c>
      <c r="G1565" t="s">
        <v>71</v>
      </c>
      <c r="H1565" s="10">
        <v>46203</v>
      </c>
      <c r="I1565">
        <v>214249.65</v>
      </c>
      <c r="J1565">
        <v>0</v>
      </c>
      <c r="K1565">
        <v>214249.65</v>
      </c>
    </row>
    <row r="1566" spans="1:11" x14ac:dyDescent="0.35">
      <c r="A1566">
        <v>9200000473</v>
      </c>
      <c r="B1566">
        <v>9400007308</v>
      </c>
      <c r="C1566" s="10">
        <v>46158</v>
      </c>
      <c r="D1566" t="s">
        <v>2032</v>
      </c>
      <c r="E1566" s="11">
        <v>18667764</v>
      </c>
      <c r="F1566" t="s">
        <v>251</v>
      </c>
      <c r="G1566" t="s">
        <v>252</v>
      </c>
      <c r="H1566" s="10">
        <v>46203</v>
      </c>
      <c r="I1566">
        <v>17558.400000000001</v>
      </c>
      <c r="J1566">
        <v>0</v>
      </c>
      <c r="K1566">
        <v>17558.400000000001</v>
      </c>
    </row>
    <row r="1567" spans="1:11" x14ac:dyDescent="0.35">
      <c r="A1567">
        <v>9100000607</v>
      </c>
      <c r="B1567">
        <v>9400007307</v>
      </c>
      <c r="C1567" s="10">
        <v>46158</v>
      </c>
      <c r="D1567" t="s">
        <v>2032</v>
      </c>
      <c r="E1567" s="11">
        <v>18698662</v>
      </c>
      <c r="F1567" t="s">
        <v>253</v>
      </c>
      <c r="G1567" t="s">
        <v>254</v>
      </c>
      <c r="H1567" s="10">
        <v>46203</v>
      </c>
      <c r="I1567">
        <v>35033.08</v>
      </c>
      <c r="J1567">
        <v>0</v>
      </c>
      <c r="K1567">
        <v>35033.08</v>
      </c>
    </row>
    <row r="1568" spans="1:11" x14ac:dyDescent="0.35">
      <c r="A1568">
        <v>2710000491</v>
      </c>
      <c r="B1568">
        <v>9400007289</v>
      </c>
      <c r="C1568" s="10">
        <v>46158</v>
      </c>
      <c r="D1568" t="s">
        <v>2032</v>
      </c>
      <c r="E1568" s="11">
        <v>18667512</v>
      </c>
      <c r="F1568" t="s">
        <v>259</v>
      </c>
      <c r="G1568" t="s">
        <v>260</v>
      </c>
      <c r="H1568" s="10">
        <v>46172</v>
      </c>
      <c r="I1568">
        <v>227196.26</v>
      </c>
      <c r="J1568">
        <v>9340.77</v>
      </c>
      <c r="K1568">
        <v>217855.49000000002</v>
      </c>
    </row>
    <row r="1569" spans="1:11" x14ac:dyDescent="0.35">
      <c r="A1569">
        <v>2720000200</v>
      </c>
      <c r="B1569">
        <v>9400007288</v>
      </c>
      <c r="C1569" s="10">
        <v>46158</v>
      </c>
      <c r="D1569" t="s">
        <v>2032</v>
      </c>
      <c r="E1569" s="11">
        <v>18698964</v>
      </c>
      <c r="F1569" t="s">
        <v>261</v>
      </c>
      <c r="G1569" t="s">
        <v>262</v>
      </c>
      <c r="H1569" s="10">
        <v>46203</v>
      </c>
      <c r="I1569">
        <v>5533.74</v>
      </c>
      <c r="J1569">
        <v>0</v>
      </c>
      <c r="K1569">
        <v>5533.74</v>
      </c>
    </row>
    <row r="1570" spans="1:11" x14ac:dyDescent="0.35">
      <c r="A1570">
        <v>9300000379</v>
      </c>
      <c r="B1570">
        <v>9400007282</v>
      </c>
      <c r="C1570" s="10">
        <v>46158</v>
      </c>
      <c r="D1570" t="s">
        <v>2032</v>
      </c>
      <c r="E1570" s="11">
        <v>18667764</v>
      </c>
      <c r="F1570" t="s">
        <v>251</v>
      </c>
      <c r="G1570" t="s">
        <v>252</v>
      </c>
      <c r="H1570" s="10">
        <v>46203</v>
      </c>
      <c r="I1570">
        <v>190402.44</v>
      </c>
      <c r="J1570">
        <v>0</v>
      </c>
      <c r="K1570">
        <v>190402.44</v>
      </c>
    </row>
    <row r="1571" spans="1:11" x14ac:dyDescent="0.35">
      <c r="A1571">
        <v>9300000377</v>
      </c>
      <c r="B1571">
        <v>9400007241</v>
      </c>
      <c r="C1571" s="10">
        <v>46158</v>
      </c>
      <c r="D1571" t="s">
        <v>2032</v>
      </c>
      <c r="E1571" s="11">
        <v>18687870</v>
      </c>
      <c r="F1571" t="s">
        <v>271</v>
      </c>
      <c r="G1571" t="s">
        <v>272</v>
      </c>
      <c r="H1571" s="10">
        <v>46203</v>
      </c>
      <c r="I1571">
        <v>46784.1</v>
      </c>
      <c r="J1571">
        <v>0</v>
      </c>
      <c r="K1571">
        <v>46784.1</v>
      </c>
    </row>
    <row r="1572" spans="1:11" x14ac:dyDescent="0.35">
      <c r="A1572">
        <v>5200000198</v>
      </c>
      <c r="B1572">
        <v>9400007238</v>
      </c>
      <c r="C1572" s="10">
        <v>46158</v>
      </c>
      <c r="D1572" t="s">
        <v>2032</v>
      </c>
      <c r="E1572" s="11">
        <v>18698123</v>
      </c>
      <c r="F1572" t="s">
        <v>276</v>
      </c>
      <c r="G1572" t="s">
        <v>277</v>
      </c>
      <c r="H1572" s="10">
        <v>46172</v>
      </c>
      <c r="I1572">
        <v>174053.28</v>
      </c>
      <c r="J1572">
        <v>42997.08</v>
      </c>
      <c r="K1572">
        <v>131056.2</v>
      </c>
    </row>
    <row r="1573" spans="1:11" x14ac:dyDescent="0.35">
      <c r="B1573">
        <v>1400005358</v>
      </c>
      <c r="C1573" s="10">
        <v>46158</v>
      </c>
      <c r="D1573" t="s">
        <v>2037</v>
      </c>
      <c r="E1573" s="11">
        <v>5100000354</v>
      </c>
      <c r="F1573" t="s">
        <v>292</v>
      </c>
      <c r="G1573" t="s">
        <v>293</v>
      </c>
      <c r="H1573" s="10">
        <v>46157</v>
      </c>
      <c r="I1573">
        <v>578213</v>
      </c>
      <c r="J1573">
        <v>139527.9</v>
      </c>
      <c r="K1573">
        <v>438685.1</v>
      </c>
    </row>
    <row r="1574" spans="1:11" x14ac:dyDescent="0.35">
      <c r="B1574">
        <v>1400005357</v>
      </c>
      <c r="C1574" s="10">
        <v>46158</v>
      </c>
      <c r="D1574" t="s">
        <v>2037</v>
      </c>
      <c r="E1574" s="11">
        <v>5100000338</v>
      </c>
      <c r="F1574" t="s">
        <v>294</v>
      </c>
      <c r="G1574" t="s">
        <v>295</v>
      </c>
      <c r="H1574" s="10">
        <v>46157</v>
      </c>
      <c r="I1574">
        <v>337831</v>
      </c>
      <c r="J1574">
        <v>155999.95000000001</v>
      </c>
      <c r="K1574">
        <v>181831.05</v>
      </c>
    </row>
    <row r="1575" spans="1:11" x14ac:dyDescent="0.35">
      <c r="B1575">
        <v>1400005353</v>
      </c>
      <c r="C1575" s="10">
        <v>46158</v>
      </c>
      <c r="D1575" t="s">
        <v>2037</v>
      </c>
      <c r="E1575" s="11" t="s">
        <v>2040</v>
      </c>
      <c r="F1575" t="s">
        <v>302</v>
      </c>
      <c r="G1575" t="s">
        <v>303</v>
      </c>
      <c r="H1575" s="10">
        <v>46156</v>
      </c>
      <c r="I1575">
        <v>83443</v>
      </c>
      <c r="J1575">
        <v>80959.69</v>
      </c>
      <c r="K1575">
        <v>2483.3099999999977</v>
      </c>
    </row>
    <row r="1576" spans="1:11" x14ac:dyDescent="0.35">
      <c r="B1576">
        <v>1400005155</v>
      </c>
      <c r="C1576" s="10">
        <v>46158</v>
      </c>
      <c r="D1576" t="s">
        <v>2037</v>
      </c>
      <c r="E1576" s="11" t="s">
        <v>2042</v>
      </c>
      <c r="F1576" t="s">
        <v>355</v>
      </c>
      <c r="G1576" t="s">
        <v>356</v>
      </c>
      <c r="H1576" s="10">
        <v>46157</v>
      </c>
      <c r="I1576">
        <v>137065</v>
      </c>
      <c r="J1576">
        <v>23784.04</v>
      </c>
      <c r="K1576">
        <v>113280.95999999999</v>
      </c>
    </row>
    <row r="1577" spans="1:11" x14ac:dyDescent="0.35">
      <c r="A1577">
        <v>9300000375</v>
      </c>
      <c r="B1577">
        <v>9400007218</v>
      </c>
      <c r="C1577" s="10">
        <v>46157</v>
      </c>
      <c r="D1577" t="s">
        <v>2032</v>
      </c>
      <c r="E1577" s="11">
        <v>18698067</v>
      </c>
      <c r="F1577" t="s">
        <v>361</v>
      </c>
      <c r="G1577" t="s">
        <v>362</v>
      </c>
      <c r="H1577" s="10">
        <v>46202</v>
      </c>
      <c r="I1577">
        <v>114561.82</v>
      </c>
      <c r="J1577">
        <v>0</v>
      </c>
      <c r="K1577">
        <v>114561.82</v>
      </c>
    </row>
    <row r="1578" spans="1:11" x14ac:dyDescent="0.35">
      <c r="A1578">
        <v>9300000374</v>
      </c>
      <c r="B1578">
        <v>9400007217</v>
      </c>
      <c r="C1578" s="10">
        <v>46157</v>
      </c>
      <c r="D1578" t="s">
        <v>2032</v>
      </c>
      <c r="E1578" s="11">
        <v>18698067</v>
      </c>
      <c r="F1578" t="s">
        <v>361</v>
      </c>
      <c r="G1578" t="s">
        <v>362</v>
      </c>
      <c r="H1578" s="10">
        <v>46171</v>
      </c>
      <c r="I1578">
        <v>40261.599999999999</v>
      </c>
      <c r="J1578">
        <v>40261</v>
      </c>
      <c r="K1578">
        <v>0.59999999999854481</v>
      </c>
    </row>
    <row r="1579" spans="1:11" x14ac:dyDescent="0.35">
      <c r="A1579">
        <v>2710000487</v>
      </c>
      <c r="B1579">
        <v>9400007210</v>
      </c>
      <c r="C1579" s="10">
        <v>46157</v>
      </c>
      <c r="D1579" t="s">
        <v>2032</v>
      </c>
      <c r="E1579" s="11">
        <v>18666590</v>
      </c>
      <c r="F1579" t="s">
        <v>150</v>
      </c>
      <c r="G1579" t="s">
        <v>151</v>
      </c>
      <c r="H1579" s="10">
        <v>46202</v>
      </c>
      <c r="I1579">
        <v>5721.35</v>
      </c>
      <c r="J1579">
        <v>0</v>
      </c>
      <c r="K1579">
        <v>5721.35</v>
      </c>
    </row>
    <row r="1580" spans="1:11" x14ac:dyDescent="0.35">
      <c r="A1580">
        <v>9300000373</v>
      </c>
      <c r="B1580">
        <v>9400007207</v>
      </c>
      <c r="C1580" s="10">
        <v>46157</v>
      </c>
      <c r="D1580" t="s">
        <v>2032</v>
      </c>
      <c r="E1580" s="11">
        <v>18667677</v>
      </c>
      <c r="F1580" t="s">
        <v>363</v>
      </c>
      <c r="G1580" t="s">
        <v>364</v>
      </c>
      <c r="H1580" s="10">
        <v>46202</v>
      </c>
      <c r="I1580">
        <v>46634.82</v>
      </c>
      <c r="J1580">
        <v>0</v>
      </c>
      <c r="K1580">
        <v>46634.82</v>
      </c>
    </row>
    <row r="1581" spans="1:11" x14ac:dyDescent="0.35">
      <c r="A1581">
        <v>3000000537</v>
      </c>
      <c r="B1581">
        <v>9400007205</v>
      </c>
      <c r="C1581" s="10">
        <v>46157</v>
      </c>
      <c r="D1581" t="s">
        <v>2032</v>
      </c>
      <c r="E1581" s="11">
        <v>18667704</v>
      </c>
      <c r="F1581" t="s">
        <v>365</v>
      </c>
      <c r="G1581" t="s">
        <v>366</v>
      </c>
      <c r="H1581" s="10">
        <v>46202</v>
      </c>
      <c r="I1581">
        <v>10494.26</v>
      </c>
      <c r="J1581">
        <v>0</v>
      </c>
      <c r="K1581">
        <v>10494.26</v>
      </c>
    </row>
    <row r="1582" spans="1:11" x14ac:dyDescent="0.35">
      <c r="A1582">
        <v>3000000536</v>
      </c>
      <c r="B1582">
        <v>9400007204</v>
      </c>
      <c r="C1582" s="10">
        <v>46157</v>
      </c>
      <c r="D1582" t="s">
        <v>2032</v>
      </c>
      <c r="E1582" s="11">
        <v>18667704</v>
      </c>
      <c r="F1582" t="s">
        <v>365</v>
      </c>
      <c r="G1582" t="s">
        <v>366</v>
      </c>
      <c r="H1582" s="10">
        <v>46172</v>
      </c>
      <c r="I1582">
        <v>103160.7</v>
      </c>
      <c r="J1582">
        <v>103160.48</v>
      </c>
      <c r="K1582">
        <v>0.22000000000116415</v>
      </c>
    </row>
    <row r="1583" spans="1:11" x14ac:dyDescent="0.35">
      <c r="A1583">
        <v>9300000372</v>
      </c>
      <c r="B1583">
        <v>9400007203</v>
      </c>
      <c r="C1583" s="10">
        <v>46157</v>
      </c>
      <c r="D1583" t="s">
        <v>2032</v>
      </c>
      <c r="E1583" s="11">
        <v>18667493</v>
      </c>
      <c r="F1583" t="s">
        <v>367</v>
      </c>
      <c r="G1583" t="s">
        <v>368</v>
      </c>
      <c r="H1583" s="10">
        <v>46202</v>
      </c>
      <c r="I1583">
        <v>13289.13</v>
      </c>
      <c r="J1583">
        <v>0</v>
      </c>
      <c r="K1583">
        <v>13289.13</v>
      </c>
    </row>
    <row r="1584" spans="1:11" x14ac:dyDescent="0.35">
      <c r="A1584">
        <v>9200000469</v>
      </c>
      <c r="B1584">
        <v>9400007188</v>
      </c>
      <c r="C1584" s="10">
        <v>46157</v>
      </c>
      <c r="D1584" t="s">
        <v>2032</v>
      </c>
      <c r="E1584" s="11">
        <v>18667249</v>
      </c>
      <c r="F1584" t="s">
        <v>373</v>
      </c>
      <c r="G1584" t="s">
        <v>374</v>
      </c>
      <c r="H1584" s="10">
        <v>46202</v>
      </c>
      <c r="I1584">
        <v>347368.4</v>
      </c>
      <c r="J1584">
        <v>0</v>
      </c>
      <c r="K1584">
        <v>347368.4</v>
      </c>
    </row>
    <row r="1585" spans="1:11" x14ac:dyDescent="0.35">
      <c r="A1585">
        <v>9200000468</v>
      </c>
      <c r="B1585">
        <v>9400007184</v>
      </c>
      <c r="C1585" s="10">
        <v>46157</v>
      </c>
      <c r="D1585" t="s">
        <v>2032</v>
      </c>
      <c r="E1585" s="11">
        <v>18667465</v>
      </c>
      <c r="F1585" t="s">
        <v>44</v>
      </c>
      <c r="G1585" t="s">
        <v>45</v>
      </c>
      <c r="H1585" s="10">
        <v>46202</v>
      </c>
      <c r="I1585">
        <v>11773.2</v>
      </c>
      <c r="J1585">
        <v>0</v>
      </c>
      <c r="K1585">
        <v>11773.2</v>
      </c>
    </row>
    <row r="1586" spans="1:11" x14ac:dyDescent="0.35">
      <c r="A1586">
        <v>9100000597</v>
      </c>
      <c r="B1586">
        <v>9400007182</v>
      </c>
      <c r="C1586" s="10">
        <v>46157</v>
      </c>
      <c r="D1586" t="s">
        <v>2032</v>
      </c>
      <c r="E1586" s="11">
        <v>123</v>
      </c>
      <c r="F1586" t="s">
        <v>375</v>
      </c>
      <c r="G1586" t="s">
        <v>376</v>
      </c>
      <c r="H1586" s="10">
        <v>46202</v>
      </c>
      <c r="I1586">
        <v>46065.32</v>
      </c>
      <c r="J1586">
        <v>0</v>
      </c>
      <c r="K1586">
        <v>46065.32</v>
      </c>
    </row>
    <row r="1587" spans="1:11" x14ac:dyDescent="0.35">
      <c r="A1587">
        <v>5100000460</v>
      </c>
      <c r="B1587">
        <v>9400007176</v>
      </c>
      <c r="C1587" s="10">
        <v>46157</v>
      </c>
      <c r="D1587" t="s">
        <v>2032</v>
      </c>
      <c r="E1587" s="11">
        <v>18667157</v>
      </c>
      <c r="F1587" t="s">
        <v>379</v>
      </c>
      <c r="G1587" t="s">
        <v>380</v>
      </c>
      <c r="H1587" s="10">
        <v>46202</v>
      </c>
      <c r="I1587">
        <v>35448.14</v>
      </c>
      <c r="J1587">
        <v>0</v>
      </c>
      <c r="K1587">
        <v>35448.14</v>
      </c>
    </row>
    <row r="1588" spans="1:11" x14ac:dyDescent="0.35">
      <c r="A1588">
        <v>9200000465</v>
      </c>
      <c r="B1588">
        <v>9400007175</v>
      </c>
      <c r="C1588" s="10">
        <v>46157</v>
      </c>
      <c r="D1588" t="s">
        <v>2032</v>
      </c>
      <c r="E1588" s="11">
        <v>18667473</v>
      </c>
      <c r="F1588" t="s">
        <v>381</v>
      </c>
      <c r="G1588" t="s">
        <v>382</v>
      </c>
      <c r="H1588" s="10">
        <v>46202</v>
      </c>
      <c r="I1588">
        <v>19303.759999999998</v>
      </c>
      <c r="J1588">
        <v>0</v>
      </c>
      <c r="K1588">
        <v>19303.759999999998</v>
      </c>
    </row>
    <row r="1589" spans="1:11" x14ac:dyDescent="0.35">
      <c r="A1589">
        <v>2720000197</v>
      </c>
      <c r="B1589">
        <v>9400007174</v>
      </c>
      <c r="C1589" s="10">
        <v>46157</v>
      </c>
      <c r="D1589" t="s">
        <v>2032</v>
      </c>
      <c r="E1589" s="11">
        <v>18667663</v>
      </c>
      <c r="F1589" t="s">
        <v>122</v>
      </c>
      <c r="G1589" t="s">
        <v>123</v>
      </c>
      <c r="H1589" s="10">
        <v>46202</v>
      </c>
      <c r="I1589">
        <v>493447.67999999999</v>
      </c>
      <c r="J1589">
        <v>0</v>
      </c>
      <c r="K1589">
        <v>493447.67999999999</v>
      </c>
    </row>
    <row r="1590" spans="1:11" x14ac:dyDescent="0.35">
      <c r="A1590">
        <v>9300000370</v>
      </c>
      <c r="B1590">
        <v>9400007172</v>
      </c>
      <c r="C1590" s="10">
        <v>46157</v>
      </c>
      <c r="D1590" t="s">
        <v>2032</v>
      </c>
      <c r="E1590" s="11">
        <v>18526000</v>
      </c>
      <c r="F1590" t="s">
        <v>385</v>
      </c>
      <c r="G1590" t="s">
        <v>386</v>
      </c>
      <c r="H1590" s="10">
        <v>46202</v>
      </c>
      <c r="I1590">
        <v>20283.5</v>
      </c>
      <c r="J1590">
        <v>0</v>
      </c>
      <c r="K1590">
        <v>20283.5</v>
      </c>
    </row>
    <row r="1591" spans="1:11" x14ac:dyDescent="0.35">
      <c r="A1591">
        <v>5100000459</v>
      </c>
      <c r="B1591">
        <v>9400007171</v>
      </c>
      <c r="C1591" s="10">
        <v>46157</v>
      </c>
      <c r="D1591" t="s">
        <v>2032</v>
      </c>
      <c r="E1591" s="11">
        <v>18667148</v>
      </c>
      <c r="F1591" t="s">
        <v>387</v>
      </c>
      <c r="G1591" t="s">
        <v>388</v>
      </c>
      <c r="H1591" s="10">
        <v>46202</v>
      </c>
      <c r="I1591">
        <v>115666.82</v>
      </c>
      <c r="J1591">
        <v>0</v>
      </c>
      <c r="K1591">
        <v>115666.82</v>
      </c>
    </row>
    <row r="1592" spans="1:11" x14ac:dyDescent="0.35">
      <c r="A1592">
        <v>9200000464</v>
      </c>
      <c r="B1592">
        <v>9400007169</v>
      </c>
      <c r="C1592" s="10">
        <v>46157</v>
      </c>
      <c r="D1592" t="s">
        <v>2032</v>
      </c>
      <c r="E1592" s="11">
        <v>18667307</v>
      </c>
      <c r="F1592" t="s">
        <v>381</v>
      </c>
      <c r="G1592" t="s">
        <v>382</v>
      </c>
      <c r="H1592" s="10">
        <v>46202</v>
      </c>
      <c r="I1592">
        <v>42340.800000000003</v>
      </c>
      <c r="J1592">
        <v>0</v>
      </c>
      <c r="K1592">
        <v>42340.800000000003</v>
      </c>
    </row>
    <row r="1593" spans="1:11" x14ac:dyDescent="0.35">
      <c r="A1593">
        <v>9200000463</v>
      </c>
      <c r="B1593">
        <v>9400007161</v>
      </c>
      <c r="C1593" s="10">
        <v>46157</v>
      </c>
      <c r="D1593" t="s">
        <v>2032</v>
      </c>
      <c r="E1593" s="11">
        <v>18667686</v>
      </c>
      <c r="F1593" t="s">
        <v>381</v>
      </c>
      <c r="G1593" t="s">
        <v>382</v>
      </c>
      <c r="H1593" s="10">
        <v>46157</v>
      </c>
      <c r="I1593">
        <v>23388.080000000002</v>
      </c>
      <c r="J1593">
        <v>21785.200000000001</v>
      </c>
      <c r="K1593">
        <v>1602.880000000001</v>
      </c>
    </row>
    <row r="1594" spans="1:11" x14ac:dyDescent="0.35">
      <c r="A1594">
        <v>2730000313</v>
      </c>
      <c r="B1594">
        <v>9400007138</v>
      </c>
      <c r="C1594" s="10">
        <v>46157</v>
      </c>
      <c r="D1594" t="s">
        <v>2032</v>
      </c>
      <c r="E1594" s="11">
        <v>18667496</v>
      </c>
      <c r="F1594" t="s">
        <v>84</v>
      </c>
      <c r="G1594" t="s">
        <v>85</v>
      </c>
      <c r="H1594" s="10">
        <v>46202</v>
      </c>
      <c r="I1594">
        <v>25593.5</v>
      </c>
      <c r="J1594">
        <v>0</v>
      </c>
      <c r="K1594">
        <v>25593.5</v>
      </c>
    </row>
    <row r="1595" spans="1:11" x14ac:dyDescent="0.35">
      <c r="A1595">
        <v>3000000532</v>
      </c>
      <c r="B1595">
        <v>9400007118</v>
      </c>
      <c r="C1595" s="10">
        <v>46157</v>
      </c>
      <c r="D1595" t="s">
        <v>2032</v>
      </c>
      <c r="E1595" s="11">
        <v>18667666</v>
      </c>
      <c r="F1595" t="s">
        <v>393</v>
      </c>
      <c r="G1595" t="s">
        <v>394</v>
      </c>
      <c r="H1595" s="10">
        <v>46202</v>
      </c>
      <c r="I1595">
        <v>56637.64</v>
      </c>
      <c r="J1595">
        <v>0</v>
      </c>
      <c r="K1595">
        <v>56637.64</v>
      </c>
    </row>
    <row r="1596" spans="1:11" x14ac:dyDescent="0.35">
      <c r="A1596">
        <v>2710000485</v>
      </c>
      <c r="B1596">
        <v>9400007114</v>
      </c>
      <c r="C1596" s="10">
        <v>46157</v>
      </c>
      <c r="D1596" t="s">
        <v>2032</v>
      </c>
      <c r="E1596" s="11">
        <v>18601611</v>
      </c>
      <c r="F1596" t="s">
        <v>84</v>
      </c>
      <c r="G1596" t="s">
        <v>85</v>
      </c>
      <c r="H1596" s="10">
        <v>46202</v>
      </c>
      <c r="I1596">
        <v>39260.44</v>
      </c>
      <c r="J1596">
        <v>0</v>
      </c>
      <c r="K1596">
        <v>39260.44</v>
      </c>
    </row>
    <row r="1597" spans="1:11" x14ac:dyDescent="0.35">
      <c r="A1597">
        <v>3000000530</v>
      </c>
      <c r="B1597">
        <v>9400007109</v>
      </c>
      <c r="C1597" s="10">
        <v>46157</v>
      </c>
      <c r="D1597" t="s">
        <v>2032</v>
      </c>
      <c r="E1597" s="11">
        <v>18666600</v>
      </c>
      <c r="F1597" t="s">
        <v>393</v>
      </c>
      <c r="G1597" t="s">
        <v>394</v>
      </c>
      <c r="H1597" s="10">
        <v>46202</v>
      </c>
      <c r="I1597">
        <v>10854.82</v>
      </c>
      <c r="J1597">
        <v>0</v>
      </c>
      <c r="K1597">
        <v>10854.82</v>
      </c>
    </row>
    <row r="1598" spans="1:11" x14ac:dyDescent="0.35">
      <c r="A1598">
        <v>8000000402</v>
      </c>
      <c r="B1598">
        <v>9400007085</v>
      </c>
      <c r="C1598" s="10">
        <v>46157</v>
      </c>
      <c r="D1598" t="s">
        <v>2032</v>
      </c>
      <c r="E1598" s="11" t="s">
        <v>2033</v>
      </c>
      <c r="F1598" t="s">
        <v>397</v>
      </c>
      <c r="G1598" t="s">
        <v>398</v>
      </c>
      <c r="H1598" s="10">
        <v>46157</v>
      </c>
      <c r="I1598">
        <v>225.93</v>
      </c>
      <c r="J1598">
        <v>0</v>
      </c>
      <c r="K1598">
        <v>225.93</v>
      </c>
    </row>
    <row r="1599" spans="1:11" x14ac:dyDescent="0.35">
      <c r="A1599">
        <v>9100000590</v>
      </c>
      <c r="B1599">
        <v>9400007081</v>
      </c>
      <c r="C1599" s="10">
        <v>46157</v>
      </c>
      <c r="D1599" t="s">
        <v>2032</v>
      </c>
      <c r="E1599" s="11">
        <v>18646360</v>
      </c>
      <c r="F1599" t="s">
        <v>399</v>
      </c>
      <c r="G1599" t="s">
        <v>400</v>
      </c>
      <c r="H1599" s="10">
        <v>46202</v>
      </c>
      <c r="I1599">
        <v>41913.599999999999</v>
      </c>
      <c r="J1599">
        <v>0</v>
      </c>
      <c r="K1599">
        <v>41913.599999999999</v>
      </c>
    </row>
    <row r="1600" spans="1:11" x14ac:dyDescent="0.35">
      <c r="A1600">
        <v>7000000300</v>
      </c>
      <c r="B1600">
        <v>9400007049</v>
      </c>
      <c r="C1600" s="10">
        <v>46157</v>
      </c>
      <c r="D1600" t="s">
        <v>2032</v>
      </c>
      <c r="E1600" s="11">
        <v>18667167</v>
      </c>
      <c r="F1600" t="s">
        <v>413</v>
      </c>
      <c r="G1600" t="s">
        <v>414</v>
      </c>
      <c r="H1600" s="10">
        <v>46157</v>
      </c>
      <c r="I1600">
        <v>92847.82</v>
      </c>
      <c r="J1600">
        <v>88464.5</v>
      </c>
      <c r="K1600">
        <v>4383.320000000007</v>
      </c>
    </row>
    <row r="1601" spans="1:11" x14ac:dyDescent="0.35">
      <c r="A1601">
        <v>9200000456</v>
      </c>
      <c r="B1601">
        <v>9400007028</v>
      </c>
      <c r="C1601" s="10">
        <v>46156</v>
      </c>
      <c r="D1601" t="s">
        <v>2032</v>
      </c>
      <c r="E1601" s="11">
        <v>18526000</v>
      </c>
      <c r="F1601" t="s">
        <v>417</v>
      </c>
      <c r="G1601" t="s">
        <v>418</v>
      </c>
      <c r="H1601" s="10">
        <v>46201</v>
      </c>
      <c r="I1601">
        <v>290244.59999999998</v>
      </c>
      <c r="J1601">
        <v>0</v>
      </c>
      <c r="K1601">
        <v>290244.59999999998</v>
      </c>
    </row>
    <row r="1602" spans="1:11" x14ac:dyDescent="0.35">
      <c r="A1602">
        <v>9300000367</v>
      </c>
      <c r="B1602">
        <v>9400007003</v>
      </c>
      <c r="C1602" s="10">
        <v>46156</v>
      </c>
      <c r="D1602" t="s">
        <v>2032</v>
      </c>
      <c r="E1602" s="11">
        <v>18644338</v>
      </c>
      <c r="F1602" t="s">
        <v>423</v>
      </c>
      <c r="G1602" t="s">
        <v>424</v>
      </c>
      <c r="H1602" s="10">
        <v>46201</v>
      </c>
      <c r="I1602">
        <v>365770.5</v>
      </c>
      <c r="J1602">
        <v>0</v>
      </c>
      <c r="K1602">
        <v>365770.5</v>
      </c>
    </row>
    <row r="1603" spans="1:11" x14ac:dyDescent="0.35">
      <c r="A1603">
        <v>9200000454</v>
      </c>
      <c r="B1603">
        <v>9400006988</v>
      </c>
      <c r="C1603" s="10">
        <v>46156</v>
      </c>
      <c r="D1603" t="s">
        <v>2032</v>
      </c>
      <c r="E1603" s="11">
        <v>18646028</v>
      </c>
      <c r="F1603" t="s">
        <v>425</v>
      </c>
      <c r="G1603" t="s">
        <v>426</v>
      </c>
      <c r="H1603" s="10">
        <v>46201</v>
      </c>
      <c r="I1603">
        <v>112469.34</v>
      </c>
      <c r="J1603">
        <v>0</v>
      </c>
      <c r="K1603">
        <v>112469.34</v>
      </c>
    </row>
    <row r="1604" spans="1:11" x14ac:dyDescent="0.35">
      <c r="A1604">
        <v>2300000298</v>
      </c>
      <c r="B1604">
        <v>9400006975</v>
      </c>
      <c r="C1604" s="10">
        <v>46156</v>
      </c>
      <c r="D1604" t="s">
        <v>2032</v>
      </c>
      <c r="E1604" s="11">
        <v>18645451</v>
      </c>
      <c r="F1604" t="s">
        <v>427</v>
      </c>
      <c r="G1604" t="s">
        <v>428</v>
      </c>
      <c r="H1604" s="10">
        <v>46201</v>
      </c>
      <c r="I1604">
        <v>71927.13</v>
      </c>
      <c r="J1604">
        <v>0</v>
      </c>
      <c r="K1604">
        <v>71927.13</v>
      </c>
    </row>
    <row r="1605" spans="1:11" x14ac:dyDescent="0.35">
      <c r="A1605">
        <v>9300000366</v>
      </c>
      <c r="B1605">
        <v>9400006959</v>
      </c>
      <c r="C1605" s="10">
        <v>46156</v>
      </c>
      <c r="D1605" t="s">
        <v>2032</v>
      </c>
      <c r="E1605" s="11">
        <v>18579884</v>
      </c>
      <c r="F1605" t="s">
        <v>429</v>
      </c>
      <c r="G1605" t="s">
        <v>430</v>
      </c>
      <c r="H1605" s="10">
        <v>46201</v>
      </c>
      <c r="I1605">
        <v>51410</v>
      </c>
      <c r="J1605">
        <v>0</v>
      </c>
      <c r="K1605">
        <v>51410</v>
      </c>
    </row>
    <row r="1606" spans="1:11" x14ac:dyDescent="0.35">
      <c r="A1606">
        <v>9300000364</v>
      </c>
      <c r="B1606">
        <v>9400006951</v>
      </c>
      <c r="C1606" s="10">
        <v>46156</v>
      </c>
      <c r="D1606" t="s">
        <v>2032</v>
      </c>
      <c r="E1606" s="11">
        <v>18579884</v>
      </c>
      <c r="F1606" t="s">
        <v>433</v>
      </c>
      <c r="G1606" t="s">
        <v>434</v>
      </c>
      <c r="H1606" s="10">
        <v>46201</v>
      </c>
      <c r="I1606">
        <v>124593.84</v>
      </c>
      <c r="J1606">
        <v>0</v>
      </c>
      <c r="K1606">
        <v>124593.84</v>
      </c>
    </row>
    <row r="1607" spans="1:11" x14ac:dyDescent="0.35">
      <c r="A1607">
        <v>2730000307</v>
      </c>
      <c r="B1607">
        <v>9400006949</v>
      </c>
      <c r="C1607" s="10">
        <v>46156</v>
      </c>
      <c r="D1607" t="s">
        <v>2032</v>
      </c>
      <c r="E1607" s="11">
        <v>18646182</v>
      </c>
      <c r="F1607" t="s">
        <v>89</v>
      </c>
      <c r="G1607" t="s">
        <v>90</v>
      </c>
      <c r="H1607" s="10">
        <v>46201</v>
      </c>
      <c r="I1607">
        <v>19621.52</v>
      </c>
      <c r="J1607">
        <v>0</v>
      </c>
      <c r="K1607">
        <v>19621.52</v>
      </c>
    </row>
    <row r="1608" spans="1:11" x14ac:dyDescent="0.35">
      <c r="A1608">
        <v>2730000306</v>
      </c>
      <c r="B1608">
        <v>9400006941</v>
      </c>
      <c r="C1608" s="10">
        <v>46156</v>
      </c>
      <c r="D1608" t="s">
        <v>2032</v>
      </c>
      <c r="E1608" s="11">
        <v>18646182</v>
      </c>
      <c r="F1608" t="s">
        <v>89</v>
      </c>
      <c r="G1608" t="s">
        <v>90</v>
      </c>
      <c r="H1608" s="10">
        <v>46170</v>
      </c>
      <c r="I1608">
        <v>98412</v>
      </c>
      <c r="J1608">
        <v>90722.02</v>
      </c>
      <c r="K1608">
        <v>7689.9799999999959</v>
      </c>
    </row>
    <row r="1609" spans="1:11" x14ac:dyDescent="0.35">
      <c r="A1609">
        <v>9300000363</v>
      </c>
      <c r="B1609">
        <v>9400006922</v>
      </c>
      <c r="C1609" s="10">
        <v>46156</v>
      </c>
      <c r="D1609" t="s">
        <v>2032</v>
      </c>
      <c r="E1609" s="11">
        <v>18623196</v>
      </c>
      <c r="F1609" t="s">
        <v>435</v>
      </c>
      <c r="G1609" t="s">
        <v>436</v>
      </c>
      <c r="H1609" s="10">
        <v>46201</v>
      </c>
      <c r="I1609">
        <v>61680.959999999999</v>
      </c>
      <c r="J1609">
        <v>0</v>
      </c>
      <c r="K1609">
        <v>61680.959999999999</v>
      </c>
    </row>
    <row r="1610" spans="1:11" x14ac:dyDescent="0.35">
      <c r="A1610">
        <v>2730000305</v>
      </c>
      <c r="B1610">
        <v>9400006918</v>
      </c>
      <c r="C1610" s="10">
        <v>46156</v>
      </c>
      <c r="D1610" t="s">
        <v>2032</v>
      </c>
      <c r="E1610" s="11">
        <v>18646063</v>
      </c>
      <c r="F1610" t="s">
        <v>437</v>
      </c>
      <c r="G1610" t="s">
        <v>438</v>
      </c>
      <c r="H1610" s="10">
        <v>46201</v>
      </c>
      <c r="I1610">
        <v>112486.7</v>
      </c>
      <c r="J1610">
        <v>0</v>
      </c>
      <c r="K1610">
        <v>112486.7</v>
      </c>
    </row>
    <row r="1611" spans="1:11" x14ac:dyDescent="0.35">
      <c r="A1611">
        <v>9200000448</v>
      </c>
      <c r="B1611">
        <v>9400006903</v>
      </c>
      <c r="C1611" s="10">
        <v>46156</v>
      </c>
      <c r="D1611" t="s">
        <v>2032</v>
      </c>
      <c r="E1611" s="11">
        <v>18633893</v>
      </c>
      <c r="F1611" t="s">
        <v>439</v>
      </c>
      <c r="G1611" t="s">
        <v>440</v>
      </c>
      <c r="H1611" s="10">
        <v>46201</v>
      </c>
      <c r="I1611">
        <v>102932.58</v>
      </c>
      <c r="J1611">
        <v>0</v>
      </c>
      <c r="K1611">
        <v>102932.58</v>
      </c>
    </row>
    <row r="1612" spans="1:11" x14ac:dyDescent="0.35">
      <c r="A1612">
        <v>5200000181</v>
      </c>
      <c r="B1612">
        <v>9400006894</v>
      </c>
      <c r="C1612" s="10">
        <v>46156</v>
      </c>
      <c r="D1612" t="s">
        <v>2032</v>
      </c>
      <c r="E1612" s="11">
        <v>18645268</v>
      </c>
      <c r="F1612" t="s">
        <v>443</v>
      </c>
      <c r="G1612" t="s">
        <v>444</v>
      </c>
      <c r="H1612" s="10">
        <v>46156</v>
      </c>
      <c r="I1612">
        <v>55229.66</v>
      </c>
      <c r="J1612">
        <v>46185.03</v>
      </c>
      <c r="K1612">
        <v>9044.6300000000047</v>
      </c>
    </row>
    <row r="1613" spans="1:11" x14ac:dyDescent="0.35">
      <c r="A1613">
        <v>5200000180</v>
      </c>
      <c r="B1613">
        <v>9400006892</v>
      </c>
      <c r="C1613" s="10">
        <v>46156</v>
      </c>
      <c r="D1613" t="s">
        <v>2032</v>
      </c>
      <c r="E1613" s="11">
        <v>18645244</v>
      </c>
      <c r="F1613" t="s">
        <v>441</v>
      </c>
      <c r="G1613" t="s">
        <v>442</v>
      </c>
      <c r="H1613" s="10">
        <v>46170</v>
      </c>
      <c r="I1613">
        <v>213607.48</v>
      </c>
      <c r="J1613">
        <v>213607.15</v>
      </c>
      <c r="K1613">
        <v>0.33000000001629815</v>
      </c>
    </row>
    <row r="1614" spans="1:11" x14ac:dyDescent="0.35">
      <c r="B1614">
        <v>1400004841</v>
      </c>
      <c r="C1614" s="10">
        <v>46156</v>
      </c>
      <c r="D1614" t="s">
        <v>2037</v>
      </c>
      <c r="E1614" s="11" t="s">
        <v>2045</v>
      </c>
      <c r="F1614" t="s">
        <v>453</v>
      </c>
      <c r="G1614" t="s">
        <v>454</v>
      </c>
      <c r="H1614" s="10">
        <v>46156</v>
      </c>
      <c r="I1614">
        <v>537115</v>
      </c>
      <c r="J1614">
        <v>373361.03</v>
      </c>
      <c r="K1614">
        <v>163753.96999999997</v>
      </c>
    </row>
    <row r="1615" spans="1:11" x14ac:dyDescent="0.35">
      <c r="A1615">
        <v>9300000361</v>
      </c>
      <c r="B1615">
        <v>9400006873</v>
      </c>
      <c r="C1615" s="10">
        <v>46155</v>
      </c>
      <c r="D1615" t="s">
        <v>2032</v>
      </c>
      <c r="E1615" s="11">
        <v>18644338</v>
      </c>
      <c r="F1615" t="s">
        <v>471</v>
      </c>
      <c r="G1615" t="s">
        <v>472</v>
      </c>
      <c r="H1615" s="10">
        <v>46200</v>
      </c>
      <c r="I1615">
        <v>14369.92</v>
      </c>
      <c r="J1615">
        <v>0</v>
      </c>
      <c r="K1615">
        <v>14369.92</v>
      </c>
    </row>
    <row r="1616" spans="1:11" x14ac:dyDescent="0.35">
      <c r="A1616">
        <v>5100000448</v>
      </c>
      <c r="B1616">
        <v>9400006872</v>
      </c>
      <c r="C1616" s="10">
        <v>46155</v>
      </c>
      <c r="D1616" t="s">
        <v>2032</v>
      </c>
      <c r="E1616" s="11">
        <v>18645173</v>
      </c>
      <c r="F1616" t="s">
        <v>473</v>
      </c>
      <c r="G1616" t="s">
        <v>474</v>
      </c>
      <c r="H1616" s="10">
        <v>46200</v>
      </c>
      <c r="I1616">
        <v>19923.68</v>
      </c>
      <c r="J1616">
        <v>0</v>
      </c>
      <c r="K1616">
        <v>19923.68</v>
      </c>
    </row>
    <row r="1617" spans="1:11" x14ac:dyDescent="0.35">
      <c r="A1617">
        <v>9300000360</v>
      </c>
      <c r="B1617">
        <v>9400006868</v>
      </c>
      <c r="C1617" s="10">
        <v>46155</v>
      </c>
      <c r="D1617" t="s">
        <v>2032</v>
      </c>
      <c r="E1617" s="11">
        <v>18623250</v>
      </c>
      <c r="F1617" t="s">
        <v>339</v>
      </c>
      <c r="G1617" t="s">
        <v>340</v>
      </c>
      <c r="H1617" s="10">
        <v>46200</v>
      </c>
      <c r="I1617">
        <v>28222.54</v>
      </c>
      <c r="J1617">
        <v>0</v>
      </c>
      <c r="K1617">
        <v>28222.54</v>
      </c>
    </row>
    <row r="1618" spans="1:11" x14ac:dyDescent="0.35">
      <c r="A1618">
        <v>9200000447</v>
      </c>
      <c r="B1618">
        <v>9400006859</v>
      </c>
      <c r="C1618" s="10">
        <v>46155</v>
      </c>
      <c r="D1618" t="s">
        <v>2032</v>
      </c>
      <c r="E1618" s="11">
        <v>18634094</v>
      </c>
      <c r="F1618" t="s">
        <v>481</v>
      </c>
      <c r="G1618" t="s">
        <v>482</v>
      </c>
      <c r="H1618" s="10">
        <v>46200</v>
      </c>
      <c r="I1618">
        <v>684210.58</v>
      </c>
      <c r="J1618">
        <v>0</v>
      </c>
      <c r="K1618">
        <v>684210.58</v>
      </c>
    </row>
    <row r="1619" spans="1:11" x14ac:dyDescent="0.35">
      <c r="A1619">
        <v>2730000302</v>
      </c>
      <c r="B1619">
        <v>9400006857</v>
      </c>
      <c r="C1619" s="10">
        <v>46155</v>
      </c>
      <c r="D1619" t="s">
        <v>2032</v>
      </c>
      <c r="E1619" s="11">
        <v>18644942</v>
      </c>
      <c r="F1619" t="s">
        <v>483</v>
      </c>
      <c r="G1619" t="s">
        <v>484</v>
      </c>
      <c r="H1619" s="10">
        <v>46200</v>
      </c>
      <c r="I1619">
        <v>20682.12</v>
      </c>
      <c r="J1619">
        <v>0</v>
      </c>
      <c r="K1619">
        <v>20682.12</v>
      </c>
    </row>
    <row r="1620" spans="1:11" x14ac:dyDescent="0.35">
      <c r="A1620">
        <v>9100000566</v>
      </c>
      <c r="B1620">
        <v>9400006853</v>
      </c>
      <c r="C1620" s="10">
        <v>46155</v>
      </c>
      <c r="D1620" t="s">
        <v>2032</v>
      </c>
      <c r="E1620" s="11">
        <v>18645458</v>
      </c>
      <c r="F1620" t="s">
        <v>196</v>
      </c>
      <c r="G1620" t="s">
        <v>197</v>
      </c>
      <c r="H1620" s="10">
        <v>46200</v>
      </c>
      <c r="I1620">
        <v>14024.9</v>
      </c>
      <c r="J1620">
        <v>0</v>
      </c>
      <c r="K1620">
        <v>14024.9</v>
      </c>
    </row>
    <row r="1621" spans="1:11" x14ac:dyDescent="0.35">
      <c r="A1621">
        <v>9100000564</v>
      </c>
      <c r="B1621">
        <v>9400006844</v>
      </c>
      <c r="C1621" s="10">
        <v>46155</v>
      </c>
      <c r="D1621" t="s">
        <v>2032</v>
      </c>
      <c r="E1621" s="11">
        <v>18645069</v>
      </c>
      <c r="F1621" t="s">
        <v>489</v>
      </c>
      <c r="G1621" t="s">
        <v>490</v>
      </c>
      <c r="H1621" s="10">
        <v>46169</v>
      </c>
      <c r="I1621">
        <v>68605.2</v>
      </c>
      <c r="J1621">
        <v>64403.57</v>
      </c>
      <c r="K1621">
        <v>4201.6299999999974</v>
      </c>
    </row>
    <row r="1622" spans="1:11" x14ac:dyDescent="0.35">
      <c r="A1622">
        <v>2710000476</v>
      </c>
      <c r="B1622">
        <v>9400006842</v>
      </c>
      <c r="C1622" s="10">
        <v>46155</v>
      </c>
      <c r="D1622" t="s">
        <v>2032</v>
      </c>
      <c r="E1622" s="11">
        <v>18645375</v>
      </c>
      <c r="F1622" t="s">
        <v>491</v>
      </c>
      <c r="G1622" t="s">
        <v>492</v>
      </c>
      <c r="H1622" s="10">
        <v>46169</v>
      </c>
      <c r="I1622">
        <v>66880.52</v>
      </c>
      <c r="J1622">
        <v>20946.900000000001</v>
      </c>
      <c r="K1622">
        <v>45933.62</v>
      </c>
    </row>
    <row r="1623" spans="1:11" x14ac:dyDescent="0.35">
      <c r="A1623">
        <v>2730000298</v>
      </c>
      <c r="B1623">
        <v>9400006840</v>
      </c>
      <c r="C1623" s="10">
        <v>46155</v>
      </c>
      <c r="D1623" t="s">
        <v>2032</v>
      </c>
      <c r="E1623" s="11">
        <v>1078</v>
      </c>
      <c r="F1623" t="s">
        <v>47</v>
      </c>
      <c r="G1623" t="s">
        <v>48</v>
      </c>
      <c r="H1623" s="10">
        <v>46200</v>
      </c>
      <c r="I1623">
        <v>30727.72</v>
      </c>
      <c r="J1623">
        <v>0</v>
      </c>
      <c r="K1623">
        <v>30727.72</v>
      </c>
    </row>
    <row r="1624" spans="1:11" x14ac:dyDescent="0.35">
      <c r="A1624">
        <v>9100000563</v>
      </c>
      <c r="B1624">
        <v>9400006834</v>
      </c>
      <c r="C1624" s="10">
        <v>46155</v>
      </c>
      <c r="D1624" t="s">
        <v>2032</v>
      </c>
      <c r="E1624" s="11">
        <v>18644389</v>
      </c>
      <c r="F1624" t="s">
        <v>495</v>
      </c>
      <c r="G1624" t="s">
        <v>496</v>
      </c>
      <c r="H1624" s="10">
        <v>46200</v>
      </c>
      <c r="I1624">
        <v>5641.58</v>
      </c>
      <c r="J1624">
        <v>0</v>
      </c>
      <c r="K1624">
        <v>5641.58</v>
      </c>
    </row>
    <row r="1625" spans="1:11" x14ac:dyDescent="0.35">
      <c r="A1625">
        <v>9200000446</v>
      </c>
      <c r="B1625">
        <v>9400006833</v>
      </c>
      <c r="C1625" s="10">
        <v>46155</v>
      </c>
      <c r="D1625" t="s">
        <v>2032</v>
      </c>
      <c r="E1625" s="11">
        <v>18645397</v>
      </c>
      <c r="F1625" t="s">
        <v>124</v>
      </c>
      <c r="G1625" t="s">
        <v>125</v>
      </c>
      <c r="H1625" s="10">
        <v>46200</v>
      </c>
      <c r="I1625">
        <v>31548.48</v>
      </c>
      <c r="J1625">
        <v>0</v>
      </c>
      <c r="K1625">
        <v>31548.48</v>
      </c>
    </row>
    <row r="1626" spans="1:11" x14ac:dyDescent="0.35">
      <c r="A1626">
        <v>5100000444</v>
      </c>
      <c r="B1626">
        <v>9400006832</v>
      </c>
      <c r="C1626" s="10">
        <v>46155</v>
      </c>
      <c r="D1626" t="s">
        <v>2032</v>
      </c>
      <c r="E1626" s="12">
        <v>186443551864493</v>
      </c>
      <c r="F1626" t="s">
        <v>387</v>
      </c>
      <c r="G1626" t="s">
        <v>388</v>
      </c>
      <c r="H1626" s="10">
        <v>46200</v>
      </c>
      <c r="I1626">
        <v>80607.66</v>
      </c>
      <c r="J1626">
        <v>0</v>
      </c>
      <c r="K1626">
        <v>80607.66</v>
      </c>
    </row>
    <row r="1627" spans="1:11" x14ac:dyDescent="0.35">
      <c r="A1627">
        <v>9100000562</v>
      </c>
      <c r="B1627">
        <v>9400006830</v>
      </c>
      <c r="C1627" s="10">
        <v>46155</v>
      </c>
      <c r="D1627" t="s">
        <v>2032</v>
      </c>
      <c r="E1627" s="11">
        <v>18644374</v>
      </c>
      <c r="F1627" t="s">
        <v>167</v>
      </c>
      <c r="G1627" t="s">
        <v>168</v>
      </c>
      <c r="H1627" s="10">
        <v>46200</v>
      </c>
      <c r="I1627">
        <v>16924.740000000002</v>
      </c>
      <c r="J1627">
        <v>0</v>
      </c>
      <c r="K1627">
        <v>16924.740000000002</v>
      </c>
    </row>
    <row r="1628" spans="1:11" x14ac:dyDescent="0.35">
      <c r="A1628">
        <v>5100000443</v>
      </c>
      <c r="B1628">
        <v>9400006828</v>
      </c>
      <c r="C1628" s="10">
        <v>46155</v>
      </c>
      <c r="D1628" t="s">
        <v>2032</v>
      </c>
      <c r="E1628" s="11">
        <v>18623083</v>
      </c>
      <c r="F1628" t="s">
        <v>221</v>
      </c>
      <c r="G1628" t="s">
        <v>222</v>
      </c>
      <c r="H1628" s="10">
        <v>46200</v>
      </c>
      <c r="I1628">
        <v>84230.62</v>
      </c>
      <c r="J1628">
        <v>0</v>
      </c>
      <c r="K1628">
        <v>84230.62</v>
      </c>
    </row>
    <row r="1629" spans="1:11" x14ac:dyDescent="0.35">
      <c r="A1629">
        <v>5100000442</v>
      </c>
      <c r="B1629">
        <v>9400006827</v>
      </c>
      <c r="C1629" s="10">
        <v>46155</v>
      </c>
      <c r="D1629" t="s">
        <v>2032</v>
      </c>
      <c r="E1629" s="11">
        <v>18645192</v>
      </c>
      <c r="F1629" t="s">
        <v>221</v>
      </c>
      <c r="G1629" t="s">
        <v>222</v>
      </c>
      <c r="H1629" s="10">
        <v>46169</v>
      </c>
      <c r="I1629">
        <v>101952</v>
      </c>
      <c r="J1629">
        <v>88921.13</v>
      </c>
      <c r="K1629">
        <v>13030.869999999995</v>
      </c>
    </row>
    <row r="1630" spans="1:11" x14ac:dyDescent="0.35">
      <c r="A1630">
        <v>2730000295</v>
      </c>
      <c r="B1630">
        <v>9400006823</v>
      </c>
      <c r="C1630" s="10">
        <v>46155</v>
      </c>
      <c r="D1630" t="s">
        <v>2032</v>
      </c>
      <c r="E1630" s="11">
        <v>18644556</v>
      </c>
      <c r="F1630" t="s">
        <v>499</v>
      </c>
      <c r="G1630" t="s">
        <v>500</v>
      </c>
      <c r="H1630" s="10">
        <v>46200</v>
      </c>
      <c r="I1630">
        <v>32633.66</v>
      </c>
      <c r="J1630">
        <v>0</v>
      </c>
      <c r="K1630">
        <v>32633.66</v>
      </c>
    </row>
    <row r="1631" spans="1:11" x14ac:dyDescent="0.35">
      <c r="A1631">
        <v>2710000473</v>
      </c>
      <c r="B1631">
        <v>9400006820</v>
      </c>
      <c r="C1631" s="10">
        <v>46155</v>
      </c>
      <c r="D1631" t="s">
        <v>2032</v>
      </c>
      <c r="E1631" s="11">
        <v>18645373</v>
      </c>
      <c r="F1631" t="s">
        <v>503</v>
      </c>
      <c r="G1631" t="s">
        <v>504</v>
      </c>
      <c r="H1631" s="10">
        <v>46169</v>
      </c>
      <c r="I1631">
        <v>86022</v>
      </c>
      <c r="J1631">
        <v>0</v>
      </c>
      <c r="K1631">
        <v>86022</v>
      </c>
    </row>
    <row r="1632" spans="1:11" x14ac:dyDescent="0.35">
      <c r="A1632">
        <v>2710000472</v>
      </c>
      <c r="B1632">
        <v>9400006818</v>
      </c>
      <c r="C1632" s="10">
        <v>46155</v>
      </c>
      <c r="D1632" t="s">
        <v>2032</v>
      </c>
      <c r="E1632" s="11">
        <v>18645335</v>
      </c>
      <c r="F1632" t="s">
        <v>505</v>
      </c>
      <c r="G1632" t="s">
        <v>506</v>
      </c>
      <c r="H1632" s="10">
        <v>46200</v>
      </c>
      <c r="I1632">
        <v>11531.62</v>
      </c>
      <c r="J1632">
        <v>0</v>
      </c>
      <c r="K1632">
        <v>11531.62</v>
      </c>
    </row>
    <row r="1633" spans="1:11" x14ac:dyDescent="0.35">
      <c r="A1633">
        <v>2710000471</v>
      </c>
      <c r="B1633">
        <v>9400006816</v>
      </c>
      <c r="C1633" s="10">
        <v>46155</v>
      </c>
      <c r="D1633" t="s">
        <v>2032</v>
      </c>
      <c r="E1633" s="11">
        <v>18645335</v>
      </c>
      <c r="F1633" t="s">
        <v>505</v>
      </c>
      <c r="G1633" t="s">
        <v>506</v>
      </c>
      <c r="H1633" s="10">
        <v>46169</v>
      </c>
      <c r="I1633">
        <v>7316</v>
      </c>
      <c r="J1633">
        <v>0</v>
      </c>
      <c r="K1633">
        <v>7316</v>
      </c>
    </row>
    <row r="1634" spans="1:11" x14ac:dyDescent="0.35">
      <c r="A1634">
        <v>2710000470</v>
      </c>
      <c r="B1634">
        <v>9400006813</v>
      </c>
      <c r="C1634" s="10">
        <v>46155</v>
      </c>
      <c r="D1634" t="s">
        <v>2032</v>
      </c>
      <c r="E1634" s="11">
        <v>18645201</v>
      </c>
      <c r="F1634" t="s">
        <v>509</v>
      </c>
      <c r="G1634" t="s">
        <v>510</v>
      </c>
      <c r="H1634" s="10">
        <v>46169</v>
      </c>
      <c r="I1634">
        <v>40780.800000000003</v>
      </c>
      <c r="J1634">
        <v>0</v>
      </c>
      <c r="K1634">
        <v>40780.800000000003</v>
      </c>
    </row>
    <row r="1635" spans="1:11" x14ac:dyDescent="0.35">
      <c r="A1635">
        <v>2710000469</v>
      </c>
      <c r="B1635">
        <v>9400006812</v>
      </c>
      <c r="C1635" s="10">
        <v>46155</v>
      </c>
      <c r="D1635" t="s">
        <v>2032</v>
      </c>
      <c r="E1635" s="11">
        <v>18645159</v>
      </c>
      <c r="F1635" t="s">
        <v>491</v>
      </c>
      <c r="G1635" t="s">
        <v>492</v>
      </c>
      <c r="H1635" s="10">
        <v>46200</v>
      </c>
      <c r="I1635">
        <v>59821.34</v>
      </c>
      <c r="J1635">
        <v>0</v>
      </c>
      <c r="K1635">
        <v>59821.34</v>
      </c>
    </row>
    <row r="1636" spans="1:11" x14ac:dyDescent="0.35">
      <c r="A1636">
        <v>3000000508</v>
      </c>
      <c r="B1636">
        <v>9400006809</v>
      </c>
      <c r="C1636" s="10">
        <v>46155</v>
      </c>
      <c r="D1636" t="s">
        <v>2032</v>
      </c>
      <c r="E1636" s="11">
        <v>18645297</v>
      </c>
      <c r="F1636" t="s">
        <v>511</v>
      </c>
      <c r="G1636" t="s">
        <v>512</v>
      </c>
      <c r="H1636" s="10">
        <v>46200</v>
      </c>
      <c r="I1636">
        <v>35035.800000000003</v>
      </c>
      <c r="J1636">
        <v>0</v>
      </c>
      <c r="K1636">
        <v>35035.800000000003</v>
      </c>
    </row>
    <row r="1637" spans="1:11" x14ac:dyDescent="0.35">
      <c r="A1637">
        <v>9100000558</v>
      </c>
      <c r="B1637">
        <v>9400006807</v>
      </c>
      <c r="C1637" s="10">
        <v>46155</v>
      </c>
      <c r="D1637" t="s">
        <v>2032</v>
      </c>
      <c r="E1637" s="11">
        <v>18634070</v>
      </c>
      <c r="F1637" t="s">
        <v>515</v>
      </c>
      <c r="G1637" t="s">
        <v>516</v>
      </c>
      <c r="H1637" s="10">
        <v>46200</v>
      </c>
      <c r="I1637">
        <v>16320.4</v>
      </c>
      <c r="J1637">
        <v>0</v>
      </c>
      <c r="K1637">
        <v>16320.4</v>
      </c>
    </row>
    <row r="1638" spans="1:11" x14ac:dyDescent="0.35">
      <c r="A1638">
        <v>9100000557</v>
      </c>
      <c r="B1638">
        <v>9400006805</v>
      </c>
      <c r="C1638" s="10">
        <v>46155</v>
      </c>
      <c r="D1638" t="s">
        <v>2032</v>
      </c>
      <c r="E1638" s="11">
        <v>18644373</v>
      </c>
      <c r="F1638" t="s">
        <v>282</v>
      </c>
      <c r="G1638" t="s">
        <v>283</v>
      </c>
      <c r="H1638" s="10">
        <v>46200</v>
      </c>
      <c r="I1638">
        <v>5641.58</v>
      </c>
      <c r="J1638">
        <v>0</v>
      </c>
      <c r="K1638">
        <v>5641.58</v>
      </c>
    </row>
    <row r="1639" spans="1:11" x14ac:dyDescent="0.35">
      <c r="A1639">
        <v>3000000506</v>
      </c>
      <c r="B1639">
        <v>9400006801</v>
      </c>
      <c r="C1639" s="10">
        <v>46155</v>
      </c>
      <c r="D1639" t="s">
        <v>2032</v>
      </c>
      <c r="E1639" s="11">
        <v>18645313</v>
      </c>
      <c r="F1639" t="s">
        <v>507</v>
      </c>
      <c r="G1639" t="s">
        <v>508</v>
      </c>
      <c r="H1639" s="10">
        <v>46155</v>
      </c>
      <c r="I1639">
        <v>131078.79</v>
      </c>
      <c r="J1639">
        <v>129316.81</v>
      </c>
      <c r="K1639">
        <v>1761.9800000000105</v>
      </c>
    </row>
    <row r="1640" spans="1:11" x14ac:dyDescent="0.35">
      <c r="A1640">
        <v>2730000293</v>
      </c>
      <c r="B1640">
        <v>9400006785</v>
      </c>
      <c r="C1640" s="10">
        <v>46155</v>
      </c>
      <c r="D1640" t="s">
        <v>2032</v>
      </c>
      <c r="E1640" s="11">
        <v>18634206</v>
      </c>
      <c r="F1640" t="s">
        <v>128</v>
      </c>
      <c r="G1640" t="s">
        <v>129</v>
      </c>
      <c r="H1640" s="10">
        <v>46200</v>
      </c>
      <c r="I1640">
        <v>188448.98</v>
      </c>
      <c r="J1640">
        <v>0</v>
      </c>
      <c r="K1640">
        <v>188448.98</v>
      </c>
    </row>
    <row r="1641" spans="1:11" x14ac:dyDescent="0.35">
      <c r="A1641">
        <v>2710000466</v>
      </c>
      <c r="B1641">
        <v>9400006783</v>
      </c>
      <c r="C1641" s="10">
        <v>46155</v>
      </c>
      <c r="D1641" t="s">
        <v>2032</v>
      </c>
      <c r="E1641" s="11">
        <v>18644934</v>
      </c>
      <c r="F1641" t="s">
        <v>66</v>
      </c>
      <c r="G1641" t="s">
        <v>67</v>
      </c>
      <c r="H1641" s="10">
        <v>46200</v>
      </c>
      <c r="I1641">
        <v>16588.150000000001</v>
      </c>
      <c r="J1641">
        <v>0</v>
      </c>
      <c r="K1641">
        <v>16588.150000000001</v>
      </c>
    </row>
    <row r="1642" spans="1:11" x14ac:dyDescent="0.35">
      <c r="A1642">
        <v>2710000464</v>
      </c>
      <c r="B1642">
        <v>9400006777</v>
      </c>
      <c r="C1642" s="10">
        <v>46155</v>
      </c>
      <c r="D1642" t="s">
        <v>2032</v>
      </c>
      <c r="E1642" s="11">
        <v>18644912</v>
      </c>
      <c r="F1642" t="s">
        <v>519</v>
      </c>
      <c r="G1642" t="s">
        <v>520</v>
      </c>
      <c r="H1642" s="10">
        <v>46200</v>
      </c>
      <c r="I1642">
        <v>22791.82</v>
      </c>
      <c r="J1642">
        <v>0</v>
      </c>
      <c r="K1642">
        <v>22791.82</v>
      </c>
    </row>
    <row r="1643" spans="1:11" x14ac:dyDescent="0.35">
      <c r="A1643">
        <v>2710000463</v>
      </c>
      <c r="B1643">
        <v>9400006774</v>
      </c>
      <c r="C1643" s="10">
        <v>46155</v>
      </c>
      <c r="D1643" t="s">
        <v>2032</v>
      </c>
      <c r="E1643" s="11">
        <v>18644912</v>
      </c>
      <c r="F1643" t="s">
        <v>519</v>
      </c>
      <c r="G1643" t="s">
        <v>520</v>
      </c>
      <c r="H1643" s="10">
        <v>46169</v>
      </c>
      <c r="I1643">
        <v>57801.59</v>
      </c>
      <c r="J1643">
        <v>1255.8399999999999</v>
      </c>
      <c r="K1643">
        <v>56545.75</v>
      </c>
    </row>
    <row r="1644" spans="1:11" x14ac:dyDescent="0.35">
      <c r="A1644">
        <v>2710000461</v>
      </c>
      <c r="B1644">
        <v>9400006772</v>
      </c>
      <c r="C1644" s="10">
        <v>46155</v>
      </c>
      <c r="D1644" t="s">
        <v>2032</v>
      </c>
      <c r="E1644" s="11">
        <v>18644460</v>
      </c>
      <c r="F1644" t="s">
        <v>521</v>
      </c>
      <c r="G1644" t="s">
        <v>522</v>
      </c>
      <c r="H1644" s="10">
        <v>46200</v>
      </c>
      <c r="I1644">
        <v>31950.95</v>
      </c>
      <c r="J1644">
        <v>0</v>
      </c>
      <c r="K1644">
        <v>31950.95</v>
      </c>
    </row>
    <row r="1645" spans="1:11" x14ac:dyDescent="0.35">
      <c r="A1645">
        <v>9100000554</v>
      </c>
      <c r="B1645">
        <v>9400006767</v>
      </c>
      <c r="C1645" s="10">
        <v>46155</v>
      </c>
      <c r="D1645" t="s">
        <v>2032</v>
      </c>
      <c r="E1645" s="11">
        <v>18634153</v>
      </c>
      <c r="F1645" t="s">
        <v>130</v>
      </c>
      <c r="G1645" t="s">
        <v>131</v>
      </c>
      <c r="H1645" s="10">
        <v>46200</v>
      </c>
      <c r="I1645">
        <v>15648.62</v>
      </c>
      <c r="J1645">
        <v>0</v>
      </c>
      <c r="K1645">
        <v>15648.62</v>
      </c>
    </row>
    <row r="1646" spans="1:11" x14ac:dyDescent="0.35">
      <c r="A1646">
        <v>2730000292</v>
      </c>
      <c r="B1646">
        <v>9400006765</v>
      </c>
      <c r="C1646" s="10">
        <v>46155</v>
      </c>
      <c r="D1646" t="s">
        <v>2032</v>
      </c>
      <c r="E1646" s="11">
        <v>18644472</v>
      </c>
      <c r="F1646" t="s">
        <v>523</v>
      </c>
      <c r="G1646" t="s">
        <v>524</v>
      </c>
      <c r="H1646" s="10">
        <v>46200</v>
      </c>
      <c r="I1646">
        <v>100465.2</v>
      </c>
      <c r="J1646">
        <v>0</v>
      </c>
      <c r="K1646">
        <v>100465.2</v>
      </c>
    </row>
    <row r="1647" spans="1:11" x14ac:dyDescent="0.35">
      <c r="A1647">
        <v>9100000552</v>
      </c>
      <c r="B1647">
        <v>9400006757</v>
      </c>
      <c r="C1647" s="10">
        <v>46155</v>
      </c>
      <c r="D1647" t="s">
        <v>2032</v>
      </c>
      <c r="E1647" s="11">
        <v>18633357</v>
      </c>
      <c r="F1647" t="s">
        <v>525</v>
      </c>
      <c r="G1647" t="s">
        <v>526</v>
      </c>
      <c r="H1647" s="10">
        <v>46200</v>
      </c>
      <c r="I1647">
        <v>26955.14</v>
      </c>
      <c r="J1647">
        <v>0</v>
      </c>
      <c r="K1647">
        <v>26955.14</v>
      </c>
    </row>
    <row r="1648" spans="1:11" x14ac:dyDescent="0.35">
      <c r="A1648">
        <v>3000000504</v>
      </c>
      <c r="B1648">
        <v>9400006754</v>
      </c>
      <c r="C1648" s="10">
        <v>46155</v>
      </c>
      <c r="D1648" t="s">
        <v>2032</v>
      </c>
      <c r="E1648" s="11" t="s">
        <v>2046</v>
      </c>
      <c r="F1648" t="s">
        <v>529</v>
      </c>
      <c r="G1648" t="s">
        <v>530</v>
      </c>
      <c r="H1648" s="10">
        <v>46155</v>
      </c>
      <c r="I1648">
        <v>452.5</v>
      </c>
      <c r="J1648">
        <v>61.04</v>
      </c>
      <c r="K1648">
        <v>391.46</v>
      </c>
    </row>
    <row r="1649" spans="1:11" x14ac:dyDescent="0.35">
      <c r="A1649">
        <v>9200000433</v>
      </c>
      <c r="B1649">
        <v>9400006735</v>
      </c>
      <c r="C1649" s="10">
        <v>46155</v>
      </c>
      <c r="D1649" t="s">
        <v>2032</v>
      </c>
      <c r="E1649" s="11">
        <v>9120000027</v>
      </c>
      <c r="F1649" t="s">
        <v>531</v>
      </c>
      <c r="G1649" t="s">
        <v>532</v>
      </c>
      <c r="H1649" s="10">
        <v>46155</v>
      </c>
      <c r="I1649">
        <v>3402.02</v>
      </c>
      <c r="J1649">
        <v>3014.6</v>
      </c>
      <c r="K1649">
        <v>387.42000000000007</v>
      </c>
    </row>
    <row r="1650" spans="1:11" x14ac:dyDescent="0.35">
      <c r="A1650">
        <v>2720000193</v>
      </c>
      <c r="B1650">
        <v>9400006680</v>
      </c>
      <c r="C1650" s="10">
        <v>46154</v>
      </c>
      <c r="D1650" t="s">
        <v>2032</v>
      </c>
      <c r="E1650" s="11">
        <v>18634245</v>
      </c>
      <c r="F1650" t="s">
        <v>312</v>
      </c>
      <c r="G1650" t="s">
        <v>313</v>
      </c>
      <c r="H1650" s="10">
        <v>46199</v>
      </c>
      <c r="I1650">
        <v>73775.02</v>
      </c>
      <c r="J1650">
        <v>0</v>
      </c>
      <c r="K1650">
        <v>73775.02</v>
      </c>
    </row>
    <row r="1651" spans="1:11" x14ac:dyDescent="0.35">
      <c r="A1651">
        <v>9300000352</v>
      </c>
      <c r="B1651">
        <v>9400006676</v>
      </c>
      <c r="C1651" s="10">
        <v>46154</v>
      </c>
      <c r="D1651" t="s">
        <v>2032</v>
      </c>
      <c r="E1651" s="11">
        <v>18634146</v>
      </c>
      <c r="F1651" t="s">
        <v>339</v>
      </c>
      <c r="G1651" t="s">
        <v>340</v>
      </c>
      <c r="H1651" s="10">
        <v>46199</v>
      </c>
      <c r="I1651">
        <v>23707.54</v>
      </c>
      <c r="J1651">
        <v>0</v>
      </c>
      <c r="K1651">
        <v>23707.54</v>
      </c>
    </row>
    <row r="1652" spans="1:11" x14ac:dyDescent="0.35">
      <c r="A1652">
        <v>5200000172</v>
      </c>
      <c r="B1652">
        <v>9400006670</v>
      </c>
      <c r="C1652" s="10">
        <v>46154</v>
      </c>
      <c r="D1652" t="s">
        <v>2032</v>
      </c>
      <c r="E1652" s="11">
        <v>18623112</v>
      </c>
      <c r="F1652" t="s">
        <v>557</v>
      </c>
      <c r="G1652" t="s">
        <v>558</v>
      </c>
      <c r="H1652" s="10">
        <v>46154</v>
      </c>
      <c r="I1652">
        <v>25143.52</v>
      </c>
      <c r="J1652">
        <v>0</v>
      </c>
      <c r="K1652">
        <v>25143.52</v>
      </c>
    </row>
    <row r="1653" spans="1:11" x14ac:dyDescent="0.35">
      <c r="A1653">
        <v>3000000494</v>
      </c>
      <c r="B1653">
        <v>9400006664</v>
      </c>
      <c r="C1653" s="10">
        <v>46154</v>
      </c>
      <c r="D1653" t="s">
        <v>2032</v>
      </c>
      <c r="E1653" s="11">
        <v>18644529</v>
      </c>
      <c r="F1653" t="s">
        <v>194</v>
      </c>
      <c r="G1653" t="s">
        <v>195</v>
      </c>
      <c r="H1653" s="10">
        <v>46199</v>
      </c>
      <c r="I1653">
        <v>84567.02</v>
      </c>
      <c r="J1653">
        <v>0</v>
      </c>
      <c r="K1653">
        <v>84567.02</v>
      </c>
    </row>
    <row r="1654" spans="1:11" x14ac:dyDescent="0.35">
      <c r="A1654">
        <v>2720000190</v>
      </c>
      <c r="B1654">
        <v>9400006659</v>
      </c>
      <c r="C1654" s="10">
        <v>46154</v>
      </c>
      <c r="D1654" t="s">
        <v>2032</v>
      </c>
      <c r="E1654" s="11">
        <v>18622203</v>
      </c>
      <c r="F1654" t="s">
        <v>17</v>
      </c>
      <c r="G1654" t="s">
        <v>18</v>
      </c>
      <c r="H1654" s="10">
        <v>46199</v>
      </c>
      <c r="I1654">
        <v>22670.86</v>
      </c>
      <c r="J1654">
        <v>0</v>
      </c>
      <c r="K1654">
        <v>22670.86</v>
      </c>
    </row>
    <row r="1655" spans="1:11" x14ac:dyDescent="0.35">
      <c r="A1655">
        <v>2720000189</v>
      </c>
      <c r="B1655">
        <v>9400006653</v>
      </c>
      <c r="C1655" s="10">
        <v>46154</v>
      </c>
      <c r="D1655" t="s">
        <v>2032</v>
      </c>
      <c r="E1655" s="11">
        <v>18633389</v>
      </c>
      <c r="F1655" t="s">
        <v>567</v>
      </c>
      <c r="G1655" t="s">
        <v>568</v>
      </c>
      <c r="H1655" s="10">
        <v>46199</v>
      </c>
      <c r="I1655">
        <v>82241.279999999999</v>
      </c>
      <c r="J1655">
        <v>0</v>
      </c>
      <c r="K1655">
        <v>82241.279999999999</v>
      </c>
    </row>
    <row r="1656" spans="1:11" x14ac:dyDescent="0.35">
      <c r="A1656">
        <v>9200000431</v>
      </c>
      <c r="B1656">
        <v>9400006652</v>
      </c>
      <c r="C1656" s="10">
        <v>46154</v>
      </c>
      <c r="D1656" t="s">
        <v>2032</v>
      </c>
      <c r="E1656" s="11">
        <v>18644416</v>
      </c>
      <c r="F1656" t="s">
        <v>569</v>
      </c>
      <c r="G1656" t="s">
        <v>570</v>
      </c>
      <c r="H1656" s="10">
        <v>46199</v>
      </c>
      <c r="I1656">
        <v>63775.68</v>
      </c>
      <c r="J1656">
        <v>0</v>
      </c>
      <c r="K1656">
        <v>63775.68</v>
      </c>
    </row>
    <row r="1657" spans="1:11" x14ac:dyDescent="0.35">
      <c r="A1657">
        <v>5100000434</v>
      </c>
      <c r="B1657">
        <v>9400006650</v>
      </c>
      <c r="C1657" s="10">
        <v>46154</v>
      </c>
      <c r="D1657" t="s">
        <v>2032</v>
      </c>
      <c r="E1657" s="11">
        <v>18644481</v>
      </c>
      <c r="F1657" t="s">
        <v>571</v>
      </c>
      <c r="G1657" t="s">
        <v>572</v>
      </c>
      <c r="H1657" s="10">
        <v>46199</v>
      </c>
      <c r="I1657">
        <v>31148.46</v>
      </c>
      <c r="J1657">
        <v>0</v>
      </c>
      <c r="K1657">
        <v>31148.46</v>
      </c>
    </row>
    <row r="1658" spans="1:11" x14ac:dyDescent="0.35">
      <c r="A1658">
        <v>2720000188</v>
      </c>
      <c r="B1658">
        <v>9400006648</v>
      </c>
      <c r="C1658" s="10">
        <v>46154</v>
      </c>
      <c r="D1658" t="s">
        <v>2032</v>
      </c>
      <c r="E1658" s="11">
        <v>18634171</v>
      </c>
      <c r="F1658" t="s">
        <v>74</v>
      </c>
      <c r="G1658" t="s">
        <v>75</v>
      </c>
      <c r="H1658" s="10">
        <v>46199</v>
      </c>
      <c r="I1658">
        <v>116773.4</v>
      </c>
      <c r="J1658">
        <v>0</v>
      </c>
      <c r="K1658">
        <v>116773.4</v>
      </c>
    </row>
    <row r="1659" spans="1:11" x14ac:dyDescent="0.35">
      <c r="A1659">
        <v>2720000187</v>
      </c>
      <c r="B1659">
        <v>9400006645</v>
      </c>
      <c r="C1659" s="10">
        <v>46154</v>
      </c>
      <c r="D1659" t="s">
        <v>2032</v>
      </c>
      <c r="E1659" s="11">
        <v>18634134</v>
      </c>
      <c r="F1659" t="s">
        <v>22</v>
      </c>
      <c r="G1659" t="s">
        <v>23</v>
      </c>
      <c r="H1659" s="10">
        <v>46199</v>
      </c>
      <c r="I1659">
        <v>44812.28</v>
      </c>
      <c r="J1659">
        <v>0</v>
      </c>
      <c r="K1659">
        <v>44812.28</v>
      </c>
    </row>
    <row r="1660" spans="1:11" x14ac:dyDescent="0.35">
      <c r="A1660">
        <v>2720000186</v>
      </c>
      <c r="B1660">
        <v>9400006644</v>
      </c>
      <c r="C1660" s="10">
        <v>46154</v>
      </c>
      <c r="D1660" t="s">
        <v>2032</v>
      </c>
      <c r="E1660" s="11">
        <v>18601739</v>
      </c>
      <c r="F1660" t="s">
        <v>136</v>
      </c>
      <c r="G1660" t="s">
        <v>137</v>
      </c>
      <c r="H1660" s="10">
        <v>46199</v>
      </c>
      <c r="I1660">
        <v>119043.12</v>
      </c>
      <c r="J1660">
        <v>0</v>
      </c>
      <c r="K1660">
        <v>119043.12</v>
      </c>
    </row>
    <row r="1661" spans="1:11" x14ac:dyDescent="0.35">
      <c r="A1661">
        <v>5100000433</v>
      </c>
      <c r="B1661">
        <v>9400006643</v>
      </c>
      <c r="C1661" s="10">
        <v>46154</v>
      </c>
      <c r="D1661" t="s">
        <v>2032</v>
      </c>
      <c r="E1661" s="11">
        <v>18644428</v>
      </c>
      <c r="F1661" t="s">
        <v>387</v>
      </c>
      <c r="G1661" t="s">
        <v>388</v>
      </c>
      <c r="H1661" s="10">
        <v>46199</v>
      </c>
      <c r="I1661">
        <v>125825.76</v>
      </c>
      <c r="J1661">
        <v>0</v>
      </c>
      <c r="K1661">
        <v>125825.76</v>
      </c>
    </row>
    <row r="1662" spans="1:11" x14ac:dyDescent="0.35">
      <c r="A1662">
        <v>5100000432</v>
      </c>
      <c r="B1662">
        <v>9400006641</v>
      </c>
      <c r="C1662" s="10">
        <v>46154</v>
      </c>
      <c r="D1662" t="s">
        <v>2032</v>
      </c>
      <c r="E1662" s="11">
        <v>18644421</v>
      </c>
      <c r="F1662" t="s">
        <v>573</v>
      </c>
      <c r="G1662" t="s">
        <v>574</v>
      </c>
      <c r="H1662" s="10">
        <v>46199</v>
      </c>
      <c r="I1662">
        <v>51914.1</v>
      </c>
      <c r="J1662">
        <v>0</v>
      </c>
      <c r="K1662">
        <v>51914.1</v>
      </c>
    </row>
    <row r="1663" spans="1:11" x14ac:dyDescent="0.35">
      <c r="A1663">
        <v>2720000185</v>
      </c>
      <c r="B1663">
        <v>9400006640</v>
      </c>
      <c r="C1663" s="10">
        <v>46154</v>
      </c>
      <c r="D1663" t="s">
        <v>2032</v>
      </c>
      <c r="E1663" s="11">
        <v>18580542</v>
      </c>
      <c r="F1663" t="s">
        <v>314</v>
      </c>
      <c r="G1663" t="s">
        <v>315</v>
      </c>
      <c r="H1663" s="10">
        <v>46199</v>
      </c>
      <c r="I1663">
        <v>16121.16</v>
      </c>
      <c r="J1663">
        <v>0</v>
      </c>
      <c r="K1663">
        <v>16121.16</v>
      </c>
    </row>
    <row r="1664" spans="1:11" x14ac:dyDescent="0.35">
      <c r="A1664">
        <v>2720000184</v>
      </c>
      <c r="B1664">
        <v>9400006638</v>
      </c>
      <c r="C1664" s="10">
        <v>46154</v>
      </c>
      <c r="D1664" t="s">
        <v>2032</v>
      </c>
      <c r="E1664" s="11">
        <v>18580542</v>
      </c>
      <c r="F1664" t="s">
        <v>314</v>
      </c>
      <c r="G1664" t="s">
        <v>315</v>
      </c>
      <c r="H1664" s="10">
        <v>46199</v>
      </c>
      <c r="I1664">
        <v>84735.21</v>
      </c>
      <c r="J1664">
        <v>0</v>
      </c>
      <c r="K1664">
        <v>84735.21</v>
      </c>
    </row>
    <row r="1665" spans="1:11" x14ac:dyDescent="0.35">
      <c r="A1665">
        <v>2720000183</v>
      </c>
      <c r="B1665">
        <v>9400006637</v>
      </c>
      <c r="C1665" s="10">
        <v>46154</v>
      </c>
      <c r="D1665" t="s">
        <v>2032</v>
      </c>
      <c r="E1665" s="11">
        <v>18601531</v>
      </c>
      <c r="F1665" t="s">
        <v>261</v>
      </c>
      <c r="G1665" t="s">
        <v>262</v>
      </c>
      <c r="H1665" s="10">
        <v>46199</v>
      </c>
      <c r="I1665">
        <v>41120.639999999999</v>
      </c>
      <c r="J1665">
        <v>0</v>
      </c>
      <c r="K1665">
        <v>41120.639999999999</v>
      </c>
    </row>
    <row r="1666" spans="1:11" x14ac:dyDescent="0.35">
      <c r="A1666">
        <v>2710000453</v>
      </c>
      <c r="B1666">
        <v>9400006632</v>
      </c>
      <c r="C1666" s="10">
        <v>46154</v>
      </c>
      <c r="D1666" t="s">
        <v>2032</v>
      </c>
      <c r="E1666" s="11">
        <v>18633416</v>
      </c>
      <c r="F1666" t="s">
        <v>144</v>
      </c>
      <c r="G1666" t="s">
        <v>145</v>
      </c>
      <c r="H1666" s="10">
        <v>46199</v>
      </c>
      <c r="I1666">
        <v>14523.78</v>
      </c>
      <c r="J1666">
        <v>0</v>
      </c>
      <c r="K1666">
        <v>14523.78</v>
      </c>
    </row>
    <row r="1667" spans="1:11" x14ac:dyDescent="0.35">
      <c r="A1667">
        <v>2720000182</v>
      </c>
      <c r="B1667">
        <v>9400006631</v>
      </c>
      <c r="C1667" s="10">
        <v>46154</v>
      </c>
      <c r="D1667" t="s">
        <v>2032</v>
      </c>
      <c r="E1667" s="11">
        <v>18623269</v>
      </c>
      <c r="F1667" t="s">
        <v>575</v>
      </c>
      <c r="G1667" t="s">
        <v>576</v>
      </c>
      <c r="H1667" s="10">
        <v>46199</v>
      </c>
      <c r="I1667">
        <v>58456.84</v>
      </c>
      <c r="J1667">
        <v>0</v>
      </c>
      <c r="K1667">
        <v>58456.84</v>
      </c>
    </row>
    <row r="1668" spans="1:11" x14ac:dyDescent="0.35">
      <c r="A1668">
        <v>2710000451</v>
      </c>
      <c r="B1668">
        <v>9400006627</v>
      </c>
      <c r="C1668" s="10">
        <v>46154</v>
      </c>
      <c r="D1668" t="s">
        <v>2032</v>
      </c>
      <c r="E1668" s="11">
        <v>18633395</v>
      </c>
      <c r="F1668" t="s">
        <v>565</v>
      </c>
      <c r="G1668" t="s">
        <v>566</v>
      </c>
      <c r="H1668" s="10">
        <v>46199</v>
      </c>
      <c r="I1668">
        <v>14523.78</v>
      </c>
      <c r="J1668">
        <v>0</v>
      </c>
      <c r="K1668">
        <v>14523.78</v>
      </c>
    </row>
    <row r="1669" spans="1:11" x14ac:dyDescent="0.35">
      <c r="A1669">
        <v>5100000430</v>
      </c>
      <c r="B1669">
        <v>9400006623</v>
      </c>
      <c r="C1669" s="10">
        <v>46154</v>
      </c>
      <c r="D1669" t="s">
        <v>2032</v>
      </c>
      <c r="E1669" s="11">
        <v>18622873</v>
      </c>
      <c r="F1669" t="s">
        <v>211</v>
      </c>
      <c r="G1669" t="s">
        <v>212</v>
      </c>
      <c r="H1669" s="10">
        <v>46199</v>
      </c>
      <c r="I1669">
        <v>61680.959999999999</v>
      </c>
      <c r="J1669">
        <v>0</v>
      </c>
      <c r="K1669">
        <v>61680.959999999999</v>
      </c>
    </row>
    <row r="1670" spans="1:11" x14ac:dyDescent="0.35">
      <c r="A1670">
        <v>2720000181</v>
      </c>
      <c r="B1670">
        <v>9400006614</v>
      </c>
      <c r="C1670" s="10">
        <v>46154</v>
      </c>
      <c r="D1670" t="s">
        <v>2032</v>
      </c>
      <c r="E1670" s="11">
        <v>18580524</v>
      </c>
      <c r="F1670" t="s">
        <v>547</v>
      </c>
      <c r="G1670" t="s">
        <v>548</v>
      </c>
      <c r="H1670" s="10">
        <v>46199</v>
      </c>
      <c r="I1670">
        <v>154202.4</v>
      </c>
      <c r="J1670">
        <v>0</v>
      </c>
      <c r="K1670">
        <v>154202.4</v>
      </c>
    </row>
    <row r="1671" spans="1:11" x14ac:dyDescent="0.35">
      <c r="A1671">
        <v>9200000429</v>
      </c>
      <c r="B1671">
        <v>9400006612</v>
      </c>
      <c r="C1671" s="10">
        <v>46154</v>
      </c>
      <c r="D1671" t="s">
        <v>2032</v>
      </c>
      <c r="E1671" s="11">
        <v>18633885</v>
      </c>
      <c r="F1671" t="s">
        <v>44</v>
      </c>
      <c r="G1671" t="s">
        <v>45</v>
      </c>
      <c r="H1671" s="10">
        <v>46199</v>
      </c>
      <c r="I1671">
        <v>23612.46</v>
      </c>
      <c r="J1671">
        <v>0</v>
      </c>
      <c r="K1671">
        <v>23612.46</v>
      </c>
    </row>
    <row r="1672" spans="1:11" x14ac:dyDescent="0.35">
      <c r="A1672">
        <v>2720000180</v>
      </c>
      <c r="B1672">
        <v>9400006610</v>
      </c>
      <c r="C1672" s="10">
        <v>46154</v>
      </c>
      <c r="D1672" t="s">
        <v>2032</v>
      </c>
      <c r="E1672" s="11">
        <v>18634142</v>
      </c>
      <c r="F1672" t="s">
        <v>154</v>
      </c>
      <c r="G1672" t="s">
        <v>155</v>
      </c>
      <c r="H1672" s="10">
        <v>46199</v>
      </c>
      <c r="I1672">
        <v>198405.2</v>
      </c>
      <c r="J1672">
        <v>0</v>
      </c>
      <c r="K1672">
        <v>198405.2</v>
      </c>
    </row>
    <row r="1673" spans="1:11" x14ac:dyDescent="0.35">
      <c r="A1673">
        <v>8000000391</v>
      </c>
      <c r="B1673">
        <v>9400006594</v>
      </c>
      <c r="C1673" s="10">
        <v>46154</v>
      </c>
      <c r="D1673" t="s">
        <v>2032</v>
      </c>
      <c r="E1673" s="11">
        <v>18644371</v>
      </c>
      <c r="F1673" t="s">
        <v>265</v>
      </c>
      <c r="G1673" t="s">
        <v>266</v>
      </c>
      <c r="H1673" s="10">
        <v>46199</v>
      </c>
      <c r="I1673">
        <v>100465.2</v>
      </c>
      <c r="J1673">
        <v>0</v>
      </c>
      <c r="K1673">
        <v>100465.2</v>
      </c>
    </row>
    <row r="1674" spans="1:11" x14ac:dyDescent="0.35">
      <c r="A1674">
        <v>3000000488</v>
      </c>
      <c r="B1674">
        <v>9400006586</v>
      </c>
      <c r="C1674" s="10">
        <v>46154</v>
      </c>
      <c r="D1674" t="s">
        <v>2032</v>
      </c>
      <c r="E1674" s="11">
        <v>18644347</v>
      </c>
      <c r="F1674" t="s">
        <v>581</v>
      </c>
      <c r="G1674" t="s">
        <v>582</v>
      </c>
      <c r="H1674" s="10">
        <v>46169</v>
      </c>
      <c r="I1674">
        <v>47200</v>
      </c>
      <c r="J1674">
        <v>45195.62</v>
      </c>
      <c r="K1674">
        <v>2004.3799999999974</v>
      </c>
    </row>
    <row r="1675" spans="1:11" x14ac:dyDescent="0.35">
      <c r="A1675">
        <v>3000000486</v>
      </c>
      <c r="B1675">
        <v>9400006573</v>
      </c>
      <c r="C1675" s="10">
        <v>46154</v>
      </c>
      <c r="D1675" t="s">
        <v>2032</v>
      </c>
      <c r="E1675" s="11">
        <v>18634299</v>
      </c>
      <c r="F1675" t="s">
        <v>393</v>
      </c>
      <c r="G1675" t="s">
        <v>394</v>
      </c>
      <c r="H1675" s="10">
        <v>46199</v>
      </c>
      <c r="I1675">
        <v>34928</v>
      </c>
      <c r="J1675">
        <v>0</v>
      </c>
      <c r="K1675">
        <v>34928</v>
      </c>
    </row>
    <row r="1676" spans="1:11" x14ac:dyDescent="0.35">
      <c r="A1676">
        <v>5100000425</v>
      </c>
      <c r="B1676">
        <v>9400006563</v>
      </c>
      <c r="C1676" s="10">
        <v>46154</v>
      </c>
      <c r="D1676" t="s">
        <v>2032</v>
      </c>
      <c r="E1676" s="11">
        <v>18634125</v>
      </c>
      <c r="F1676" t="s">
        <v>587</v>
      </c>
      <c r="G1676" t="s">
        <v>588</v>
      </c>
      <c r="H1676" s="10">
        <v>46199</v>
      </c>
      <c r="I1676">
        <v>54708.72</v>
      </c>
      <c r="J1676">
        <v>0</v>
      </c>
      <c r="K1676">
        <v>54708.72</v>
      </c>
    </row>
    <row r="1677" spans="1:11" x14ac:dyDescent="0.35">
      <c r="A1677">
        <v>5100000424</v>
      </c>
      <c r="B1677">
        <v>9400006561</v>
      </c>
      <c r="C1677" s="10">
        <v>46154</v>
      </c>
      <c r="D1677" t="s">
        <v>2032</v>
      </c>
      <c r="E1677" s="11">
        <v>18634125</v>
      </c>
      <c r="F1677" t="s">
        <v>587</v>
      </c>
      <c r="G1677" t="s">
        <v>588</v>
      </c>
      <c r="H1677" s="10">
        <v>46168</v>
      </c>
      <c r="I1677">
        <v>114224</v>
      </c>
      <c r="J1677">
        <v>114215.3</v>
      </c>
      <c r="K1677">
        <v>8.6999999999970896</v>
      </c>
    </row>
    <row r="1678" spans="1:11" x14ac:dyDescent="0.35">
      <c r="A1678">
        <v>5100000421</v>
      </c>
      <c r="B1678">
        <v>9400006539</v>
      </c>
      <c r="C1678" s="10">
        <v>46154</v>
      </c>
      <c r="D1678" t="s">
        <v>2032</v>
      </c>
      <c r="E1678" s="12">
        <v>185804611858044</v>
      </c>
      <c r="F1678" t="s">
        <v>379</v>
      </c>
      <c r="G1678" t="s">
        <v>380</v>
      </c>
      <c r="H1678" s="10">
        <v>46199</v>
      </c>
      <c r="I1678">
        <v>67567.56</v>
      </c>
      <c r="J1678">
        <v>0</v>
      </c>
      <c r="K1678">
        <v>67567.56</v>
      </c>
    </row>
    <row r="1679" spans="1:11" x14ac:dyDescent="0.35">
      <c r="A1679">
        <v>5100000420</v>
      </c>
      <c r="B1679">
        <v>9400006535</v>
      </c>
      <c r="C1679" s="10">
        <v>46154</v>
      </c>
      <c r="D1679" t="s">
        <v>2032</v>
      </c>
      <c r="E1679" s="11">
        <v>18559117</v>
      </c>
      <c r="F1679" t="s">
        <v>213</v>
      </c>
      <c r="G1679" t="s">
        <v>214</v>
      </c>
      <c r="H1679" s="10">
        <v>46199</v>
      </c>
      <c r="I1679">
        <v>70900.899999999994</v>
      </c>
      <c r="J1679">
        <v>0</v>
      </c>
      <c r="K1679">
        <v>70900.899999999994</v>
      </c>
    </row>
    <row r="1680" spans="1:11" x14ac:dyDescent="0.35">
      <c r="A1680">
        <v>2710000436</v>
      </c>
      <c r="B1680">
        <v>9400006528</v>
      </c>
      <c r="C1680" s="10">
        <v>46154</v>
      </c>
      <c r="D1680" t="s">
        <v>2032</v>
      </c>
      <c r="E1680" s="11">
        <v>18633829</v>
      </c>
      <c r="F1680" t="s">
        <v>427</v>
      </c>
      <c r="G1680" t="s">
        <v>428</v>
      </c>
      <c r="H1680" s="10">
        <v>46199</v>
      </c>
      <c r="I1680">
        <v>101610.9</v>
      </c>
      <c r="J1680">
        <v>0</v>
      </c>
      <c r="K1680">
        <v>101610.9</v>
      </c>
    </row>
    <row r="1681" spans="1:11" x14ac:dyDescent="0.35">
      <c r="A1681">
        <v>2710000435</v>
      </c>
      <c r="B1681">
        <v>9400006527</v>
      </c>
      <c r="C1681" s="10">
        <v>46154</v>
      </c>
      <c r="D1681" t="s">
        <v>2032</v>
      </c>
      <c r="E1681" s="11">
        <v>18633829</v>
      </c>
      <c r="F1681" t="s">
        <v>427</v>
      </c>
      <c r="G1681" t="s">
        <v>428</v>
      </c>
      <c r="H1681" s="10">
        <v>46168</v>
      </c>
      <c r="I1681">
        <v>88059.95</v>
      </c>
      <c r="J1681">
        <v>45835.79</v>
      </c>
      <c r="K1681">
        <v>42224.159999999996</v>
      </c>
    </row>
    <row r="1682" spans="1:11" x14ac:dyDescent="0.35">
      <c r="A1682">
        <v>9300000349</v>
      </c>
      <c r="B1682">
        <v>9400006524</v>
      </c>
      <c r="C1682" s="10">
        <v>46154</v>
      </c>
      <c r="D1682" t="s">
        <v>2032</v>
      </c>
      <c r="E1682" s="11">
        <v>18634038</v>
      </c>
      <c r="F1682" t="s">
        <v>593</v>
      </c>
      <c r="G1682" t="s">
        <v>594</v>
      </c>
      <c r="H1682" s="10">
        <v>46199</v>
      </c>
      <c r="I1682">
        <v>69.180000000000007</v>
      </c>
      <c r="J1682">
        <v>0</v>
      </c>
      <c r="K1682">
        <v>69.180000000000007</v>
      </c>
    </row>
    <row r="1683" spans="1:11" x14ac:dyDescent="0.35">
      <c r="A1683">
        <v>2710000432</v>
      </c>
      <c r="B1683">
        <v>9400006521</v>
      </c>
      <c r="C1683" s="10">
        <v>46154</v>
      </c>
      <c r="D1683" t="s">
        <v>2032</v>
      </c>
      <c r="E1683" s="11">
        <v>18633498</v>
      </c>
      <c r="F1683" t="s">
        <v>509</v>
      </c>
      <c r="G1683" t="s">
        <v>510</v>
      </c>
      <c r="H1683" s="10">
        <v>46168</v>
      </c>
      <c r="I1683">
        <v>16300.44</v>
      </c>
      <c r="J1683">
        <v>0</v>
      </c>
      <c r="K1683">
        <v>16300.44</v>
      </c>
    </row>
    <row r="1684" spans="1:11" x14ac:dyDescent="0.35">
      <c r="A1684">
        <v>5100000416</v>
      </c>
      <c r="B1684">
        <v>9400006512</v>
      </c>
      <c r="C1684" s="10">
        <v>46154</v>
      </c>
      <c r="D1684" t="s">
        <v>2032</v>
      </c>
      <c r="E1684" s="11">
        <v>18590891</v>
      </c>
      <c r="F1684" t="s">
        <v>387</v>
      </c>
      <c r="G1684" t="s">
        <v>388</v>
      </c>
      <c r="H1684" s="10">
        <v>46199</v>
      </c>
      <c r="I1684">
        <v>161981.44</v>
      </c>
      <c r="J1684">
        <v>0</v>
      </c>
      <c r="K1684">
        <v>161981.44</v>
      </c>
    </row>
    <row r="1685" spans="1:11" x14ac:dyDescent="0.35">
      <c r="A1685">
        <v>2710000429</v>
      </c>
      <c r="B1685">
        <v>9400006511</v>
      </c>
      <c r="C1685" s="10">
        <v>46154</v>
      </c>
      <c r="D1685" t="s">
        <v>2032</v>
      </c>
      <c r="E1685" s="11">
        <v>18633442</v>
      </c>
      <c r="F1685" t="s">
        <v>599</v>
      </c>
      <c r="G1685" t="s">
        <v>600</v>
      </c>
      <c r="H1685" s="10">
        <v>46168</v>
      </c>
      <c r="I1685">
        <v>11828.98</v>
      </c>
      <c r="J1685">
        <v>6339.08</v>
      </c>
      <c r="K1685">
        <v>5489.9</v>
      </c>
    </row>
    <row r="1686" spans="1:11" x14ac:dyDescent="0.35">
      <c r="A1686">
        <v>2710000428</v>
      </c>
      <c r="B1686">
        <v>9400006510</v>
      </c>
      <c r="C1686" s="10">
        <v>46154</v>
      </c>
      <c r="D1686" t="s">
        <v>2032</v>
      </c>
      <c r="E1686" s="11">
        <v>18633435</v>
      </c>
      <c r="F1686" t="s">
        <v>491</v>
      </c>
      <c r="G1686" t="s">
        <v>492</v>
      </c>
      <c r="H1686" s="10">
        <v>46199</v>
      </c>
      <c r="I1686">
        <v>10457.16</v>
      </c>
      <c r="J1686">
        <v>0</v>
      </c>
      <c r="K1686">
        <v>10457.16</v>
      </c>
    </row>
    <row r="1687" spans="1:11" x14ac:dyDescent="0.35">
      <c r="A1687">
        <v>2710000426</v>
      </c>
      <c r="B1687">
        <v>9400006507</v>
      </c>
      <c r="C1687" s="10">
        <v>46154</v>
      </c>
      <c r="D1687" t="s">
        <v>2032</v>
      </c>
      <c r="E1687" s="11">
        <v>18633428</v>
      </c>
      <c r="F1687" t="s">
        <v>28</v>
      </c>
      <c r="G1687" t="s">
        <v>29</v>
      </c>
      <c r="H1687" s="10">
        <v>46199</v>
      </c>
      <c r="I1687">
        <v>9995.42</v>
      </c>
      <c r="J1687">
        <v>0</v>
      </c>
      <c r="K1687">
        <v>9995.42</v>
      </c>
    </row>
    <row r="1688" spans="1:11" x14ac:dyDescent="0.35">
      <c r="A1688">
        <v>2710000425</v>
      </c>
      <c r="B1688">
        <v>9400006505</v>
      </c>
      <c r="C1688" s="10">
        <v>46154</v>
      </c>
      <c r="D1688" t="s">
        <v>2032</v>
      </c>
      <c r="E1688" s="11">
        <v>18633428</v>
      </c>
      <c r="F1688" t="s">
        <v>28</v>
      </c>
      <c r="G1688" t="s">
        <v>29</v>
      </c>
      <c r="H1688" s="10">
        <v>46168</v>
      </c>
      <c r="I1688">
        <v>16300.44</v>
      </c>
      <c r="J1688">
        <v>8790.4599999999991</v>
      </c>
      <c r="K1688">
        <v>7509.9800000000014</v>
      </c>
    </row>
    <row r="1689" spans="1:11" x14ac:dyDescent="0.35">
      <c r="A1689">
        <v>9300000348</v>
      </c>
      <c r="B1689">
        <v>9400006502</v>
      </c>
      <c r="C1689" s="10">
        <v>46154</v>
      </c>
      <c r="D1689" t="s">
        <v>2032</v>
      </c>
      <c r="E1689" s="11">
        <v>18634038</v>
      </c>
      <c r="F1689" t="s">
        <v>593</v>
      </c>
      <c r="G1689" t="s">
        <v>594</v>
      </c>
      <c r="H1689" s="10">
        <v>46199</v>
      </c>
      <c r="I1689">
        <v>87033.26</v>
      </c>
      <c r="J1689">
        <v>0</v>
      </c>
      <c r="K1689">
        <v>87033.26</v>
      </c>
    </row>
    <row r="1690" spans="1:11" x14ac:dyDescent="0.35">
      <c r="A1690">
        <v>2300000282</v>
      </c>
      <c r="B1690">
        <v>9400006478</v>
      </c>
      <c r="C1690" s="10">
        <v>46154</v>
      </c>
      <c r="D1690" t="s">
        <v>2032</v>
      </c>
      <c r="E1690" s="11">
        <v>18633594</v>
      </c>
      <c r="F1690" t="s">
        <v>601</v>
      </c>
      <c r="G1690" t="s">
        <v>602</v>
      </c>
      <c r="H1690" s="10">
        <v>46199</v>
      </c>
      <c r="I1690">
        <v>48339.28</v>
      </c>
      <c r="J1690">
        <v>0</v>
      </c>
      <c r="K1690">
        <v>48339.28</v>
      </c>
    </row>
    <row r="1691" spans="1:11" x14ac:dyDescent="0.35">
      <c r="A1691">
        <v>7000000278</v>
      </c>
      <c r="B1691">
        <v>9400006473</v>
      </c>
      <c r="C1691" s="10">
        <v>46154</v>
      </c>
      <c r="D1691" t="s">
        <v>2032</v>
      </c>
      <c r="E1691" s="11">
        <v>18633827</v>
      </c>
      <c r="F1691" t="s">
        <v>513</v>
      </c>
      <c r="G1691" t="s">
        <v>514</v>
      </c>
      <c r="H1691" s="10">
        <v>46199</v>
      </c>
      <c r="I1691">
        <v>67175.039999999994</v>
      </c>
      <c r="J1691">
        <v>0</v>
      </c>
      <c r="K1691">
        <v>67175.039999999994</v>
      </c>
    </row>
    <row r="1692" spans="1:11" x14ac:dyDescent="0.35">
      <c r="A1692">
        <v>7000000277</v>
      </c>
      <c r="B1692">
        <v>9400006471</v>
      </c>
      <c r="C1692" s="10">
        <v>46154</v>
      </c>
      <c r="D1692" t="s">
        <v>2032</v>
      </c>
      <c r="E1692" s="11">
        <v>18633827</v>
      </c>
      <c r="F1692" t="s">
        <v>513</v>
      </c>
      <c r="G1692" t="s">
        <v>514</v>
      </c>
      <c r="H1692" s="10">
        <v>46199</v>
      </c>
      <c r="I1692">
        <v>14436.12</v>
      </c>
      <c r="J1692">
        <v>0</v>
      </c>
      <c r="K1692">
        <v>14436.12</v>
      </c>
    </row>
    <row r="1693" spans="1:11" x14ac:dyDescent="0.35">
      <c r="A1693">
        <v>7000000276</v>
      </c>
      <c r="B1693">
        <v>9400006469</v>
      </c>
      <c r="C1693" s="10">
        <v>46154</v>
      </c>
      <c r="D1693" t="s">
        <v>2032</v>
      </c>
      <c r="E1693" s="11">
        <v>18633827</v>
      </c>
      <c r="F1693" t="s">
        <v>513</v>
      </c>
      <c r="G1693" t="s">
        <v>514</v>
      </c>
      <c r="H1693" s="10">
        <v>46199</v>
      </c>
      <c r="I1693">
        <v>15915.34</v>
      </c>
      <c r="J1693">
        <v>0</v>
      </c>
      <c r="K1693">
        <v>15915.34</v>
      </c>
    </row>
    <row r="1694" spans="1:11" x14ac:dyDescent="0.35">
      <c r="A1694">
        <v>9300000347</v>
      </c>
      <c r="B1694">
        <v>9400006445</v>
      </c>
      <c r="C1694" s="10">
        <v>46153</v>
      </c>
      <c r="D1694" t="s">
        <v>2032</v>
      </c>
      <c r="E1694" s="11">
        <v>18623222</v>
      </c>
      <c r="F1694" t="s">
        <v>251</v>
      </c>
      <c r="G1694" t="s">
        <v>252</v>
      </c>
      <c r="H1694" s="10">
        <v>46198</v>
      </c>
      <c r="I1694">
        <v>22705.56</v>
      </c>
      <c r="J1694">
        <v>0</v>
      </c>
      <c r="K1694">
        <v>22705.56</v>
      </c>
    </row>
    <row r="1695" spans="1:11" x14ac:dyDescent="0.35">
      <c r="A1695">
        <v>9300000346</v>
      </c>
      <c r="B1695">
        <v>9400006444</v>
      </c>
      <c r="C1695" s="10">
        <v>46153</v>
      </c>
      <c r="D1695" t="s">
        <v>2032</v>
      </c>
      <c r="E1695" s="11">
        <v>18623196</v>
      </c>
      <c r="F1695" t="s">
        <v>607</v>
      </c>
      <c r="G1695" t="s">
        <v>608</v>
      </c>
      <c r="H1695" s="10">
        <v>46198</v>
      </c>
      <c r="I1695">
        <v>96892.160000000003</v>
      </c>
      <c r="J1695">
        <v>0</v>
      </c>
      <c r="K1695">
        <v>96892.160000000003</v>
      </c>
    </row>
    <row r="1696" spans="1:11" x14ac:dyDescent="0.35">
      <c r="A1696">
        <v>9300000345</v>
      </c>
      <c r="B1696">
        <v>9400006443</v>
      </c>
      <c r="C1696" s="10">
        <v>46153</v>
      </c>
      <c r="D1696" t="s">
        <v>2032</v>
      </c>
      <c r="E1696" s="11">
        <v>18623146</v>
      </c>
      <c r="F1696" t="s">
        <v>609</v>
      </c>
      <c r="G1696" t="s">
        <v>610</v>
      </c>
      <c r="H1696" s="10">
        <v>46198</v>
      </c>
      <c r="I1696">
        <v>250752.36</v>
      </c>
      <c r="J1696">
        <v>0</v>
      </c>
      <c r="K1696">
        <v>250752.36</v>
      </c>
    </row>
    <row r="1697" spans="1:11" x14ac:dyDescent="0.35">
      <c r="A1697">
        <v>9200000422</v>
      </c>
      <c r="B1697">
        <v>9400006441</v>
      </c>
      <c r="C1697" s="10">
        <v>46153</v>
      </c>
      <c r="D1697" t="s">
        <v>2032</v>
      </c>
      <c r="E1697" s="11">
        <v>18633453</v>
      </c>
      <c r="F1697" t="s">
        <v>611</v>
      </c>
      <c r="G1697" t="s">
        <v>612</v>
      </c>
      <c r="H1697" s="10">
        <v>46198</v>
      </c>
      <c r="I1697">
        <v>116097.84</v>
      </c>
      <c r="J1697">
        <v>0</v>
      </c>
      <c r="K1697">
        <v>116097.84</v>
      </c>
    </row>
    <row r="1698" spans="1:11" x14ac:dyDescent="0.35">
      <c r="A1698">
        <v>9300000344</v>
      </c>
      <c r="B1698">
        <v>9400006438</v>
      </c>
      <c r="C1698" s="10">
        <v>46153</v>
      </c>
      <c r="D1698" t="s">
        <v>2032</v>
      </c>
      <c r="E1698" s="11">
        <v>18623016</v>
      </c>
      <c r="F1698" t="s">
        <v>417</v>
      </c>
      <c r="G1698" t="s">
        <v>418</v>
      </c>
      <c r="H1698" s="10">
        <v>46198</v>
      </c>
      <c r="I1698">
        <v>277938.36</v>
      </c>
      <c r="J1698">
        <v>0</v>
      </c>
      <c r="K1698">
        <v>277938.36</v>
      </c>
    </row>
    <row r="1699" spans="1:11" x14ac:dyDescent="0.35">
      <c r="A1699">
        <v>9100000541</v>
      </c>
      <c r="B1699">
        <v>9400006432</v>
      </c>
      <c r="C1699" s="10">
        <v>46153</v>
      </c>
      <c r="D1699" t="s">
        <v>2032</v>
      </c>
      <c r="E1699" s="11">
        <v>18633388</v>
      </c>
      <c r="F1699" t="s">
        <v>196</v>
      </c>
      <c r="G1699" t="s">
        <v>197</v>
      </c>
      <c r="H1699" s="10">
        <v>46198</v>
      </c>
      <c r="I1699">
        <v>14024.9</v>
      </c>
      <c r="J1699">
        <v>0</v>
      </c>
      <c r="K1699">
        <v>14024.9</v>
      </c>
    </row>
    <row r="1700" spans="1:11" x14ac:dyDescent="0.35">
      <c r="A1700">
        <v>9300000343</v>
      </c>
      <c r="B1700">
        <v>9400006429</v>
      </c>
      <c r="C1700" s="10">
        <v>46153</v>
      </c>
      <c r="D1700" t="s">
        <v>2032</v>
      </c>
      <c r="E1700" s="11">
        <v>18623016</v>
      </c>
      <c r="F1700" t="s">
        <v>280</v>
      </c>
      <c r="G1700" t="s">
        <v>281</v>
      </c>
      <c r="H1700" s="10">
        <v>46198</v>
      </c>
      <c r="I1700">
        <v>54280.94</v>
      </c>
      <c r="J1700">
        <v>0</v>
      </c>
      <c r="K1700">
        <v>54280.94</v>
      </c>
    </row>
    <row r="1701" spans="1:11" x14ac:dyDescent="0.35">
      <c r="A1701">
        <v>9300000342</v>
      </c>
      <c r="B1701">
        <v>9400006424</v>
      </c>
      <c r="C1701" s="10">
        <v>46153</v>
      </c>
      <c r="D1701" t="s">
        <v>2032</v>
      </c>
      <c r="E1701" s="11">
        <v>18623013</v>
      </c>
      <c r="F1701" t="s">
        <v>615</v>
      </c>
      <c r="G1701" t="s">
        <v>616</v>
      </c>
      <c r="H1701" s="10">
        <v>46198</v>
      </c>
      <c r="I1701">
        <v>45411.12</v>
      </c>
      <c r="J1701">
        <v>0</v>
      </c>
      <c r="K1701">
        <v>45411.12</v>
      </c>
    </row>
    <row r="1702" spans="1:11" x14ac:dyDescent="0.35">
      <c r="A1702">
        <v>2720000178</v>
      </c>
      <c r="B1702">
        <v>9400006422</v>
      </c>
      <c r="C1702" s="10">
        <v>46153</v>
      </c>
      <c r="D1702" t="s">
        <v>2032</v>
      </c>
      <c r="E1702" s="11">
        <v>18633389</v>
      </c>
      <c r="F1702" t="s">
        <v>567</v>
      </c>
      <c r="G1702" t="s">
        <v>568</v>
      </c>
      <c r="H1702" s="10">
        <v>46198</v>
      </c>
      <c r="I1702">
        <v>61354.34</v>
      </c>
      <c r="J1702">
        <v>0</v>
      </c>
      <c r="K1702">
        <v>61354.34</v>
      </c>
    </row>
    <row r="1703" spans="1:11" x14ac:dyDescent="0.35">
      <c r="A1703">
        <v>9200000419</v>
      </c>
      <c r="B1703">
        <v>9400006419</v>
      </c>
      <c r="C1703" s="10">
        <v>46153</v>
      </c>
      <c r="D1703" t="s">
        <v>2032</v>
      </c>
      <c r="E1703" s="11">
        <v>18633468</v>
      </c>
      <c r="F1703" t="s">
        <v>617</v>
      </c>
      <c r="G1703" t="s">
        <v>618</v>
      </c>
      <c r="H1703" s="10">
        <v>46198</v>
      </c>
      <c r="I1703">
        <v>40634.239999999998</v>
      </c>
      <c r="J1703">
        <v>0</v>
      </c>
      <c r="K1703">
        <v>40634.239999999998</v>
      </c>
    </row>
    <row r="1704" spans="1:11" x14ac:dyDescent="0.35">
      <c r="A1704">
        <v>2710000423</v>
      </c>
      <c r="B1704">
        <v>9400006415</v>
      </c>
      <c r="C1704" s="10">
        <v>46153</v>
      </c>
      <c r="D1704" t="s">
        <v>2032</v>
      </c>
      <c r="E1704" s="11">
        <v>18633421</v>
      </c>
      <c r="F1704" t="s">
        <v>503</v>
      </c>
      <c r="G1704" t="s">
        <v>504</v>
      </c>
      <c r="H1704" s="10">
        <v>46198</v>
      </c>
      <c r="I1704">
        <v>14308.12</v>
      </c>
      <c r="J1704">
        <v>0</v>
      </c>
      <c r="K1704">
        <v>14308.12</v>
      </c>
    </row>
    <row r="1705" spans="1:11" x14ac:dyDescent="0.35">
      <c r="A1705">
        <v>9300000341</v>
      </c>
      <c r="B1705">
        <v>9400006412</v>
      </c>
      <c r="C1705" s="10">
        <v>46153</v>
      </c>
      <c r="D1705" t="s">
        <v>2032</v>
      </c>
      <c r="E1705" s="11">
        <v>18623000</v>
      </c>
      <c r="F1705" t="s">
        <v>621</v>
      </c>
      <c r="G1705" t="s">
        <v>622</v>
      </c>
      <c r="H1705" s="10">
        <v>46198</v>
      </c>
      <c r="I1705">
        <v>43073.1</v>
      </c>
      <c r="J1705">
        <v>0</v>
      </c>
      <c r="K1705">
        <v>43073.1</v>
      </c>
    </row>
    <row r="1706" spans="1:11" x14ac:dyDescent="0.35">
      <c r="A1706">
        <v>2710000422</v>
      </c>
      <c r="B1706">
        <v>9400006410</v>
      </c>
      <c r="C1706" s="10">
        <v>46153</v>
      </c>
      <c r="D1706" t="s">
        <v>2032</v>
      </c>
      <c r="E1706" s="11">
        <v>18633421</v>
      </c>
      <c r="F1706" t="s">
        <v>503</v>
      </c>
      <c r="G1706" t="s">
        <v>504</v>
      </c>
      <c r="H1706" s="10">
        <v>46167</v>
      </c>
      <c r="I1706">
        <v>22814.04</v>
      </c>
      <c r="J1706">
        <v>0</v>
      </c>
      <c r="K1706">
        <v>22814.04</v>
      </c>
    </row>
    <row r="1707" spans="1:11" x14ac:dyDescent="0.35">
      <c r="A1707">
        <v>2710000421</v>
      </c>
      <c r="B1707">
        <v>9400006408</v>
      </c>
      <c r="C1707" s="10">
        <v>46153</v>
      </c>
      <c r="D1707" t="s">
        <v>2032</v>
      </c>
      <c r="E1707" s="11">
        <v>18633420</v>
      </c>
      <c r="F1707" t="s">
        <v>623</v>
      </c>
      <c r="G1707" t="s">
        <v>624</v>
      </c>
      <c r="H1707" s="10">
        <v>46198</v>
      </c>
      <c r="I1707">
        <v>9995.42</v>
      </c>
      <c r="J1707">
        <v>0</v>
      </c>
      <c r="K1707">
        <v>9995.42</v>
      </c>
    </row>
    <row r="1708" spans="1:11" x14ac:dyDescent="0.35">
      <c r="A1708">
        <v>5100000414</v>
      </c>
      <c r="B1708">
        <v>9400006407</v>
      </c>
      <c r="C1708" s="10">
        <v>46153</v>
      </c>
      <c r="D1708" t="s">
        <v>2032</v>
      </c>
      <c r="E1708" s="11">
        <v>18633409</v>
      </c>
      <c r="F1708" t="s">
        <v>298</v>
      </c>
      <c r="G1708" t="s">
        <v>299</v>
      </c>
      <c r="H1708" s="10">
        <v>46198</v>
      </c>
      <c r="I1708">
        <v>22254.42</v>
      </c>
      <c r="J1708">
        <v>0</v>
      </c>
      <c r="K1708">
        <v>22254.42</v>
      </c>
    </row>
    <row r="1709" spans="1:11" x14ac:dyDescent="0.35">
      <c r="A1709">
        <v>2710000418</v>
      </c>
      <c r="B1709">
        <v>9400006398</v>
      </c>
      <c r="C1709" s="10">
        <v>46153</v>
      </c>
      <c r="D1709" t="s">
        <v>2032</v>
      </c>
      <c r="E1709" s="11">
        <v>18622845</v>
      </c>
      <c r="F1709" t="s">
        <v>70</v>
      </c>
      <c r="G1709" t="s">
        <v>71</v>
      </c>
      <c r="H1709" s="10">
        <v>46198</v>
      </c>
      <c r="I1709">
        <v>13123.35</v>
      </c>
      <c r="J1709">
        <v>0</v>
      </c>
      <c r="K1709">
        <v>13123.35</v>
      </c>
    </row>
    <row r="1710" spans="1:11" x14ac:dyDescent="0.35">
      <c r="A1710">
        <v>9200000416</v>
      </c>
      <c r="B1710">
        <v>9400006386</v>
      </c>
      <c r="C1710" s="10">
        <v>46153</v>
      </c>
      <c r="D1710" t="s">
        <v>2032</v>
      </c>
      <c r="E1710" s="11">
        <v>18622986</v>
      </c>
      <c r="F1710" t="s">
        <v>517</v>
      </c>
      <c r="G1710" t="s">
        <v>518</v>
      </c>
      <c r="H1710" s="10">
        <v>46198</v>
      </c>
      <c r="I1710">
        <v>28458.54</v>
      </c>
      <c r="J1710">
        <v>0</v>
      </c>
      <c r="K1710">
        <v>28458.54</v>
      </c>
    </row>
    <row r="1711" spans="1:11" x14ac:dyDescent="0.35">
      <c r="A1711">
        <v>2720000176</v>
      </c>
      <c r="B1711">
        <v>9400006383</v>
      </c>
      <c r="C1711" s="10">
        <v>46153</v>
      </c>
      <c r="D1711" t="s">
        <v>2032</v>
      </c>
      <c r="E1711" s="11">
        <v>18623269</v>
      </c>
      <c r="F1711" t="s">
        <v>575</v>
      </c>
      <c r="G1711" t="s">
        <v>576</v>
      </c>
      <c r="H1711" s="10">
        <v>46198</v>
      </c>
      <c r="I1711">
        <v>25158.9</v>
      </c>
      <c r="J1711">
        <v>0</v>
      </c>
      <c r="K1711">
        <v>25158.9</v>
      </c>
    </row>
    <row r="1712" spans="1:11" x14ac:dyDescent="0.35">
      <c r="A1712">
        <v>9200000408</v>
      </c>
      <c r="B1712">
        <v>9400006353</v>
      </c>
      <c r="C1712" s="10">
        <v>46153</v>
      </c>
      <c r="D1712" t="s">
        <v>2032</v>
      </c>
      <c r="E1712" s="11">
        <v>18623031</v>
      </c>
      <c r="F1712" t="s">
        <v>425</v>
      </c>
      <c r="G1712" t="s">
        <v>426</v>
      </c>
      <c r="H1712" s="10">
        <v>46198</v>
      </c>
      <c r="I1712">
        <v>108326.62</v>
      </c>
      <c r="J1712">
        <v>0</v>
      </c>
      <c r="K1712">
        <v>108326.62</v>
      </c>
    </row>
    <row r="1713" spans="1:11" x14ac:dyDescent="0.35">
      <c r="A1713">
        <v>2300000267</v>
      </c>
      <c r="B1713">
        <v>9400006324</v>
      </c>
      <c r="C1713" s="10">
        <v>46153</v>
      </c>
      <c r="D1713" t="s">
        <v>2032</v>
      </c>
      <c r="E1713" s="11">
        <v>18623187</v>
      </c>
      <c r="F1713" t="s">
        <v>585</v>
      </c>
      <c r="G1713" t="s">
        <v>586</v>
      </c>
      <c r="H1713" s="10">
        <v>46198</v>
      </c>
      <c r="I1713">
        <v>182642.76</v>
      </c>
      <c r="J1713">
        <v>0</v>
      </c>
      <c r="K1713">
        <v>182642.76</v>
      </c>
    </row>
    <row r="1714" spans="1:11" x14ac:dyDescent="0.35">
      <c r="A1714">
        <v>5200000163</v>
      </c>
      <c r="B1714">
        <v>9400006239</v>
      </c>
      <c r="C1714" s="10">
        <v>46153</v>
      </c>
      <c r="D1714" t="s">
        <v>2032</v>
      </c>
      <c r="E1714" s="11">
        <v>983</v>
      </c>
      <c r="F1714" t="s">
        <v>639</v>
      </c>
      <c r="G1714" t="s">
        <v>640</v>
      </c>
      <c r="H1714" s="10">
        <v>46198</v>
      </c>
      <c r="I1714">
        <v>34.229999999999997</v>
      </c>
      <c r="J1714">
        <v>0</v>
      </c>
      <c r="K1714">
        <v>34.229999999999997</v>
      </c>
    </row>
    <row r="1715" spans="1:11" x14ac:dyDescent="0.35">
      <c r="A1715">
        <v>2000000123</v>
      </c>
      <c r="B1715">
        <v>9400006216</v>
      </c>
      <c r="C1715" s="10">
        <v>46153</v>
      </c>
      <c r="D1715" t="s">
        <v>2032</v>
      </c>
      <c r="E1715" s="11">
        <v>18612056</v>
      </c>
      <c r="F1715" t="s">
        <v>641</v>
      </c>
      <c r="G1715" t="s">
        <v>642</v>
      </c>
      <c r="H1715" s="10">
        <v>46153</v>
      </c>
      <c r="I1715">
        <v>5119.08</v>
      </c>
      <c r="J1715">
        <v>69.73</v>
      </c>
      <c r="K1715">
        <v>5049.3500000000004</v>
      </c>
    </row>
    <row r="1716" spans="1:11" x14ac:dyDescent="0.35">
      <c r="A1716">
        <v>5200000162</v>
      </c>
      <c r="B1716">
        <v>9400006222</v>
      </c>
      <c r="C1716" s="10">
        <v>46151</v>
      </c>
      <c r="D1716" t="s">
        <v>2032</v>
      </c>
      <c r="E1716" s="11">
        <v>18622263</v>
      </c>
      <c r="F1716" t="s">
        <v>639</v>
      </c>
      <c r="G1716" t="s">
        <v>640</v>
      </c>
      <c r="H1716" s="10">
        <v>46196</v>
      </c>
      <c r="I1716">
        <v>248150.94</v>
      </c>
      <c r="J1716">
        <v>0</v>
      </c>
      <c r="K1716">
        <v>248150.94</v>
      </c>
    </row>
    <row r="1717" spans="1:11" x14ac:dyDescent="0.35">
      <c r="A1717">
        <v>3000000461</v>
      </c>
      <c r="B1717">
        <v>9400006218</v>
      </c>
      <c r="C1717" s="10">
        <v>46151</v>
      </c>
      <c r="D1717" t="s">
        <v>2032</v>
      </c>
      <c r="E1717" s="11">
        <v>18622157</v>
      </c>
      <c r="F1717" t="s">
        <v>643</v>
      </c>
      <c r="G1717" t="s">
        <v>644</v>
      </c>
      <c r="H1717" s="10">
        <v>46196</v>
      </c>
      <c r="I1717">
        <v>14755.71</v>
      </c>
      <c r="J1717">
        <v>0</v>
      </c>
      <c r="K1717">
        <v>14755.71</v>
      </c>
    </row>
    <row r="1718" spans="1:11" x14ac:dyDescent="0.35">
      <c r="A1718">
        <v>5100000405</v>
      </c>
      <c r="B1718">
        <v>9400006214</v>
      </c>
      <c r="C1718" s="10">
        <v>46151</v>
      </c>
      <c r="D1718" t="s">
        <v>2032</v>
      </c>
      <c r="E1718" s="11">
        <v>18591234</v>
      </c>
      <c r="F1718" t="s">
        <v>211</v>
      </c>
      <c r="G1718" t="s">
        <v>212</v>
      </c>
      <c r="H1718" s="10">
        <v>46196</v>
      </c>
      <c r="I1718">
        <v>40186.080000000002</v>
      </c>
      <c r="J1718">
        <v>0</v>
      </c>
      <c r="K1718">
        <v>40186.080000000002</v>
      </c>
    </row>
    <row r="1719" spans="1:11" x14ac:dyDescent="0.35">
      <c r="A1719">
        <v>2300000258</v>
      </c>
      <c r="B1719">
        <v>9400006207</v>
      </c>
      <c r="C1719" s="10">
        <v>46151</v>
      </c>
      <c r="D1719" t="s">
        <v>2032</v>
      </c>
      <c r="E1719" s="11">
        <v>18622508</v>
      </c>
      <c r="F1719" t="s">
        <v>645</v>
      </c>
      <c r="G1719" t="s">
        <v>646</v>
      </c>
      <c r="H1719" s="10">
        <v>46196</v>
      </c>
      <c r="I1719">
        <v>38669.54</v>
      </c>
      <c r="J1719">
        <v>0</v>
      </c>
      <c r="K1719">
        <v>38669.54</v>
      </c>
    </row>
    <row r="1720" spans="1:11" x14ac:dyDescent="0.35">
      <c r="A1720">
        <v>2300000257</v>
      </c>
      <c r="B1720">
        <v>9400006206</v>
      </c>
      <c r="C1720" s="10">
        <v>46151</v>
      </c>
      <c r="D1720" t="s">
        <v>2032</v>
      </c>
      <c r="E1720" s="11">
        <v>18622491</v>
      </c>
      <c r="F1720" t="s">
        <v>647</v>
      </c>
      <c r="G1720" t="s">
        <v>648</v>
      </c>
      <c r="H1720" s="10">
        <v>46196</v>
      </c>
      <c r="I1720">
        <v>21494.880000000001</v>
      </c>
      <c r="J1720">
        <v>0</v>
      </c>
      <c r="K1720">
        <v>21494.880000000001</v>
      </c>
    </row>
    <row r="1721" spans="1:11" x14ac:dyDescent="0.35">
      <c r="A1721">
        <v>9300000332</v>
      </c>
      <c r="B1721">
        <v>9400006204</v>
      </c>
      <c r="C1721" s="10">
        <v>46151</v>
      </c>
      <c r="D1721" t="s">
        <v>2032</v>
      </c>
      <c r="E1721" s="11">
        <v>18580434</v>
      </c>
      <c r="F1721" t="s">
        <v>649</v>
      </c>
      <c r="G1721" t="s">
        <v>650</v>
      </c>
      <c r="H1721" s="10">
        <v>46196</v>
      </c>
      <c r="I1721">
        <v>49236.04</v>
      </c>
      <c r="J1721">
        <v>0</v>
      </c>
      <c r="K1721">
        <v>49236.04</v>
      </c>
    </row>
    <row r="1722" spans="1:11" x14ac:dyDescent="0.35">
      <c r="A1722">
        <v>9300000331</v>
      </c>
      <c r="B1722">
        <v>9400006197</v>
      </c>
      <c r="C1722" s="10">
        <v>46151</v>
      </c>
      <c r="D1722" t="s">
        <v>2032</v>
      </c>
      <c r="E1722" s="11">
        <v>18580486</v>
      </c>
      <c r="F1722" t="s">
        <v>651</v>
      </c>
      <c r="G1722" t="s">
        <v>652</v>
      </c>
      <c r="H1722" s="10">
        <v>46196</v>
      </c>
      <c r="I1722">
        <v>48319.3</v>
      </c>
      <c r="J1722">
        <v>0</v>
      </c>
      <c r="K1722">
        <v>48319.3</v>
      </c>
    </row>
    <row r="1723" spans="1:11" x14ac:dyDescent="0.35">
      <c r="A1723">
        <v>9300000330</v>
      </c>
      <c r="B1723">
        <v>9400006196</v>
      </c>
      <c r="C1723" s="10">
        <v>46151</v>
      </c>
      <c r="D1723" t="s">
        <v>2032</v>
      </c>
      <c r="E1723" s="11">
        <v>18580486</v>
      </c>
      <c r="F1723" t="s">
        <v>651</v>
      </c>
      <c r="G1723" t="s">
        <v>652</v>
      </c>
      <c r="H1723" s="10">
        <v>46196</v>
      </c>
      <c r="I1723">
        <v>30868.799999999999</v>
      </c>
      <c r="J1723">
        <v>0</v>
      </c>
      <c r="K1723">
        <v>30868.799999999999</v>
      </c>
    </row>
    <row r="1724" spans="1:11" x14ac:dyDescent="0.35">
      <c r="A1724">
        <v>9100000532</v>
      </c>
      <c r="B1724">
        <v>9400006194</v>
      </c>
      <c r="C1724" s="10">
        <v>46151</v>
      </c>
      <c r="D1724" t="s">
        <v>2032</v>
      </c>
      <c r="E1724" s="11">
        <v>18622415</v>
      </c>
      <c r="F1724" t="s">
        <v>116</v>
      </c>
      <c r="G1724" t="s">
        <v>117</v>
      </c>
      <c r="H1724" s="10">
        <v>46196</v>
      </c>
      <c r="I1724">
        <v>28645.439999999999</v>
      </c>
      <c r="J1724">
        <v>0</v>
      </c>
      <c r="K1724">
        <v>28645.439999999999</v>
      </c>
    </row>
    <row r="1725" spans="1:11" x14ac:dyDescent="0.35">
      <c r="A1725">
        <v>9200000403</v>
      </c>
      <c r="B1725">
        <v>9400006187</v>
      </c>
      <c r="C1725" s="10">
        <v>46151</v>
      </c>
      <c r="D1725" t="s">
        <v>2032</v>
      </c>
      <c r="E1725" s="11">
        <v>18622460</v>
      </c>
      <c r="F1725" t="s">
        <v>653</v>
      </c>
      <c r="G1725" t="s">
        <v>654</v>
      </c>
      <c r="H1725" s="10">
        <v>46196</v>
      </c>
      <c r="I1725">
        <v>63404.24</v>
      </c>
      <c r="J1725">
        <v>0</v>
      </c>
      <c r="K1725">
        <v>63404.24</v>
      </c>
    </row>
    <row r="1726" spans="1:11" x14ac:dyDescent="0.35">
      <c r="A1726">
        <v>2300000250</v>
      </c>
      <c r="B1726">
        <v>9400006185</v>
      </c>
      <c r="C1726" s="10">
        <v>46151</v>
      </c>
      <c r="D1726" t="s">
        <v>2032</v>
      </c>
      <c r="E1726" s="11">
        <v>18622405</v>
      </c>
      <c r="F1726" t="s">
        <v>655</v>
      </c>
      <c r="G1726" t="s">
        <v>656</v>
      </c>
      <c r="H1726" s="10">
        <v>46196</v>
      </c>
      <c r="I1726">
        <v>142055.48000000001</v>
      </c>
      <c r="J1726">
        <v>0</v>
      </c>
      <c r="K1726">
        <v>142055.48000000001</v>
      </c>
    </row>
    <row r="1727" spans="1:11" x14ac:dyDescent="0.35">
      <c r="A1727">
        <v>9200000402</v>
      </c>
      <c r="B1727">
        <v>9400006184</v>
      </c>
      <c r="C1727" s="10">
        <v>46151</v>
      </c>
      <c r="D1727" t="s">
        <v>2032</v>
      </c>
      <c r="E1727" s="11">
        <v>18622427</v>
      </c>
      <c r="F1727" t="s">
        <v>206</v>
      </c>
      <c r="G1727" t="s">
        <v>207</v>
      </c>
      <c r="H1727" s="10">
        <v>46196</v>
      </c>
      <c r="I1727">
        <v>16924.740000000002</v>
      </c>
      <c r="J1727">
        <v>0</v>
      </c>
      <c r="K1727">
        <v>16924.740000000002</v>
      </c>
    </row>
    <row r="1728" spans="1:11" x14ac:dyDescent="0.35">
      <c r="A1728">
        <v>2710000413</v>
      </c>
      <c r="B1728">
        <v>9400006180</v>
      </c>
      <c r="C1728" s="10">
        <v>46151</v>
      </c>
      <c r="D1728" t="s">
        <v>2032</v>
      </c>
      <c r="E1728" s="11" t="s">
        <v>2049</v>
      </c>
      <c r="F1728" t="s">
        <v>657</v>
      </c>
      <c r="G1728" t="s">
        <v>658</v>
      </c>
      <c r="H1728" s="10">
        <v>46196</v>
      </c>
      <c r="I1728">
        <v>10221.26</v>
      </c>
      <c r="J1728">
        <v>0</v>
      </c>
      <c r="K1728">
        <v>10221.26</v>
      </c>
    </row>
    <row r="1729" spans="1:11" x14ac:dyDescent="0.35">
      <c r="A1729">
        <v>2710000411</v>
      </c>
      <c r="B1729">
        <v>9400006178</v>
      </c>
      <c r="C1729" s="10">
        <v>46151</v>
      </c>
      <c r="D1729" t="s">
        <v>2032</v>
      </c>
      <c r="E1729" s="11">
        <v>18622222</v>
      </c>
      <c r="F1729" t="s">
        <v>72</v>
      </c>
      <c r="G1729" t="s">
        <v>73</v>
      </c>
      <c r="H1729" s="10">
        <v>46196</v>
      </c>
      <c r="I1729">
        <v>21521.93</v>
      </c>
      <c r="J1729">
        <v>0</v>
      </c>
      <c r="K1729">
        <v>21521.93</v>
      </c>
    </row>
    <row r="1730" spans="1:11" x14ac:dyDescent="0.35">
      <c r="A1730">
        <v>2710000410</v>
      </c>
      <c r="B1730">
        <v>9400006177</v>
      </c>
      <c r="C1730" s="10">
        <v>46151</v>
      </c>
      <c r="D1730" t="s">
        <v>2032</v>
      </c>
      <c r="E1730" s="11">
        <v>18622222</v>
      </c>
      <c r="F1730" t="s">
        <v>72</v>
      </c>
      <c r="G1730" t="s">
        <v>73</v>
      </c>
      <c r="H1730" s="10">
        <v>46165</v>
      </c>
      <c r="I1730">
        <v>4095.07</v>
      </c>
      <c r="J1730">
        <v>0</v>
      </c>
      <c r="K1730">
        <v>4095.07</v>
      </c>
    </row>
    <row r="1731" spans="1:11" x14ac:dyDescent="0.35">
      <c r="A1731">
        <v>2710000409</v>
      </c>
      <c r="B1731">
        <v>9400006176</v>
      </c>
      <c r="C1731" s="10">
        <v>46151</v>
      </c>
      <c r="D1731" t="s">
        <v>2032</v>
      </c>
      <c r="E1731" s="11">
        <v>18612061</v>
      </c>
      <c r="F1731" t="s">
        <v>148</v>
      </c>
      <c r="G1731" t="s">
        <v>149</v>
      </c>
      <c r="H1731" s="10">
        <v>46196</v>
      </c>
      <c r="I1731">
        <v>9995.42</v>
      </c>
      <c r="J1731">
        <v>0</v>
      </c>
      <c r="K1731">
        <v>9995.42</v>
      </c>
    </row>
    <row r="1732" spans="1:11" x14ac:dyDescent="0.35">
      <c r="A1732">
        <v>9100000531</v>
      </c>
      <c r="B1732">
        <v>9400006174</v>
      </c>
      <c r="C1732" s="10">
        <v>46151</v>
      </c>
      <c r="D1732" t="s">
        <v>2032</v>
      </c>
      <c r="E1732" s="11">
        <v>52654123</v>
      </c>
      <c r="F1732" t="s">
        <v>501</v>
      </c>
      <c r="G1732" t="s">
        <v>502</v>
      </c>
      <c r="H1732" s="10">
        <v>46196</v>
      </c>
      <c r="I1732">
        <v>17786.38</v>
      </c>
      <c r="J1732">
        <v>0</v>
      </c>
      <c r="K1732">
        <v>17786.38</v>
      </c>
    </row>
    <row r="1733" spans="1:11" x14ac:dyDescent="0.35">
      <c r="A1733">
        <v>9200000400</v>
      </c>
      <c r="B1733">
        <v>9400006164</v>
      </c>
      <c r="C1733" s="10">
        <v>46151</v>
      </c>
      <c r="D1733" t="s">
        <v>2032</v>
      </c>
      <c r="E1733" s="11">
        <v>18622286</v>
      </c>
      <c r="F1733" t="s">
        <v>124</v>
      </c>
      <c r="G1733" t="s">
        <v>125</v>
      </c>
      <c r="H1733" s="10">
        <v>46196</v>
      </c>
      <c r="I1733">
        <v>11283.16</v>
      </c>
      <c r="J1733">
        <v>0</v>
      </c>
      <c r="K1733">
        <v>11283.16</v>
      </c>
    </row>
    <row r="1734" spans="1:11" x14ac:dyDescent="0.35">
      <c r="A1734">
        <v>9200000399</v>
      </c>
      <c r="B1734">
        <v>9400006162</v>
      </c>
      <c r="C1734" s="10">
        <v>46151</v>
      </c>
      <c r="D1734" t="s">
        <v>2032</v>
      </c>
      <c r="E1734" s="11">
        <v>18622286</v>
      </c>
      <c r="F1734" t="s">
        <v>124</v>
      </c>
      <c r="G1734" t="s">
        <v>125</v>
      </c>
      <c r="H1734" s="10">
        <v>46196</v>
      </c>
      <c r="I1734">
        <v>16220.42</v>
      </c>
      <c r="J1734">
        <v>0</v>
      </c>
      <c r="K1734">
        <v>16220.42</v>
      </c>
    </row>
    <row r="1735" spans="1:11" x14ac:dyDescent="0.35">
      <c r="A1735">
        <v>2300000247</v>
      </c>
      <c r="B1735">
        <v>9400006156</v>
      </c>
      <c r="C1735" s="10">
        <v>46151</v>
      </c>
      <c r="D1735" t="s">
        <v>2032</v>
      </c>
      <c r="E1735" s="11">
        <v>18622312</v>
      </c>
      <c r="F1735" t="s">
        <v>659</v>
      </c>
      <c r="G1735" t="s">
        <v>660</v>
      </c>
      <c r="H1735" s="10">
        <v>46196</v>
      </c>
      <c r="I1735">
        <v>54578.3</v>
      </c>
      <c r="J1735">
        <v>0</v>
      </c>
      <c r="K1735">
        <v>54578.3</v>
      </c>
    </row>
    <row r="1736" spans="1:11" x14ac:dyDescent="0.35">
      <c r="A1736">
        <v>9200000398</v>
      </c>
      <c r="B1736">
        <v>9400006155</v>
      </c>
      <c r="C1736" s="10">
        <v>46151</v>
      </c>
      <c r="D1736" t="s">
        <v>2032</v>
      </c>
      <c r="E1736" s="11">
        <v>18622264</v>
      </c>
      <c r="F1736" t="s">
        <v>206</v>
      </c>
      <c r="G1736" t="s">
        <v>207</v>
      </c>
      <c r="H1736" s="10">
        <v>46196</v>
      </c>
      <c r="I1736">
        <v>62456.22</v>
      </c>
      <c r="J1736">
        <v>0</v>
      </c>
      <c r="K1736">
        <v>62456.22</v>
      </c>
    </row>
    <row r="1737" spans="1:11" x14ac:dyDescent="0.35">
      <c r="A1737">
        <v>8000000383</v>
      </c>
      <c r="B1737">
        <v>9400006138</v>
      </c>
      <c r="C1737" s="10">
        <v>46151</v>
      </c>
      <c r="D1737" t="s">
        <v>2032</v>
      </c>
      <c r="E1737" s="11">
        <v>18622266</v>
      </c>
      <c r="F1737" t="s">
        <v>661</v>
      </c>
      <c r="G1737" t="s">
        <v>662</v>
      </c>
      <c r="H1737" s="10">
        <v>46196</v>
      </c>
      <c r="I1737">
        <v>6534.26</v>
      </c>
      <c r="J1737">
        <v>0</v>
      </c>
      <c r="K1737">
        <v>6534.26</v>
      </c>
    </row>
    <row r="1738" spans="1:11" x14ac:dyDescent="0.35">
      <c r="A1738">
        <v>9100000528</v>
      </c>
      <c r="B1738">
        <v>9400006133</v>
      </c>
      <c r="C1738" s="10">
        <v>46151</v>
      </c>
      <c r="D1738" t="s">
        <v>2032</v>
      </c>
      <c r="E1738" s="11">
        <v>18601480</v>
      </c>
      <c r="F1738" t="s">
        <v>419</v>
      </c>
      <c r="G1738" t="s">
        <v>420</v>
      </c>
      <c r="H1738" s="10">
        <v>46196</v>
      </c>
      <c r="I1738">
        <v>28572.76</v>
      </c>
      <c r="J1738">
        <v>0</v>
      </c>
      <c r="K1738">
        <v>28572.76</v>
      </c>
    </row>
    <row r="1739" spans="1:11" x14ac:dyDescent="0.35">
      <c r="A1739">
        <v>9100000527</v>
      </c>
      <c r="B1739">
        <v>9400006131</v>
      </c>
      <c r="C1739" s="10">
        <v>46151</v>
      </c>
      <c r="D1739" t="s">
        <v>2032</v>
      </c>
      <c r="E1739" s="11">
        <v>18601480</v>
      </c>
      <c r="F1739" t="s">
        <v>419</v>
      </c>
      <c r="G1739" t="s">
        <v>420</v>
      </c>
      <c r="H1739" s="10">
        <v>46165</v>
      </c>
      <c r="I1739">
        <v>71083.199999999997</v>
      </c>
      <c r="J1739">
        <v>68061.070000000007</v>
      </c>
      <c r="K1739">
        <v>3022.1299999999901</v>
      </c>
    </row>
    <row r="1740" spans="1:11" x14ac:dyDescent="0.35">
      <c r="A1740">
        <v>9100000523</v>
      </c>
      <c r="B1740">
        <v>9400006112</v>
      </c>
      <c r="C1740" s="10">
        <v>46151</v>
      </c>
      <c r="D1740" t="s">
        <v>2032</v>
      </c>
      <c r="E1740" s="11">
        <v>18612054</v>
      </c>
      <c r="F1740" t="s">
        <v>525</v>
      </c>
      <c r="G1740" t="s">
        <v>526</v>
      </c>
      <c r="H1740" s="10">
        <v>46196</v>
      </c>
      <c r="I1740">
        <v>16551.62</v>
      </c>
      <c r="J1740">
        <v>0</v>
      </c>
      <c r="K1740">
        <v>16551.62</v>
      </c>
    </row>
    <row r="1741" spans="1:11" x14ac:dyDescent="0.35">
      <c r="A1741">
        <v>8000000378</v>
      </c>
      <c r="B1741">
        <v>9400006096</v>
      </c>
      <c r="C1741" s="10">
        <v>46151</v>
      </c>
      <c r="D1741" t="s">
        <v>2032</v>
      </c>
      <c r="E1741" s="11" t="s">
        <v>2033</v>
      </c>
      <c r="F1741" t="s">
        <v>669</v>
      </c>
      <c r="G1741" t="s">
        <v>670</v>
      </c>
      <c r="H1741" s="10">
        <v>46196</v>
      </c>
      <c r="I1741">
        <v>405.88</v>
      </c>
      <c r="J1741">
        <v>0</v>
      </c>
      <c r="K1741">
        <v>405.88</v>
      </c>
    </row>
    <row r="1742" spans="1:11" x14ac:dyDescent="0.35">
      <c r="A1742">
        <v>8000000377</v>
      </c>
      <c r="B1742">
        <v>9400006093</v>
      </c>
      <c r="C1742" s="10">
        <v>46151</v>
      </c>
      <c r="D1742" t="s">
        <v>2032</v>
      </c>
      <c r="E1742" s="11" t="s">
        <v>2033</v>
      </c>
      <c r="F1742" t="s">
        <v>673</v>
      </c>
      <c r="G1742" t="s">
        <v>674</v>
      </c>
      <c r="H1742" s="10">
        <v>46196</v>
      </c>
      <c r="I1742">
        <v>663.64</v>
      </c>
      <c r="J1742">
        <v>0</v>
      </c>
      <c r="K1742">
        <v>663.64</v>
      </c>
    </row>
    <row r="1743" spans="1:11" x14ac:dyDescent="0.35">
      <c r="A1743">
        <v>9300000327</v>
      </c>
      <c r="B1743">
        <v>9400006072</v>
      </c>
      <c r="C1743" s="10">
        <v>46150</v>
      </c>
      <c r="D1743" t="s">
        <v>2032</v>
      </c>
      <c r="E1743" s="11">
        <v>18601407</v>
      </c>
      <c r="F1743" t="s">
        <v>284</v>
      </c>
      <c r="G1743" t="s">
        <v>285</v>
      </c>
      <c r="H1743" s="10">
        <v>46195</v>
      </c>
      <c r="I1743">
        <v>19264.98</v>
      </c>
      <c r="J1743">
        <v>0</v>
      </c>
      <c r="K1743">
        <v>19264.98</v>
      </c>
    </row>
    <row r="1744" spans="1:11" x14ac:dyDescent="0.35">
      <c r="A1744">
        <v>2720000173</v>
      </c>
      <c r="B1744">
        <v>9400006069</v>
      </c>
      <c r="C1744" s="10">
        <v>46150</v>
      </c>
      <c r="D1744" t="s">
        <v>2032</v>
      </c>
      <c r="E1744" s="11">
        <v>18590973</v>
      </c>
      <c r="F1744" t="s">
        <v>154</v>
      </c>
      <c r="G1744" t="s">
        <v>155</v>
      </c>
      <c r="H1744" s="10">
        <v>46195</v>
      </c>
      <c r="I1744">
        <v>62807.64</v>
      </c>
      <c r="J1744">
        <v>0</v>
      </c>
      <c r="K1744">
        <v>62807.64</v>
      </c>
    </row>
    <row r="1745" spans="1:11" x14ac:dyDescent="0.35">
      <c r="A1745">
        <v>2710000400</v>
      </c>
      <c r="B1745">
        <v>9400006056</v>
      </c>
      <c r="C1745" s="10">
        <v>46150</v>
      </c>
      <c r="D1745" t="s">
        <v>2032</v>
      </c>
      <c r="E1745" s="11">
        <v>1076</v>
      </c>
      <c r="F1745" t="s">
        <v>679</v>
      </c>
      <c r="G1745" t="s">
        <v>680</v>
      </c>
      <c r="H1745" s="10">
        <v>46195</v>
      </c>
      <c r="I1745">
        <v>73.39</v>
      </c>
      <c r="J1745">
        <v>0</v>
      </c>
      <c r="K1745">
        <v>73.39</v>
      </c>
    </row>
    <row r="1746" spans="1:11" x14ac:dyDescent="0.35">
      <c r="A1746">
        <v>2710000399</v>
      </c>
      <c r="B1746">
        <v>9400006050</v>
      </c>
      <c r="C1746" s="10">
        <v>46150</v>
      </c>
      <c r="D1746" t="s">
        <v>2032</v>
      </c>
      <c r="E1746" s="11">
        <v>18601481</v>
      </c>
      <c r="F1746" t="s">
        <v>679</v>
      </c>
      <c r="G1746" t="s">
        <v>680</v>
      </c>
      <c r="H1746" s="10">
        <v>46195</v>
      </c>
      <c r="I1746">
        <v>9995.42</v>
      </c>
      <c r="J1746">
        <v>0</v>
      </c>
      <c r="K1746">
        <v>9995.42</v>
      </c>
    </row>
    <row r="1747" spans="1:11" x14ac:dyDescent="0.35">
      <c r="A1747">
        <v>9200000394</v>
      </c>
      <c r="B1747">
        <v>9400006029</v>
      </c>
      <c r="C1747" s="10">
        <v>46150</v>
      </c>
      <c r="D1747" t="s">
        <v>2032</v>
      </c>
      <c r="E1747" s="11">
        <v>18601372</v>
      </c>
      <c r="F1747" t="s">
        <v>103</v>
      </c>
      <c r="G1747" t="s">
        <v>104</v>
      </c>
      <c r="H1747" s="10">
        <v>46195</v>
      </c>
      <c r="I1747">
        <v>41477.480000000003</v>
      </c>
      <c r="J1747">
        <v>0</v>
      </c>
      <c r="K1747">
        <v>41477.480000000003</v>
      </c>
    </row>
    <row r="1748" spans="1:11" x14ac:dyDescent="0.35">
      <c r="A1748">
        <v>2710000392</v>
      </c>
      <c r="B1748">
        <v>9400006021</v>
      </c>
      <c r="C1748" s="10">
        <v>46150</v>
      </c>
      <c r="D1748" t="s">
        <v>2032</v>
      </c>
      <c r="E1748" s="11">
        <v>18591242</v>
      </c>
      <c r="F1748" t="s">
        <v>687</v>
      </c>
      <c r="G1748" t="s">
        <v>688</v>
      </c>
      <c r="H1748" s="10">
        <v>46195</v>
      </c>
      <c r="I1748">
        <v>15440.5</v>
      </c>
      <c r="J1748">
        <v>0</v>
      </c>
      <c r="K1748">
        <v>15440.5</v>
      </c>
    </row>
    <row r="1749" spans="1:11" x14ac:dyDescent="0.35">
      <c r="A1749">
        <v>2720000172</v>
      </c>
      <c r="B1749">
        <v>9400006014</v>
      </c>
      <c r="C1749" s="10">
        <v>46150</v>
      </c>
      <c r="D1749" t="s">
        <v>2032</v>
      </c>
      <c r="E1749" s="11">
        <v>18601531</v>
      </c>
      <c r="F1749" t="s">
        <v>261</v>
      </c>
      <c r="G1749" t="s">
        <v>262</v>
      </c>
      <c r="H1749" s="10">
        <v>46195</v>
      </c>
      <c r="I1749">
        <v>16915.099999999999</v>
      </c>
      <c r="J1749">
        <v>0</v>
      </c>
      <c r="K1749">
        <v>16915.099999999999</v>
      </c>
    </row>
    <row r="1750" spans="1:11" x14ac:dyDescent="0.35">
      <c r="A1750">
        <v>9300000325</v>
      </c>
      <c r="B1750">
        <v>9400005985</v>
      </c>
      <c r="C1750" s="10">
        <v>46150</v>
      </c>
      <c r="D1750" t="s">
        <v>2032</v>
      </c>
      <c r="E1750" s="11">
        <v>18580486</v>
      </c>
      <c r="F1750" t="s">
        <v>156</v>
      </c>
      <c r="G1750" t="s">
        <v>157</v>
      </c>
      <c r="H1750" s="10">
        <v>46195</v>
      </c>
      <c r="I1750">
        <v>79235.820000000007</v>
      </c>
      <c r="J1750">
        <v>0</v>
      </c>
      <c r="K1750">
        <v>79235.820000000007</v>
      </c>
    </row>
    <row r="1751" spans="1:11" x14ac:dyDescent="0.35">
      <c r="A1751">
        <v>9100000512</v>
      </c>
      <c r="B1751">
        <v>9400005975</v>
      </c>
      <c r="C1751" s="10">
        <v>46150</v>
      </c>
      <c r="D1751" t="s">
        <v>2032</v>
      </c>
      <c r="E1751" s="11">
        <v>18580436</v>
      </c>
      <c r="F1751" t="s">
        <v>345</v>
      </c>
      <c r="G1751" t="s">
        <v>346</v>
      </c>
      <c r="H1751" s="10">
        <v>46195</v>
      </c>
      <c r="I1751">
        <v>21122.61</v>
      </c>
      <c r="J1751">
        <v>0</v>
      </c>
      <c r="K1751">
        <v>21122.61</v>
      </c>
    </row>
    <row r="1752" spans="1:11" x14ac:dyDescent="0.35">
      <c r="A1752">
        <v>9100000511</v>
      </c>
      <c r="B1752">
        <v>9400005973</v>
      </c>
      <c r="C1752" s="10">
        <v>46150</v>
      </c>
      <c r="D1752" t="s">
        <v>2032</v>
      </c>
      <c r="E1752" s="11">
        <v>18580438</v>
      </c>
      <c r="F1752" t="s">
        <v>495</v>
      </c>
      <c r="G1752" t="s">
        <v>496</v>
      </c>
      <c r="H1752" s="10">
        <v>46195</v>
      </c>
      <c r="I1752">
        <v>36316.43</v>
      </c>
      <c r="J1752">
        <v>0</v>
      </c>
      <c r="K1752">
        <v>36316.43</v>
      </c>
    </row>
    <row r="1753" spans="1:11" x14ac:dyDescent="0.35">
      <c r="A1753">
        <v>9300000320</v>
      </c>
      <c r="B1753">
        <v>9400005891</v>
      </c>
      <c r="C1753" s="10">
        <v>46149</v>
      </c>
      <c r="D1753" t="s">
        <v>2032</v>
      </c>
      <c r="E1753" s="11">
        <v>18460770</v>
      </c>
      <c r="F1753" t="s">
        <v>421</v>
      </c>
      <c r="G1753" t="s">
        <v>422</v>
      </c>
      <c r="H1753" s="10">
        <v>46194</v>
      </c>
      <c r="I1753">
        <v>7375.7</v>
      </c>
      <c r="J1753">
        <v>0</v>
      </c>
      <c r="K1753">
        <v>7375.7</v>
      </c>
    </row>
    <row r="1754" spans="1:11" x14ac:dyDescent="0.35">
      <c r="A1754">
        <v>9300000319</v>
      </c>
      <c r="B1754">
        <v>9400005890</v>
      </c>
      <c r="C1754" s="10">
        <v>46149</v>
      </c>
      <c r="D1754" t="s">
        <v>2032</v>
      </c>
      <c r="E1754" s="11">
        <v>18460770</v>
      </c>
      <c r="F1754" t="s">
        <v>421</v>
      </c>
      <c r="G1754" t="s">
        <v>422</v>
      </c>
      <c r="H1754" s="10">
        <v>46194</v>
      </c>
      <c r="I1754">
        <v>26433.88</v>
      </c>
      <c r="J1754">
        <v>0</v>
      </c>
      <c r="K1754">
        <v>26433.88</v>
      </c>
    </row>
    <row r="1755" spans="1:11" x14ac:dyDescent="0.35">
      <c r="A1755">
        <v>9300000316</v>
      </c>
      <c r="B1755">
        <v>9400005884</v>
      </c>
      <c r="C1755" s="10">
        <v>46149</v>
      </c>
      <c r="D1755" t="s">
        <v>2032</v>
      </c>
      <c r="E1755" s="11">
        <v>18473113</v>
      </c>
      <c r="F1755" t="s">
        <v>251</v>
      </c>
      <c r="G1755" t="s">
        <v>252</v>
      </c>
      <c r="H1755" s="10">
        <v>46194</v>
      </c>
      <c r="I1755">
        <v>11395.96</v>
      </c>
      <c r="J1755">
        <v>0</v>
      </c>
      <c r="K1755">
        <v>11395.96</v>
      </c>
    </row>
    <row r="1756" spans="1:11" x14ac:dyDescent="0.35">
      <c r="A1756">
        <v>2730000248</v>
      </c>
      <c r="B1756">
        <v>9400005883</v>
      </c>
      <c r="C1756" s="10">
        <v>46149</v>
      </c>
      <c r="D1756" t="s">
        <v>2032</v>
      </c>
      <c r="E1756" s="11">
        <v>1078</v>
      </c>
      <c r="F1756" t="s">
        <v>120</v>
      </c>
      <c r="G1756" t="s">
        <v>121</v>
      </c>
      <c r="H1756" s="10">
        <v>46194</v>
      </c>
      <c r="I1756">
        <v>18867.62</v>
      </c>
      <c r="J1756">
        <v>0</v>
      </c>
      <c r="K1756">
        <v>18867.62</v>
      </c>
    </row>
    <row r="1757" spans="1:11" x14ac:dyDescent="0.35">
      <c r="A1757">
        <v>5100000397</v>
      </c>
      <c r="B1757">
        <v>9400005876</v>
      </c>
      <c r="C1757" s="10">
        <v>46149</v>
      </c>
      <c r="D1757" t="s">
        <v>2032</v>
      </c>
      <c r="E1757" s="11">
        <v>18590891</v>
      </c>
      <c r="F1757" t="s">
        <v>387</v>
      </c>
      <c r="G1757" t="s">
        <v>388</v>
      </c>
      <c r="H1757" s="10">
        <v>46194</v>
      </c>
      <c r="I1757">
        <v>19479.34</v>
      </c>
      <c r="J1757">
        <v>0</v>
      </c>
      <c r="K1757">
        <v>19479.34</v>
      </c>
    </row>
    <row r="1758" spans="1:11" x14ac:dyDescent="0.35">
      <c r="A1758">
        <v>5100000395</v>
      </c>
      <c r="B1758">
        <v>9400005869</v>
      </c>
      <c r="C1758" s="10">
        <v>46149</v>
      </c>
      <c r="D1758" t="s">
        <v>2032</v>
      </c>
      <c r="E1758" s="11">
        <v>18580550</v>
      </c>
      <c r="F1758" t="s">
        <v>298</v>
      </c>
      <c r="G1758" t="s">
        <v>299</v>
      </c>
      <c r="H1758" s="10">
        <v>46194</v>
      </c>
      <c r="I1758">
        <v>42989.760000000002</v>
      </c>
      <c r="J1758">
        <v>0</v>
      </c>
      <c r="K1758">
        <v>42989.760000000002</v>
      </c>
    </row>
    <row r="1759" spans="1:11" x14ac:dyDescent="0.35">
      <c r="A1759">
        <v>9300000313</v>
      </c>
      <c r="B1759">
        <v>9400005854</v>
      </c>
      <c r="C1759" s="10">
        <v>46149</v>
      </c>
      <c r="D1759" t="s">
        <v>2032</v>
      </c>
      <c r="E1759" s="11">
        <v>18526820</v>
      </c>
      <c r="F1759" t="s">
        <v>699</v>
      </c>
      <c r="G1759" t="s">
        <v>700</v>
      </c>
      <c r="H1759" s="10">
        <v>46194</v>
      </c>
      <c r="I1759">
        <v>11283.16</v>
      </c>
      <c r="J1759">
        <v>0</v>
      </c>
      <c r="K1759">
        <v>11283.16</v>
      </c>
    </row>
    <row r="1760" spans="1:11" x14ac:dyDescent="0.35">
      <c r="A1760">
        <v>2710000383</v>
      </c>
      <c r="B1760">
        <v>9400005850</v>
      </c>
      <c r="C1760" s="10">
        <v>46149</v>
      </c>
      <c r="D1760" t="s">
        <v>2032</v>
      </c>
      <c r="E1760" s="11" t="s">
        <v>2049</v>
      </c>
      <c r="F1760" t="s">
        <v>31</v>
      </c>
      <c r="G1760" t="s">
        <v>32</v>
      </c>
      <c r="H1760" s="10">
        <v>46194</v>
      </c>
      <c r="I1760">
        <v>12948.9</v>
      </c>
      <c r="J1760">
        <v>0</v>
      </c>
      <c r="K1760">
        <v>12948.9</v>
      </c>
    </row>
    <row r="1761" spans="1:11" x14ac:dyDescent="0.35">
      <c r="A1761">
        <v>9300000312</v>
      </c>
      <c r="B1761">
        <v>9400005849</v>
      </c>
      <c r="C1761" s="10">
        <v>46149</v>
      </c>
      <c r="D1761" t="s">
        <v>2032</v>
      </c>
      <c r="E1761" s="11">
        <v>18526820</v>
      </c>
      <c r="F1761" t="s">
        <v>701</v>
      </c>
      <c r="G1761" t="s">
        <v>702</v>
      </c>
      <c r="H1761" s="10">
        <v>46194</v>
      </c>
      <c r="I1761">
        <v>28207.9</v>
      </c>
      <c r="J1761">
        <v>0</v>
      </c>
      <c r="K1761">
        <v>28207.9</v>
      </c>
    </row>
    <row r="1762" spans="1:11" x14ac:dyDescent="0.35">
      <c r="A1762">
        <v>9200000388</v>
      </c>
      <c r="B1762">
        <v>9400005840</v>
      </c>
      <c r="C1762" s="10">
        <v>46149</v>
      </c>
      <c r="D1762" t="s">
        <v>2032</v>
      </c>
      <c r="E1762" s="11">
        <v>18580651</v>
      </c>
      <c r="F1762" t="s">
        <v>439</v>
      </c>
      <c r="G1762" t="s">
        <v>440</v>
      </c>
      <c r="H1762" s="10">
        <v>46194</v>
      </c>
      <c r="I1762">
        <v>182931.52</v>
      </c>
      <c r="J1762">
        <v>0</v>
      </c>
      <c r="K1762">
        <v>182931.52</v>
      </c>
    </row>
    <row r="1763" spans="1:11" x14ac:dyDescent="0.35">
      <c r="A1763">
        <v>9100000506</v>
      </c>
      <c r="B1763">
        <v>9400005830</v>
      </c>
      <c r="C1763" s="10">
        <v>46149</v>
      </c>
      <c r="D1763" t="s">
        <v>2032</v>
      </c>
      <c r="E1763" s="11">
        <v>18580027</v>
      </c>
      <c r="F1763" t="s">
        <v>347</v>
      </c>
      <c r="G1763" t="s">
        <v>348</v>
      </c>
      <c r="H1763" s="10">
        <v>46194</v>
      </c>
      <c r="I1763">
        <v>20381.62</v>
      </c>
      <c r="J1763">
        <v>0</v>
      </c>
      <c r="K1763">
        <v>20381.62</v>
      </c>
    </row>
    <row r="1764" spans="1:11" x14ac:dyDescent="0.35">
      <c r="A1764">
        <v>9100000505</v>
      </c>
      <c r="B1764">
        <v>9400005819</v>
      </c>
      <c r="C1764" s="10">
        <v>46149</v>
      </c>
      <c r="D1764" t="s">
        <v>2032</v>
      </c>
      <c r="E1764" s="11">
        <v>18579410</v>
      </c>
      <c r="F1764" t="s">
        <v>167</v>
      </c>
      <c r="G1764" t="s">
        <v>168</v>
      </c>
      <c r="H1764" s="10">
        <v>46194</v>
      </c>
      <c r="I1764">
        <v>20094.22</v>
      </c>
      <c r="J1764">
        <v>0</v>
      </c>
      <c r="K1764">
        <v>20094.22</v>
      </c>
    </row>
    <row r="1765" spans="1:11" x14ac:dyDescent="0.35">
      <c r="A1765">
        <v>9300000309</v>
      </c>
      <c r="B1765">
        <v>9400005811</v>
      </c>
      <c r="C1765" s="10">
        <v>46149</v>
      </c>
      <c r="D1765" t="s">
        <v>2032</v>
      </c>
      <c r="E1765" s="11">
        <v>18580434</v>
      </c>
      <c r="F1765" t="s">
        <v>703</v>
      </c>
      <c r="G1765" t="s">
        <v>704</v>
      </c>
      <c r="H1765" s="10">
        <v>46194</v>
      </c>
      <c r="I1765">
        <v>143003.54</v>
      </c>
      <c r="J1765">
        <v>0</v>
      </c>
      <c r="K1765">
        <v>143003.54</v>
      </c>
    </row>
    <row r="1766" spans="1:11" x14ac:dyDescent="0.35">
      <c r="A1766">
        <v>2710000380</v>
      </c>
      <c r="B1766">
        <v>9400005806</v>
      </c>
      <c r="C1766" s="10">
        <v>46149</v>
      </c>
      <c r="D1766" t="s">
        <v>2032</v>
      </c>
      <c r="E1766" s="11">
        <v>1076</v>
      </c>
      <c r="F1766" t="s">
        <v>565</v>
      </c>
      <c r="G1766" t="s">
        <v>566</v>
      </c>
      <c r="H1766" s="10">
        <v>46194</v>
      </c>
      <c r="I1766">
        <v>513.69000000000005</v>
      </c>
      <c r="J1766">
        <v>0</v>
      </c>
      <c r="K1766">
        <v>513.69000000000005</v>
      </c>
    </row>
    <row r="1767" spans="1:11" x14ac:dyDescent="0.35">
      <c r="A1767">
        <v>2710000376</v>
      </c>
      <c r="B1767">
        <v>9400005801</v>
      </c>
      <c r="C1767" s="10">
        <v>46149</v>
      </c>
      <c r="D1767" t="s">
        <v>2032</v>
      </c>
      <c r="E1767" s="11">
        <v>18580402</v>
      </c>
      <c r="F1767" t="s">
        <v>521</v>
      </c>
      <c r="G1767" t="s">
        <v>522</v>
      </c>
      <c r="H1767" s="10">
        <v>46194</v>
      </c>
      <c r="I1767">
        <v>32103.56</v>
      </c>
      <c r="J1767">
        <v>0</v>
      </c>
      <c r="K1767">
        <v>32103.56</v>
      </c>
    </row>
    <row r="1768" spans="1:11" x14ac:dyDescent="0.35">
      <c r="A1768">
        <v>2710000373</v>
      </c>
      <c r="B1768">
        <v>9400005796</v>
      </c>
      <c r="C1768" s="10">
        <v>46149</v>
      </c>
      <c r="D1768" t="s">
        <v>2032</v>
      </c>
      <c r="E1768" s="11">
        <v>1076</v>
      </c>
      <c r="F1768" t="s">
        <v>28</v>
      </c>
      <c r="G1768" t="s">
        <v>29</v>
      </c>
      <c r="H1768" s="10">
        <v>46194</v>
      </c>
      <c r="I1768">
        <v>401.86</v>
      </c>
      <c r="J1768">
        <v>0</v>
      </c>
      <c r="K1768">
        <v>401.86</v>
      </c>
    </row>
    <row r="1769" spans="1:11" x14ac:dyDescent="0.35">
      <c r="A1769">
        <v>9300000308</v>
      </c>
      <c r="B1769">
        <v>9400005795</v>
      </c>
      <c r="C1769" s="10">
        <v>46149</v>
      </c>
      <c r="D1769" t="s">
        <v>2032</v>
      </c>
      <c r="E1769" s="11">
        <v>18580478</v>
      </c>
      <c r="F1769" t="s">
        <v>251</v>
      </c>
      <c r="G1769" t="s">
        <v>252</v>
      </c>
      <c r="H1769" s="10">
        <v>46194</v>
      </c>
      <c r="I1769">
        <v>20237.48</v>
      </c>
      <c r="J1769">
        <v>0</v>
      </c>
      <c r="K1769">
        <v>20237.48</v>
      </c>
    </row>
    <row r="1770" spans="1:11" x14ac:dyDescent="0.35">
      <c r="A1770">
        <v>5100000392</v>
      </c>
      <c r="B1770">
        <v>9400005793</v>
      </c>
      <c r="C1770" s="10">
        <v>46149</v>
      </c>
      <c r="D1770" t="s">
        <v>2032</v>
      </c>
      <c r="E1770" s="11">
        <v>18580547</v>
      </c>
      <c r="F1770" t="s">
        <v>292</v>
      </c>
      <c r="G1770" t="s">
        <v>293</v>
      </c>
      <c r="H1770" s="10">
        <v>46194</v>
      </c>
      <c r="I1770">
        <v>9961.84</v>
      </c>
      <c r="J1770">
        <v>0</v>
      </c>
      <c r="K1770">
        <v>9961.84</v>
      </c>
    </row>
    <row r="1771" spans="1:11" x14ac:dyDescent="0.35">
      <c r="A1771">
        <v>5100000391</v>
      </c>
      <c r="B1771">
        <v>9400005787</v>
      </c>
      <c r="C1771" s="10">
        <v>46149</v>
      </c>
      <c r="D1771" t="s">
        <v>2032</v>
      </c>
      <c r="E1771" s="12">
        <v>185804611858044</v>
      </c>
      <c r="F1771" t="s">
        <v>379</v>
      </c>
      <c r="G1771" t="s">
        <v>380</v>
      </c>
      <c r="H1771" s="10">
        <v>46194</v>
      </c>
      <c r="I1771">
        <v>4334.66</v>
      </c>
      <c r="J1771">
        <v>0</v>
      </c>
      <c r="K1771">
        <v>4334.66</v>
      </c>
    </row>
    <row r="1772" spans="1:11" x14ac:dyDescent="0.35">
      <c r="A1772">
        <v>9300000307</v>
      </c>
      <c r="B1772">
        <v>9400005781</v>
      </c>
      <c r="C1772" s="10">
        <v>46149</v>
      </c>
      <c r="D1772" t="s">
        <v>2032</v>
      </c>
      <c r="E1772" s="11">
        <v>18580434</v>
      </c>
      <c r="F1772" t="s">
        <v>699</v>
      </c>
      <c r="G1772" t="s">
        <v>700</v>
      </c>
      <c r="H1772" s="10">
        <v>46194</v>
      </c>
      <c r="I1772">
        <v>22112.62</v>
      </c>
      <c r="J1772">
        <v>0</v>
      </c>
      <c r="K1772">
        <v>22112.62</v>
      </c>
    </row>
    <row r="1773" spans="1:11" x14ac:dyDescent="0.35">
      <c r="A1773">
        <v>2710000368</v>
      </c>
      <c r="B1773">
        <v>9400005773</v>
      </c>
      <c r="C1773" s="10">
        <v>46149</v>
      </c>
      <c r="D1773" t="s">
        <v>2032</v>
      </c>
      <c r="E1773" s="11">
        <v>1076</v>
      </c>
      <c r="F1773" t="s">
        <v>687</v>
      </c>
      <c r="G1773" t="s">
        <v>688</v>
      </c>
      <c r="H1773" s="10">
        <v>46194</v>
      </c>
      <c r="I1773">
        <v>220.15</v>
      </c>
      <c r="J1773">
        <v>0</v>
      </c>
      <c r="K1773">
        <v>220.15</v>
      </c>
    </row>
    <row r="1774" spans="1:11" x14ac:dyDescent="0.35">
      <c r="A1774">
        <v>9300000306</v>
      </c>
      <c r="B1774">
        <v>9400005771</v>
      </c>
      <c r="C1774" s="10">
        <v>46149</v>
      </c>
      <c r="D1774" t="s">
        <v>2032</v>
      </c>
      <c r="E1774" s="11">
        <v>18580486</v>
      </c>
      <c r="F1774" t="s">
        <v>611</v>
      </c>
      <c r="G1774" t="s">
        <v>612</v>
      </c>
      <c r="H1774" s="10">
        <v>46194</v>
      </c>
      <c r="I1774">
        <v>60880.92</v>
      </c>
      <c r="J1774">
        <v>0</v>
      </c>
      <c r="K1774">
        <v>60880.92</v>
      </c>
    </row>
    <row r="1775" spans="1:11" x14ac:dyDescent="0.35">
      <c r="A1775">
        <v>2710000366</v>
      </c>
      <c r="B1775">
        <v>9400005769</v>
      </c>
      <c r="C1775" s="10">
        <v>46149</v>
      </c>
      <c r="D1775" t="s">
        <v>2032</v>
      </c>
      <c r="E1775" s="11">
        <v>1076</v>
      </c>
      <c r="F1775" t="s">
        <v>623</v>
      </c>
      <c r="G1775" t="s">
        <v>624</v>
      </c>
      <c r="H1775" s="10">
        <v>46194</v>
      </c>
      <c r="I1775">
        <v>73.39</v>
      </c>
      <c r="J1775">
        <v>0</v>
      </c>
      <c r="K1775">
        <v>73.39</v>
      </c>
    </row>
    <row r="1776" spans="1:11" x14ac:dyDescent="0.35">
      <c r="A1776">
        <v>2730000237</v>
      </c>
      <c r="B1776">
        <v>9400005767</v>
      </c>
      <c r="C1776" s="10">
        <v>46149</v>
      </c>
      <c r="D1776" t="s">
        <v>2032</v>
      </c>
      <c r="E1776" s="11">
        <v>18580556</v>
      </c>
      <c r="F1776" t="s">
        <v>128</v>
      </c>
      <c r="G1776" t="s">
        <v>129</v>
      </c>
      <c r="H1776" s="10">
        <v>46194</v>
      </c>
      <c r="I1776">
        <v>182121</v>
      </c>
      <c r="J1776">
        <v>0</v>
      </c>
      <c r="K1776">
        <v>182121</v>
      </c>
    </row>
    <row r="1777" spans="1:11" x14ac:dyDescent="0.35">
      <c r="A1777">
        <v>9200000386</v>
      </c>
      <c r="B1777">
        <v>9400005765</v>
      </c>
      <c r="C1777" s="10">
        <v>46149</v>
      </c>
      <c r="D1777" t="s">
        <v>2032</v>
      </c>
      <c r="E1777" s="11">
        <v>18580631</v>
      </c>
      <c r="F1777" t="s">
        <v>373</v>
      </c>
      <c r="G1777" t="s">
        <v>374</v>
      </c>
      <c r="H1777" s="10">
        <v>46194</v>
      </c>
      <c r="I1777">
        <v>496440.26</v>
      </c>
      <c r="J1777">
        <v>0</v>
      </c>
      <c r="K1777">
        <v>496440.26</v>
      </c>
    </row>
    <row r="1778" spans="1:11" x14ac:dyDescent="0.35">
      <c r="A1778">
        <v>2710000365</v>
      </c>
      <c r="B1778">
        <v>9400005750</v>
      </c>
      <c r="C1778" s="10">
        <v>46149</v>
      </c>
      <c r="D1778" t="s">
        <v>2032</v>
      </c>
      <c r="E1778" s="11">
        <v>370</v>
      </c>
      <c r="F1778" t="s">
        <v>509</v>
      </c>
      <c r="G1778" t="s">
        <v>510</v>
      </c>
      <c r="H1778" s="10">
        <v>46163</v>
      </c>
      <c r="I1778">
        <v>781.64</v>
      </c>
      <c r="J1778">
        <v>0</v>
      </c>
      <c r="K1778">
        <v>781.64</v>
      </c>
    </row>
    <row r="1779" spans="1:11" x14ac:dyDescent="0.35">
      <c r="A1779">
        <v>2710000364</v>
      </c>
      <c r="B1779">
        <v>9400005749</v>
      </c>
      <c r="C1779" s="10">
        <v>46149</v>
      </c>
      <c r="D1779" t="s">
        <v>2032</v>
      </c>
      <c r="E1779" s="11">
        <v>1076</v>
      </c>
      <c r="F1779" t="s">
        <v>509</v>
      </c>
      <c r="G1779" t="s">
        <v>510</v>
      </c>
      <c r="H1779" s="10">
        <v>46163</v>
      </c>
      <c r="I1779">
        <v>127.44</v>
      </c>
      <c r="J1779">
        <v>0</v>
      </c>
      <c r="K1779">
        <v>127.44</v>
      </c>
    </row>
    <row r="1780" spans="1:11" x14ac:dyDescent="0.35">
      <c r="A1780">
        <v>2710000363</v>
      </c>
      <c r="B1780">
        <v>9400005748</v>
      </c>
      <c r="C1780" s="10">
        <v>46149</v>
      </c>
      <c r="D1780" t="s">
        <v>2032</v>
      </c>
      <c r="E1780" s="11">
        <v>1076</v>
      </c>
      <c r="F1780" t="s">
        <v>509</v>
      </c>
      <c r="G1780" t="s">
        <v>510</v>
      </c>
      <c r="H1780" s="10">
        <v>46194</v>
      </c>
      <c r="I1780">
        <v>200.94</v>
      </c>
      <c r="J1780">
        <v>0</v>
      </c>
      <c r="K1780">
        <v>200.94</v>
      </c>
    </row>
    <row r="1781" spans="1:11" x14ac:dyDescent="0.35">
      <c r="A1781">
        <v>9200000385</v>
      </c>
      <c r="B1781">
        <v>9400005747</v>
      </c>
      <c r="C1781" s="10">
        <v>46149</v>
      </c>
      <c r="D1781" t="s">
        <v>2032</v>
      </c>
      <c r="E1781" s="11">
        <v>18580467</v>
      </c>
      <c r="F1781" t="s">
        <v>103</v>
      </c>
      <c r="G1781" t="s">
        <v>104</v>
      </c>
      <c r="H1781" s="10">
        <v>46194</v>
      </c>
      <c r="I1781">
        <v>283188.2</v>
      </c>
      <c r="J1781">
        <v>0</v>
      </c>
      <c r="K1781">
        <v>283188.2</v>
      </c>
    </row>
    <row r="1782" spans="1:11" x14ac:dyDescent="0.35">
      <c r="A1782">
        <v>5100000389</v>
      </c>
      <c r="B1782">
        <v>9400005738</v>
      </c>
      <c r="C1782" s="10">
        <v>46149</v>
      </c>
      <c r="D1782" t="s">
        <v>2032</v>
      </c>
      <c r="E1782" s="11">
        <v>18579881</v>
      </c>
      <c r="F1782" t="s">
        <v>587</v>
      </c>
      <c r="G1782" t="s">
        <v>588</v>
      </c>
      <c r="H1782" s="10">
        <v>46194</v>
      </c>
      <c r="I1782">
        <v>4980.92</v>
      </c>
      <c r="J1782">
        <v>0</v>
      </c>
      <c r="K1782">
        <v>4980.92</v>
      </c>
    </row>
    <row r="1783" spans="1:11" x14ac:dyDescent="0.35">
      <c r="A1783">
        <v>2300000216</v>
      </c>
      <c r="B1783">
        <v>9400005736</v>
      </c>
      <c r="C1783" s="10">
        <v>46149</v>
      </c>
      <c r="D1783" t="s">
        <v>2032</v>
      </c>
      <c r="E1783" s="11">
        <v>18580422</v>
      </c>
      <c r="F1783" t="s">
        <v>308</v>
      </c>
      <c r="G1783" t="s">
        <v>309</v>
      </c>
      <c r="H1783" s="10">
        <v>46194</v>
      </c>
      <c r="I1783">
        <v>20793.96</v>
      </c>
      <c r="J1783">
        <v>0</v>
      </c>
      <c r="K1783">
        <v>20793.96</v>
      </c>
    </row>
    <row r="1784" spans="1:11" x14ac:dyDescent="0.35">
      <c r="A1784">
        <v>2300000215</v>
      </c>
      <c r="B1784">
        <v>9400005733</v>
      </c>
      <c r="C1784" s="10">
        <v>46149</v>
      </c>
      <c r="D1784" t="s">
        <v>2032</v>
      </c>
      <c r="E1784" s="11">
        <v>18580373</v>
      </c>
      <c r="F1784" t="s">
        <v>709</v>
      </c>
      <c r="G1784" t="s">
        <v>710</v>
      </c>
      <c r="H1784" s="10">
        <v>46194</v>
      </c>
      <c r="I1784">
        <v>38420.800000000003</v>
      </c>
      <c r="J1784">
        <v>0</v>
      </c>
      <c r="K1784">
        <v>38420.800000000003</v>
      </c>
    </row>
    <row r="1785" spans="1:11" x14ac:dyDescent="0.35">
      <c r="A1785">
        <v>2300000214</v>
      </c>
      <c r="B1785">
        <v>9400005731</v>
      </c>
      <c r="C1785" s="10">
        <v>46149</v>
      </c>
      <c r="D1785" t="s">
        <v>2032</v>
      </c>
      <c r="E1785" s="11">
        <v>18580425</v>
      </c>
      <c r="F1785" t="s">
        <v>711</v>
      </c>
      <c r="G1785" t="s">
        <v>712</v>
      </c>
      <c r="H1785" s="10">
        <v>46149</v>
      </c>
      <c r="I1785">
        <v>67526.73</v>
      </c>
      <c r="J1785">
        <v>67365.05</v>
      </c>
      <c r="K1785">
        <v>161.67999999999302</v>
      </c>
    </row>
    <row r="1786" spans="1:11" x14ac:dyDescent="0.35">
      <c r="A1786">
        <v>9200000384</v>
      </c>
      <c r="B1786">
        <v>9400005702</v>
      </c>
      <c r="C1786" s="10">
        <v>46148</v>
      </c>
      <c r="D1786" t="s">
        <v>2032</v>
      </c>
      <c r="E1786" s="11">
        <v>18580150</v>
      </c>
      <c r="F1786" t="s">
        <v>44</v>
      </c>
      <c r="G1786" t="s">
        <v>45</v>
      </c>
      <c r="H1786" s="10">
        <v>46193</v>
      </c>
      <c r="I1786">
        <v>23136.04</v>
      </c>
      <c r="J1786">
        <v>0</v>
      </c>
      <c r="K1786">
        <v>23136.04</v>
      </c>
    </row>
    <row r="1787" spans="1:11" x14ac:dyDescent="0.35">
      <c r="A1787">
        <v>2710000362</v>
      </c>
      <c r="B1787">
        <v>9400005699</v>
      </c>
      <c r="C1787" s="10">
        <v>46148</v>
      </c>
      <c r="D1787" t="s">
        <v>2032</v>
      </c>
      <c r="E1787" s="11">
        <v>18579690</v>
      </c>
      <c r="F1787" t="s">
        <v>353</v>
      </c>
      <c r="G1787" t="s">
        <v>354</v>
      </c>
      <c r="H1787" s="10">
        <v>46193</v>
      </c>
      <c r="I1787">
        <v>3624.96</v>
      </c>
      <c r="J1787">
        <v>0</v>
      </c>
      <c r="K1787">
        <v>3624.96</v>
      </c>
    </row>
    <row r="1788" spans="1:11" x14ac:dyDescent="0.35">
      <c r="A1788">
        <v>2710000361</v>
      </c>
      <c r="B1788">
        <v>9400005698</v>
      </c>
      <c r="C1788" s="10">
        <v>46148</v>
      </c>
      <c r="D1788" t="s">
        <v>2032</v>
      </c>
      <c r="E1788" s="11">
        <v>18579690</v>
      </c>
      <c r="F1788" t="s">
        <v>353</v>
      </c>
      <c r="G1788" t="s">
        <v>354</v>
      </c>
      <c r="H1788" s="10">
        <v>46193</v>
      </c>
      <c r="I1788">
        <v>3398.4</v>
      </c>
      <c r="J1788">
        <v>0</v>
      </c>
      <c r="K1788">
        <v>3398.4</v>
      </c>
    </row>
    <row r="1789" spans="1:11" x14ac:dyDescent="0.35">
      <c r="A1789">
        <v>2300000207</v>
      </c>
      <c r="B1789">
        <v>9400005680</v>
      </c>
      <c r="C1789" s="10">
        <v>46148</v>
      </c>
      <c r="D1789" t="s">
        <v>2032</v>
      </c>
      <c r="E1789" s="11">
        <v>322</v>
      </c>
      <c r="F1789" t="s">
        <v>717</v>
      </c>
      <c r="G1789" t="s">
        <v>718</v>
      </c>
      <c r="H1789" s="10">
        <v>46178</v>
      </c>
      <c r="I1789">
        <v>665.49</v>
      </c>
      <c r="J1789">
        <v>0</v>
      </c>
      <c r="K1789">
        <v>665.49</v>
      </c>
    </row>
    <row r="1790" spans="1:11" x14ac:dyDescent="0.35">
      <c r="A1790">
        <v>9300000304</v>
      </c>
      <c r="B1790">
        <v>9400005668</v>
      </c>
      <c r="C1790" s="10">
        <v>46148</v>
      </c>
      <c r="D1790" t="s">
        <v>2032</v>
      </c>
      <c r="E1790" s="11">
        <v>18579910</v>
      </c>
      <c r="F1790" t="s">
        <v>417</v>
      </c>
      <c r="G1790" t="s">
        <v>418</v>
      </c>
      <c r="H1790" s="10">
        <v>46193</v>
      </c>
      <c r="I1790">
        <v>152202.29999999999</v>
      </c>
      <c r="J1790">
        <v>0</v>
      </c>
      <c r="K1790">
        <v>152202.29999999999</v>
      </c>
    </row>
    <row r="1791" spans="1:11" x14ac:dyDescent="0.35">
      <c r="A1791">
        <v>9200000382</v>
      </c>
      <c r="B1791">
        <v>9400005666</v>
      </c>
      <c r="C1791" s="10">
        <v>46148</v>
      </c>
      <c r="D1791" t="s">
        <v>2032</v>
      </c>
      <c r="E1791" s="11">
        <v>18580096</v>
      </c>
      <c r="F1791" t="s">
        <v>425</v>
      </c>
      <c r="G1791" t="s">
        <v>426</v>
      </c>
      <c r="H1791" s="10">
        <v>46193</v>
      </c>
      <c r="I1791">
        <v>98683.16</v>
      </c>
      <c r="J1791">
        <v>0</v>
      </c>
      <c r="K1791">
        <v>98683.16</v>
      </c>
    </row>
    <row r="1792" spans="1:11" x14ac:dyDescent="0.35">
      <c r="A1792">
        <v>9300000303</v>
      </c>
      <c r="B1792">
        <v>9400005664</v>
      </c>
      <c r="C1792" s="10">
        <v>46148</v>
      </c>
      <c r="D1792" t="s">
        <v>2032</v>
      </c>
      <c r="E1792" s="11">
        <v>18579910</v>
      </c>
      <c r="F1792" t="s">
        <v>723</v>
      </c>
      <c r="G1792" t="s">
        <v>724</v>
      </c>
      <c r="H1792" s="10">
        <v>46193</v>
      </c>
      <c r="I1792">
        <v>30440.46</v>
      </c>
      <c r="J1792">
        <v>0</v>
      </c>
      <c r="K1792">
        <v>30440.46</v>
      </c>
    </row>
    <row r="1793" spans="1:11" x14ac:dyDescent="0.35">
      <c r="A1793">
        <v>9200000377</v>
      </c>
      <c r="B1793">
        <v>9400005655</v>
      </c>
      <c r="C1793" s="10">
        <v>46148</v>
      </c>
      <c r="D1793" t="s">
        <v>2032</v>
      </c>
      <c r="E1793" s="11">
        <v>18579787</v>
      </c>
      <c r="F1793" t="s">
        <v>725</v>
      </c>
      <c r="G1793" t="s">
        <v>726</v>
      </c>
      <c r="H1793" s="10">
        <v>46193</v>
      </c>
      <c r="I1793">
        <v>34829.360000000001</v>
      </c>
      <c r="J1793">
        <v>0</v>
      </c>
      <c r="K1793">
        <v>34829.360000000001</v>
      </c>
    </row>
    <row r="1794" spans="1:11" x14ac:dyDescent="0.35">
      <c r="A1794">
        <v>2730000229</v>
      </c>
      <c r="B1794">
        <v>9400005649</v>
      </c>
      <c r="C1794" s="10">
        <v>46148</v>
      </c>
      <c r="D1794" t="s">
        <v>2032</v>
      </c>
      <c r="E1794" s="11">
        <v>18579777</v>
      </c>
      <c r="F1794" t="s">
        <v>523</v>
      </c>
      <c r="G1794" t="s">
        <v>524</v>
      </c>
      <c r="H1794" s="10">
        <v>46193</v>
      </c>
      <c r="I1794">
        <v>39253.300000000003</v>
      </c>
      <c r="J1794">
        <v>0</v>
      </c>
      <c r="K1794">
        <v>39253.300000000003</v>
      </c>
    </row>
    <row r="1795" spans="1:11" x14ac:dyDescent="0.35">
      <c r="A1795">
        <v>9300000302</v>
      </c>
      <c r="B1795">
        <v>9400005638</v>
      </c>
      <c r="C1795" s="10">
        <v>46148</v>
      </c>
      <c r="D1795" t="s">
        <v>2032</v>
      </c>
      <c r="E1795" s="11">
        <v>18579910</v>
      </c>
      <c r="F1795" t="s">
        <v>611</v>
      </c>
      <c r="G1795" t="s">
        <v>612</v>
      </c>
      <c r="H1795" s="10">
        <v>46193</v>
      </c>
      <c r="I1795">
        <v>102420.46</v>
      </c>
      <c r="J1795">
        <v>0</v>
      </c>
      <c r="K1795">
        <v>102420.46</v>
      </c>
    </row>
    <row r="1796" spans="1:11" x14ac:dyDescent="0.35">
      <c r="A1796">
        <v>9200000372</v>
      </c>
      <c r="B1796">
        <v>9400005635</v>
      </c>
      <c r="C1796" s="10">
        <v>46148</v>
      </c>
      <c r="D1796" t="s">
        <v>2032</v>
      </c>
      <c r="E1796" s="11">
        <v>18579910</v>
      </c>
      <c r="F1796" t="s">
        <v>611</v>
      </c>
      <c r="G1796" t="s">
        <v>612</v>
      </c>
      <c r="H1796" s="10">
        <v>46193</v>
      </c>
      <c r="I1796">
        <v>58048.92</v>
      </c>
      <c r="J1796">
        <v>0</v>
      </c>
      <c r="K1796">
        <v>58048.92</v>
      </c>
    </row>
    <row r="1797" spans="1:11" x14ac:dyDescent="0.35">
      <c r="A1797">
        <v>5100000384</v>
      </c>
      <c r="B1797">
        <v>9400005632</v>
      </c>
      <c r="C1797" s="10">
        <v>46148</v>
      </c>
      <c r="D1797" t="s">
        <v>2032</v>
      </c>
      <c r="E1797" s="11">
        <v>18559117</v>
      </c>
      <c r="F1797" t="s">
        <v>213</v>
      </c>
      <c r="G1797" t="s">
        <v>214</v>
      </c>
      <c r="H1797" s="10">
        <v>46193</v>
      </c>
      <c r="I1797">
        <v>39492.239999999998</v>
      </c>
      <c r="J1797">
        <v>0</v>
      </c>
      <c r="K1797">
        <v>39492.239999999998</v>
      </c>
    </row>
    <row r="1798" spans="1:11" x14ac:dyDescent="0.35">
      <c r="A1798">
        <v>8000000356</v>
      </c>
      <c r="B1798">
        <v>9400005623</v>
      </c>
      <c r="C1798" s="10">
        <v>46148</v>
      </c>
      <c r="D1798" t="s">
        <v>2032</v>
      </c>
      <c r="E1798" s="11" t="s">
        <v>2033</v>
      </c>
      <c r="F1798" t="s">
        <v>727</v>
      </c>
      <c r="G1798" t="s">
        <v>728</v>
      </c>
      <c r="H1798" s="10">
        <v>46148</v>
      </c>
      <c r="I1798">
        <v>140.08000000000001</v>
      </c>
      <c r="J1798">
        <v>67.650000000000006</v>
      </c>
      <c r="K1798">
        <v>72.430000000000007</v>
      </c>
    </row>
    <row r="1799" spans="1:11" x14ac:dyDescent="0.35">
      <c r="A1799">
        <v>9300000301</v>
      </c>
      <c r="B1799">
        <v>9400005620</v>
      </c>
      <c r="C1799" s="10">
        <v>46148</v>
      </c>
      <c r="D1799" t="s">
        <v>2032</v>
      </c>
      <c r="E1799" s="11">
        <v>18579884</v>
      </c>
      <c r="F1799" t="s">
        <v>82</v>
      </c>
      <c r="G1799" t="s">
        <v>83</v>
      </c>
      <c r="H1799" s="10">
        <v>46193</v>
      </c>
      <c r="I1799">
        <v>47615.72</v>
      </c>
      <c r="J1799">
        <v>0</v>
      </c>
      <c r="K1799">
        <v>47615.72</v>
      </c>
    </row>
    <row r="1800" spans="1:11" x14ac:dyDescent="0.35">
      <c r="A1800">
        <v>9300000297</v>
      </c>
      <c r="B1800">
        <v>9400005593</v>
      </c>
      <c r="C1800" s="10">
        <v>46148</v>
      </c>
      <c r="D1800" t="s">
        <v>2032</v>
      </c>
      <c r="E1800" s="11">
        <v>18579482</v>
      </c>
      <c r="F1800" t="s">
        <v>417</v>
      </c>
      <c r="G1800" t="s">
        <v>418</v>
      </c>
      <c r="H1800" s="10">
        <v>46193</v>
      </c>
      <c r="I1800">
        <v>101468.2</v>
      </c>
      <c r="J1800">
        <v>0</v>
      </c>
      <c r="K1800">
        <v>101468.2</v>
      </c>
    </row>
    <row r="1801" spans="1:11" x14ac:dyDescent="0.35">
      <c r="A1801">
        <v>9200000371</v>
      </c>
      <c r="B1801">
        <v>9400005590</v>
      </c>
      <c r="C1801" s="10">
        <v>46148</v>
      </c>
      <c r="D1801" t="s">
        <v>2032</v>
      </c>
      <c r="E1801" s="11">
        <v>18579482</v>
      </c>
      <c r="F1801" t="s">
        <v>417</v>
      </c>
      <c r="G1801" t="s">
        <v>418</v>
      </c>
      <c r="H1801" s="10">
        <v>46193</v>
      </c>
      <c r="I1801">
        <v>116097.84</v>
      </c>
      <c r="J1801">
        <v>0</v>
      </c>
      <c r="K1801">
        <v>116097.84</v>
      </c>
    </row>
    <row r="1802" spans="1:11" x14ac:dyDescent="0.35">
      <c r="A1802">
        <v>9300000296</v>
      </c>
      <c r="B1802">
        <v>9400005584</v>
      </c>
      <c r="C1802" s="10">
        <v>46148</v>
      </c>
      <c r="D1802" t="s">
        <v>2032</v>
      </c>
      <c r="E1802" s="11">
        <v>18579454</v>
      </c>
      <c r="F1802" t="s">
        <v>555</v>
      </c>
      <c r="G1802" t="s">
        <v>556</v>
      </c>
      <c r="H1802" s="10">
        <v>46193</v>
      </c>
      <c r="I1802">
        <v>149612.16</v>
      </c>
      <c r="J1802">
        <v>0</v>
      </c>
      <c r="K1802">
        <v>149612.16</v>
      </c>
    </row>
    <row r="1803" spans="1:11" x14ac:dyDescent="0.35">
      <c r="A1803">
        <v>9300000293</v>
      </c>
      <c r="B1803">
        <v>9400005573</v>
      </c>
      <c r="C1803" s="10">
        <v>46147</v>
      </c>
      <c r="D1803" t="s">
        <v>2032</v>
      </c>
      <c r="E1803" s="11">
        <v>18461581</v>
      </c>
      <c r="F1803" t="s">
        <v>739</v>
      </c>
      <c r="G1803" t="s">
        <v>740</v>
      </c>
      <c r="H1803" s="10">
        <v>46147</v>
      </c>
      <c r="I1803">
        <v>26052.81</v>
      </c>
      <c r="J1803">
        <v>22657.759999999998</v>
      </c>
      <c r="K1803">
        <v>3395.0500000000029</v>
      </c>
    </row>
    <row r="1804" spans="1:11" x14ac:dyDescent="0.35">
      <c r="A1804">
        <v>9200000363</v>
      </c>
      <c r="B1804">
        <v>9400005524</v>
      </c>
      <c r="C1804" s="10">
        <v>46147</v>
      </c>
      <c r="D1804" t="s">
        <v>2032</v>
      </c>
      <c r="E1804" s="11">
        <v>18548646</v>
      </c>
      <c r="F1804" t="s">
        <v>425</v>
      </c>
      <c r="G1804" t="s">
        <v>426</v>
      </c>
      <c r="H1804" s="10">
        <v>46192</v>
      </c>
      <c r="I1804">
        <v>17464</v>
      </c>
      <c r="J1804">
        <v>0</v>
      </c>
      <c r="K1804">
        <v>17464</v>
      </c>
    </row>
    <row r="1805" spans="1:11" x14ac:dyDescent="0.35">
      <c r="A1805">
        <v>9200000362</v>
      </c>
      <c r="B1805">
        <v>9400005522</v>
      </c>
      <c r="C1805" s="10">
        <v>46147</v>
      </c>
      <c r="D1805" t="s">
        <v>2032</v>
      </c>
      <c r="E1805" s="11">
        <v>18538106</v>
      </c>
      <c r="F1805" t="s">
        <v>439</v>
      </c>
      <c r="G1805" t="s">
        <v>440</v>
      </c>
      <c r="H1805" s="10">
        <v>46192</v>
      </c>
      <c r="I1805">
        <v>272827.32</v>
      </c>
      <c r="J1805">
        <v>0</v>
      </c>
      <c r="K1805">
        <v>272827.32</v>
      </c>
    </row>
    <row r="1806" spans="1:11" x14ac:dyDescent="0.35">
      <c r="A1806">
        <v>9200000359</v>
      </c>
      <c r="B1806">
        <v>9400005519</v>
      </c>
      <c r="C1806" s="10">
        <v>46147</v>
      </c>
      <c r="D1806" t="s">
        <v>2032</v>
      </c>
      <c r="E1806" s="11">
        <v>18548664</v>
      </c>
      <c r="F1806" t="s">
        <v>103</v>
      </c>
      <c r="G1806" t="s">
        <v>104</v>
      </c>
      <c r="H1806" s="10">
        <v>46192</v>
      </c>
      <c r="I1806">
        <v>504529.06</v>
      </c>
      <c r="J1806">
        <v>0</v>
      </c>
      <c r="K1806">
        <v>504529.06</v>
      </c>
    </row>
    <row r="1807" spans="1:11" x14ac:dyDescent="0.35">
      <c r="A1807">
        <v>9200000358</v>
      </c>
      <c r="B1807">
        <v>9400005516</v>
      </c>
      <c r="C1807" s="10">
        <v>46147</v>
      </c>
      <c r="D1807" t="s">
        <v>2032</v>
      </c>
      <c r="E1807" s="11">
        <v>18538100</v>
      </c>
      <c r="F1807" t="s">
        <v>373</v>
      </c>
      <c r="G1807" t="s">
        <v>374</v>
      </c>
      <c r="H1807" s="10">
        <v>46192</v>
      </c>
      <c r="I1807">
        <v>202936.4</v>
      </c>
      <c r="J1807">
        <v>0</v>
      </c>
      <c r="K1807">
        <v>202936.4</v>
      </c>
    </row>
    <row r="1808" spans="1:11" x14ac:dyDescent="0.35">
      <c r="A1808">
        <v>5300000054</v>
      </c>
      <c r="B1808">
        <v>9400005483</v>
      </c>
      <c r="C1808" s="10">
        <v>46146</v>
      </c>
      <c r="D1808" t="s">
        <v>2032</v>
      </c>
      <c r="E1808" s="11">
        <v>18548722</v>
      </c>
      <c r="F1808" t="s">
        <v>329</v>
      </c>
      <c r="G1808" t="s">
        <v>330</v>
      </c>
      <c r="H1808" s="10">
        <v>46191</v>
      </c>
      <c r="I1808">
        <v>108748.8</v>
      </c>
      <c r="J1808">
        <v>0</v>
      </c>
      <c r="K1808">
        <v>108748.8</v>
      </c>
    </row>
    <row r="1809" spans="1:11" x14ac:dyDescent="0.35">
      <c r="B1809">
        <v>1400003781</v>
      </c>
      <c r="C1809" s="10">
        <v>46146</v>
      </c>
      <c r="D1809" t="s">
        <v>2037</v>
      </c>
      <c r="E1809" s="11">
        <v>123456</v>
      </c>
      <c r="F1809" t="s">
        <v>749</v>
      </c>
      <c r="G1809" t="s">
        <v>750</v>
      </c>
      <c r="H1809" s="10">
        <v>46146</v>
      </c>
      <c r="I1809">
        <v>43000</v>
      </c>
      <c r="J1809">
        <v>41210.730000000003</v>
      </c>
      <c r="K1809">
        <v>1789.2699999999968</v>
      </c>
    </row>
    <row r="1810" spans="1:11" x14ac:dyDescent="0.35">
      <c r="A1810">
        <v>2720000167</v>
      </c>
      <c r="B1810">
        <v>9400005463</v>
      </c>
      <c r="C1810" s="10">
        <v>46142</v>
      </c>
      <c r="D1810" t="s">
        <v>2032</v>
      </c>
      <c r="E1810" s="11">
        <v>18527684</v>
      </c>
      <c r="F1810" t="s">
        <v>146</v>
      </c>
      <c r="G1810" t="s">
        <v>147</v>
      </c>
      <c r="H1810" s="10">
        <v>46187</v>
      </c>
      <c r="I1810">
        <v>421223.86</v>
      </c>
      <c r="J1810">
        <v>0</v>
      </c>
      <c r="K1810">
        <v>421223.86</v>
      </c>
    </row>
    <row r="1811" spans="1:11" x14ac:dyDescent="0.35">
      <c r="A1811">
        <v>2300000197</v>
      </c>
      <c r="B1811">
        <v>9400005461</v>
      </c>
      <c r="C1811" s="10">
        <v>46142</v>
      </c>
      <c r="D1811" t="s">
        <v>2032</v>
      </c>
      <c r="E1811" s="11">
        <v>18527726</v>
      </c>
      <c r="F1811" t="s">
        <v>310</v>
      </c>
      <c r="G1811" t="s">
        <v>311</v>
      </c>
      <c r="H1811" s="10">
        <v>46187</v>
      </c>
      <c r="I1811">
        <v>65419.199999999997</v>
      </c>
      <c r="J1811">
        <v>0</v>
      </c>
      <c r="K1811">
        <v>65419.199999999997</v>
      </c>
    </row>
    <row r="1812" spans="1:11" x14ac:dyDescent="0.35">
      <c r="A1812">
        <v>2710000348</v>
      </c>
      <c r="B1812">
        <v>9400005460</v>
      </c>
      <c r="C1812" s="10">
        <v>46142</v>
      </c>
      <c r="D1812" t="s">
        <v>2032</v>
      </c>
      <c r="E1812" s="11">
        <v>18527764</v>
      </c>
      <c r="F1812" t="s">
        <v>521</v>
      </c>
      <c r="G1812" t="s">
        <v>522</v>
      </c>
      <c r="H1812" s="10">
        <v>46187</v>
      </c>
      <c r="I1812">
        <v>20093.04</v>
      </c>
      <c r="J1812">
        <v>0</v>
      </c>
      <c r="K1812">
        <v>20093.04</v>
      </c>
    </row>
    <row r="1813" spans="1:11" x14ac:dyDescent="0.35">
      <c r="A1813">
        <v>2710000347</v>
      </c>
      <c r="B1813">
        <v>9400005459</v>
      </c>
      <c r="C1813" s="10">
        <v>46142</v>
      </c>
      <c r="D1813" t="s">
        <v>2032</v>
      </c>
      <c r="E1813" s="11">
        <v>18527757</v>
      </c>
      <c r="F1813" t="s">
        <v>579</v>
      </c>
      <c r="G1813" t="s">
        <v>580</v>
      </c>
      <c r="H1813" s="10">
        <v>46187</v>
      </c>
      <c r="I1813">
        <v>96948.800000000003</v>
      </c>
      <c r="J1813">
        <v>0</v>
      </c>
      <c r="K1813">
        <v>96948.800000000003</v>
      </c>
    </row>
    <row r="1814" spans="1:11" x14ac:dyDescent="0.35">
      <c r="A1814">
        <v>2710000345</v>
      </c>
      <c r="B1814">
        <v>9400005457</v>
      </c>
      <c r="C1814" s="10">
        <v>46142</v>
      </c>
      <c r="D1814" t="s">
        <v>2032</v>
      </c>
      <c r="E1814" s="11">
        <v>18527748</v>
      </c>
      <c r="F1814" t="s">
        <v>66</v>
      </c>
      <c r="G1814" t="s">
        <v>67</v>
      </c>
      <c r="H1814" s="10">
        <v>46187</v>
      </c>
      <c r="I1814">
        <v>96948.800000000003</v>
      </c>
      <c r="J1814">
        <v>0</v>
      </c>
      <c r="K1814">
        <v>96948.800000000003</v>
      </c>
    </row>
    <row r="1815" spans="1:11" x14ac:dyDescent="0.35">
      <c r="A1815">
        <v>2710000344</v>
      </c>
      <c r="B1815">
        <v>9400005454</v>
      </c>
      <c r="C1815" s="10">
        <v>46142</v>
      </c>
      <c r="D1815" t="s">
        <v>2032</v>
      </c>
      <c r="E1815" s="11">
        <v>1</v>
      </c>
      <c r="F1815" t="s">
        <v>579</v>
      </c>
      <c r="G1815" t="s">
        <v>580</v>
      </c>
      <c r="H1815" s="10">
        <v>46187</v>
      </c>
      <c r="I1815">
        <v>96948.800000000003</v>
      </c>
      <c r="J1815">
        <v>0</v>
      </c>
      <c r="K1815">
        <v>96948.800000000003</v>
      </c>
    </row>
    <row r="1816" spans="1:11" x14ac:dyDescent="0.35">
      <c r="A1816">
        <v>2300000195</v>
      </c>
      <c r="B1816">
        <v>9400005453</v>
      </c>
      <c r="C1816" s="10">
        <v>46142</v>
      </c>
      <c r="D1816" t="s">
        <v>2032</v>
      </c>
      <c r="E1816" s="11">
        <v>18527712</v>
      </c>
      <c r="F1816" t="s">
        <v>37</v>
      </c>
      <c r="G1816" t="s">
        <v>38</v>
      </c>
      <c r="H1816" s="10">
        <v>46187</v>
      </c>
      <c r="I1816">
        <v>65419.199999999997</v>
      </c>
      <c r="J1816">
        <v>0</v>
      </c>
      <c r="K1816">
        <v>65419.199999999997</v>
      </c>
    </row>
    <row r="1817" spans="1:11" x14ac:dyDescent="0.35">
      <c r="A1817">
        <v>2300000193</v>
      </c>
      <c r="B1817">
        <v>9400005446</v>
      </c>
      <c r="C1817" s="10">
        <v>46142</v>
      </c>
      <c r="D1817" t="s">
        <v>2032</v>
      </c>
      <c r="E1817" s="11">
        <v>18527682</v>
      </c>
      <c r="F1817" t="s">
        <v>589</v>
      </c>
      <c r="G1817" t="s">
        <v>590</v>
      </c>
      <c r="H1817" s="10">
        <v>46187</v>
      </c>
      <c r="I1817">
        <v>19824</v>
      </c>
      <c r="J1817">
        <v>0</v>
      </c>
      <c r="K1817">
        <v>19824</v>
      </c>
    </row>
    <row r="1818" spans="1:11" x14ac:dyDescent="0.35">
      <c r="A1818">
        <v>2300000192</v>
      </c>
      <c r="B1818">
        <v>9400005443</v>
      </c>
      <c r="C1818" s="10">
        <v>46142</v>
      </c>
      <c r="D1818" t="s">
        <v>2032</v>
      </c>
      <c r="E1818" s="11">
        <v>18527612</v>
      </c>
      <c r="F1818" t="s">
        <v>647</v>
      </c>
      <c r="G1818" t="s">
        <v>648</v>
      </c>
      <c r="H1818" s="10">
        <v>46187</v>
      </c>
      <c r="I1818">
        <v>15420.24</v>
      </c>
      <c r="J1818">
        <v>0</v>
      </c>
      <c r="K1818">
        <v>15420.24</v>
      </c>
    </row>
    <row r="1819" spans="1:11" x14ac:dyDescent="0.35">
      <c r="A1819">
        <v>2300000191</v>
      </c>
      <c r="B1819">
        <v>9400005432</v>
      </c>
      <c r="C1819" s="10">
        <v>46142</v>
      </c>
      <c r="D1819" t="s">
        <v>2032</v>
      </c>
      <c r="E1819" s="11">
        <v>18527545</v>
      </c>
      <c r="F1819" t="s">
        <v>463</v>
      </c>
      <c r="G1819" t="s">
        <v>464</v>
      </c>
      <c r="H1819" s="10">
        <v>46187</v>
      </c>
      <c r="I1819">
        <v>132160</v>
      </c>
      <c r="J1819">
        <v>0</v>
      </c>
      <c r="K1819">
        <v>132160</v>
      </c>
    </row>
    <row r="1820" spans="1:11" x14ac:dyDescent="0.35">
      <c r="A1820">
        <v>2300000189</v>
      </c>
      <c r="B1820">
        <v>9400005428</v>
      </c>
      <c r="C1820" s="10">
        <v>46142</v>
      </c>
      <c r="D1820" t="s">
        <v>2032</v>
      </c>
      <c r="E1820" s="11">
        <v>18527176</v>
      </c>
      <c r="F1820" t="s">
        <v>391</v>
      </c>
      <c r="G1820" t="s">
        <v>392</v>
      </c>
      <c r="H1820" s="10">
        <v>46187</v>
      </c>
      <c r="I1820">
        <v>15840.8</v>
      </c>
      <c r="J1820">
        <v>0</v>
      </c>
      <c r="K1820">
        <v>15840.8</v>
      </c>
    </row>
    <row r="1821" spans="1:11" x14ac:dyDescent="0.35">
      <c r="A1821">
        <v>2710000342</v>
      </c>
      <c r="B1821">
        <v>9400005423</v>
      </c>
      <c r="C1821" s="10">
        <v>46142</v>
      </c>
      <c r="D1821" t="s">
        <v>2032</v>
      </c>
      <c r="E1821" s="11">
        <v>18525733</v>
      </c>
      <c r="F1821" t="s">
        <v>64</v>
      </c>
      <c r="G1821" t="s">
        <v>65</v>
      </c>
      <c r="H1821" s="10">
        <v>46187</v>
      </c>
      <c r="I1821">
        <v>50232.6</v>
      </c>
      <c r="J1821">
        <v>0</v>
      </c>
      <c r="K1821">
        <v>50232.6</v>
      </c>
    </row>
    <row r="1822" spans="1:11" x14ac:dyDescent="0.35">
      <c r="A1822">
        <v>2730000217</v>
      </c>
      <c r="B1822">
        <v>9400005411</v>
      </c>
      <c r="C1822" s="10">
        <v>46142</v>
      </c>
      <c r="D1822" t="s">
        <v>2032</v>
      </c>
      <c r="E1822" s="11">
        <v>18526936</v>
      </c>
      <c r="F1822" t="s">
        <v>671</v>
      </c>
      <c r="G1822" t="s">
        <v>672</v>
      </c>
      <c r="H1822" s="10">
        <v>46187</v>
      </c>
      <c r="I1822">
        <v>50232.6</v>
      </c>
      <c r="J1822">
        <v>0</v>
      </c>
      <c r="K1822">
        <v>50232.6</v>
      </c>
    </row>
    <row r="1823" spans="1:11" x14ac:dyDescent="0.35">
      <c r="A1823">
        <v>9100000491</v>
      </c>
      <c r="B1823">
        <v>9400005409</v>
      </c>
      <c r="C1823" s="10">
        <v>46142</v>
      </c>
      <c r="D1823" t="s">
        <v>2032</v>
      </c>
      <c r="E1823" s="11">
        <v>184606265</v>
      </c>
      <c r="F1823" t="s">
        <v>431</v>
      </c>
      <c r="G1823" t="s">
        <v>432</v>
      </c>
      <c r="H1823" s="10">
        <v>46187</v>
      </c>
      <c r="I1823">
        <v>25910.04</v>
      </c>
      <c r="J1823">
        <v>0</v>
      </c>
      <c r="K1823">
        <v>25910.04</v>
      </c>
    </row>
    <row r="1824" spans="1:11" x14ac:dyDescent="0.35">
      <c r="A1824">
        <v>9300000289</v>
      </c>
      <c r="B1824">
        <v>9400005408</v>
      </c>
      <c r="C1824" s="10">
        <v>46142</v>
      </c>
      <c r="D1824" t="s">
        <v>2032</v>
      </c>
      <c r="E1824" s="11">
        <v>18515072</v>
      </c>
      <c r="F1824" t="s">
        <v>251</v>
      </c>
      <c r="G1824" t="s">
        <v>252</v>
      </c>
      <c r="H1824" s="10">
        <v>46187</v>
      </c>
      <c r="I1824">
        <v>92490.34</v>
      </c>
      <c r="J1824">
        <v>0</v>
      </c>
      <c r="K1824">
        <v>92490.34</v>
      </c>
    </row>
    <row r="1825" spans="1:11" x14ac:dyDescent="0.35">
      <c r="A1825">
        <v>2730000215</v>
      </c>
      <c r="B1825">
        <v>9400005404</v>
      </c>
      <c r="C1825" s="10">
        <v>46142</v>
      </c>
      <c r="D1825" t="s">
        <v>2032</v>
      </c>
      <c r="E1825" s="11">
        <v>18526513</v>
      </c>
      <c r="F1825" t="s">
        <v>359</v>
      </c>
      <c r="G1825" t="s">
        <v>360</v>
      </c>
      <c r="H1825" s="10">
        <v>46187</v>
      </c>
      <c r="I1825">
        <v>2336.52</v>
      </c>
      <c r="J1825">
        <v>0</v>
      </c>
      <c r="K1825">
        <v>2336.52</v>
      </c>
    </row>
    <row r="1826" spans="1:11" x14ac:dyDescent="0.35">
      <c r="A1826">
        <v>9300000288</v>
      </c>
      <c r="B1826">
        <v>9400005403</v>
      </c>
      <c r="C1826" s="10">
        <v>46142</v>
      </c>
      <c r="D1826" t="s">
        <v>2032</v>
      </c>
      <c r="E1826" s="11">
        <v>18526000</v>
      </c>
      <c r="F1826" t="s">
        <v>417</v>
      </c>
      <c r="G1826" t="s">
        <v>418</v>
      </c>
      <c r="H1826" s="10">
        <v>46187</v>
      </c>
      <c r="I1826">
        <v>253063.38</v>
      </c>
      <c r="J1826">
        <v>0</v>
      </c>
      <c r="K1826">
        <v>253063.38</v>
      </c>
    </row>
    <row r="1827" spans="1:11" x14ac:dyDescent="0.35">
      <c r="A1827">
        <v>2730000213</v>
      </c>
      <c r="B1827">
        <v>9400005401</v>
      </c>
      <c r="C1827" s="10">
        <v>46142</v>
      </c>
      <c r="D1827" t="s">
        <v>2032</v>
      </c>
      <c r="E1827" s="11">
        <v>18527463</v>
      </c>
      <c r="F1827" t="s">
        <v>89</v>
      </c>
      <c r="G1827" t="s">
        <v>90</v>
      </c>
      <c r="H1827" s="10">
        <v>46187</v>
      </c>
      <c r="I1827">
        <v>208278.26</v>
      </c>
      <c r="J1827">
        <v>0</v>
      </c>
      <c r="K1827">
        <v>208278.26</v>
      </c>
    </row>
    <row r="1828" spans="1:11" x14ac:dyDescent="0.35">
      <c r="A1828">
        <v>9100000490</v>
      </c>
      <c r="B1828">
        <v>9400005400</v>
      </c>
      <c r="C1828" s="10">
        <v>46142</v>
      </c>
      <c r="D1828" t="s">
        <v>2032</v>
      </c>
      <c r="E1828" s="11">
        <v>18460624</v>
      </c>
      <c r="F1828" t="s">
        <v>401</v>
      </c>
      <c r="G1828" t="s">
        <v>402</v>
      </c>
      <c r="H1828" s="10">
        <v>46187</v>
      </c>
      <c r="I1828">
        <v>16783.849999999999</v>
      </c>
      <c r="J1828">
        <v>0</v>
      </c>
      <c r="K1828">
        <v>16783.849999999999</v>
      </c>
    </row>
    <row r="1829" spans="1:11" x14ac:dyDescent="0.35">
      <c r="A1829">
        <v>9100000489</v>
      </c>
      <c r="B1829">
        <v>9400005393</v>
      </c>
      <c r="C1829" s="10">
        <v>46142</v>
      </c>
      <c r="D1829" t="s">
        <v>2032</v>
      </c>
      <c r="E1829" s="11">
        <v>123</v>
      </c>
      <c r="F1829" t="s">
        <v>525</v>
      </c>
      <c r="G1829" t="s">
        <v>526</v>
      </c>
      <c r="H1829" s="10">
        <v>46187</v>
      </c>
      <c r="I1829">
        <v>27298.12</v>
      </c>
      <c r="J1829">
        <v>0</v>
      </c>
      <c r="K1829">
        <v>27298.12</v>
      </c>
    </row>
    <row r="1830" spans="1:11" x14ac:dyDescent="0.35">
      <c r="A1830">
        <v>2000000099</v>
      </c>
      <c r="B1830">
        <v>9400005385</v>
      </c>
      <c r="C1830" s="10">
        <v>46142</v>
      </c>
      <c r="D1830" t="s">
        <v>2032</v>
      </c>
      <c r="E1830" s="11">
        <v>18526806</v>
      </c>
      <c r="F1830" t="s">
        <v>683</v>
      </c>
      <c r="G1830" t="s">
        <v>684</v>
      </c>
      <c r="H1830" s="10">
        <v>46187</v>
      </c>
      <c r="I1830">
        <v>590047.19999999995</v>
      </c>
      <c r="J1830">
        <v>0</v>
      </c>
      <c r="K1830">
        <v>590047.19999999995</v>
      </c>
    </row>
    <row r="1831" spans="1:11" x14ac:dyDescent="0.35">
      <c r="A1831">
        <v>9300000284</v>
      </c>
      <c r="B1831">
        <v>9400005384</v>
      </c>
      <c r="C1831" s="10">
        <v>46142</v>
      </c>
      <c r="D1831" t="s">
        <v>2032</v>
      </c>
      <c r="E1831" s="11">
        <v>18526827</v>
      </c>
      <c r="F1831" t="s">
        <v>593</v>
      </c>
      <c r="G1831" t="s">
        <v>594</v>
      </c>
      <c r="H1831" s="10">
        <v>46187</v>
      </c>
      <c r="I1831">
        <v>141396.34</v>
      </c>
      <c r="J1831">
        <v>0</v>
      </c>
      <c r="K1831">
        <v>141396.34</v>
      </c>
    </row>
    <row r="1832" spans="1:11" x14ac:dyDescent="0.35">
      <c r="A1832">
        <v>2730000209</v>
      </c>
      <c r="B1832">
        <v>9400005382</v>
      </c>
      <c r="C1832" s="10">
        <v>46142</v>
      </c>
      <c r="D1832" t="s">
        <v>2032</v>
      </c>
      <c r="E1832" s="11">
        <v>1</v>
      </c>
      <c r="F1832" t="s">
        <v>709</v>
      </c>
      <c r="G1832" t="s">
        <v>710</v>
      </c>
      <c r="H1832" s="10">
        <v>46187</v>
      </c>
      <c r="I1832">
        <v>34829.35</v>
      </c>
      <c r="J1832">
        <v>0</v>
      </c>
      <c r="K1832">
        <v>34829.35</v>
      </c>
    </row>
    <row r="1833" spans="1:11" x14ac:dyDescent="0.35">
      <c r="A1833">
        <v>2730000208</v>
      </c>
      <c r="B1833">
        <v>9400005380</v>
      </c>
      <c r="C1833" s="10">
        <v>46142</v>
      </c>
      <c r="D1833" t="s">
        <v>2032</v>
      </c>
      <c r="E1833" s="11">
        <v>1</v>
      </c>
      <c r="F1833" t="s">
        <v>463</v>
      </c>
      <c r="G1833" t="s">
        <v>464</v>
      </c>
      <c r="H1833" s="10">
        <v>46187</v>
      </c>
      <c r="I1833">
        <v>58048.92</v>
      </c>
      <c r="J1833">
        <v>0</v>
      </c>
      <c r="K1833">
        <v>58048.92</v>
      </c>
    </row>
    <row r="1834" spans="1:11" x14ac:dyDescent="0.35">
      <c r="A1834">
        <v>2730000207</v>
      </c>
      <c r="B1834">
        <v>9400005376</v>
      </c>
      <c r="C1834" s="10">
        <v>46142</v>
      </c>
      <c r="D1834" t="s">
        <v>2032</v>
      </c>
      <c r="E1834" s="11">
        <v>1</v>
      </c>
      <c r="F1834" t="s">
        <v>583</v>
      </c>
      <c r="G1834" t="s">
        <v>584</v>
      </c>
      <c r="H1834" s="10">
        <v>46187</v>
      </c>
      <c r="I1834">
        <v>149754.74</v>
      </c>
      <c r="J1834">
        <v>0</v>
      </c>
      <c r="K1834">
        <v>149754.74</v>
      </c>
    </row>
    <row r="1835" spans="1:11" x14ac:dyDescent="0.35">
      <c r="A1835">
        <v>2720000165</v>
      </c>
      <c r="B1835">
        <v>9400005375</v>
      </c>
      <c r="C1835" s="10">
        <v>46142</v>
      </c>
      <c r="D1835" t="s">
        <v>2032</v>
      </c>
      <c r="E1835" s="11">
        <v>18428134</v>
      </c>
      <c r="F1835" t="s">
        <v>227</v>
      </c>
      <c r="G1835" t="s">
        <v>228</v>
      </c>
      <c r="H1835" s="10">
        <v>46187</v>
      </c>
      <c r="I1835">
        <v>54716.6</v>
      </c>
      <c r="J1835">
        <v>0</v>
      </c>
      <c r="K1835">
        <v>54716.6</v>
      </c>
    </row>
    <row r="1836" spans="1:11" x14ac:dyDescent="0.35">
      <c r="A1836">
        <v>2730000206</v>
      </c>
      <c r="B1836">
        <v>9400005372</v>
      </c>
      <c r="C1836" s="10">
        <v>46142</v>
      </c>
      <c r="D1836" t="s">
        <v>2032</v>
      </c>
      <c r="E1836" s="11">
        <v>1</v>
      </c>
      <c r="F1836" t="s">
        <v>25</v>
      </c>
      <c r="G1836" t="s">
        <v>26</v>
      </c>
      <c r="H1836" s="10">
        <v>46187</v>
      </c>
      <c r="I1836">
        <v>166394.16</v>
      </c>
      <c r="J1836">
        <v>0</v>
      </c>
      <c r="K1836">
        <v>166394.16</v>
      </c>
    </row>
    <row r="1837" spans="1:11" x14ac:dyDescent="0.35">
      <c r="A1837">
        <v>3000000441</v>
      </c>
      <c r="B1837">
        <v>9400005371</v>
      </c>
      <c r="C1837" s="10">
        <v>46142</v>
      </c>
      <c r="D1837" t="s">
        <v>2032</v>
      </c>
      <c r="E1837" s="11">
        <v>18527115</v>
      </c>
      <c r="F1837" t="s">
        <v>237</v>
      </c>
      <c r="G1837" t="s">
        <v>238</v>
      </c>
      <c r="H1837" s="10">
        <v>46187</v>
      </c>
      <c r="I1837">
        <v>45606.52</v>
      </c>
      <c r="J1837">
        <v>0</v>
      </c>
      <c r="K1837">
        <v>45606.52</v>
      </c>
    </row>
    <row r="1838" spans="1:11" x14ac:dyDescent="0.35">
      <c r="A1838">
        <v>2720000164</v>
      </c>
      <c r="B1838">
        <v>9400005366</v>
      </c>
      <c r="C1838" s="10">
        <v>46142</v>
      </c>
      <c r="D1838" t="s">
        <v>2032</v>
      </c>
      <c r="E1838" s="11">
        <v>18514904</v>
      </c>
      <c r="F1838" t="s">
        <v>312</v>
      </c>
      <c r="G1838" t="s">
        <v>313</v>
      </c>
      <c r="H1838" s="10">
        <v>46187</v>
      </c>
      <c r="I1838">
        <v>4766.3999999999996</v>
      </c>
      <c r="J1838">
        <v>0</v>
      </c>
      <c r="K1838">
        <v>4766.3999999999996</v>
      </c>
    </row>
    <row r="1839" spans="1:11" x14ac:dyDescent="0.35">
      <c r="A1839">
        <v>9300000282</v>
      </c>
      <c r="B1839">
        <v>9400005362</v>
      </c>
      <c r="C1839" s="10">
        <v>46142</v>
      </c>
      <c r="D1839" t="s">
        <v>2032</v>
      </c>
      <c r="E1839" s="11">
        <v>18461974</v>
      </c>
      <c r="F1839" t="s">
        <v>615</v>
      </c>
      <c r="G1839" t="s">
        <v>616</v>
      </c>
      <c r="H1839" s="10">
        <v>46187</v>
      </c>
      <c r="I1839">
        <v>37939.360000000001</v>
      </c>
      <c r="J1839">
        <v>0</v>
      </c>
      <c r="K1839">
        <v>37939.360000000001</v>
      </c>
    </row>
    <row r="1840" spans="1:11" x14ac:dyDescent="0.35">
      <c r="A1840">
        <v>2710000341</v>
      </c>
      <c r="B1840">
        <v>9400005358</v>
      </c>
      <c r="C1840" s="10">
        <v>46142</v>
      </c>
      <c r="D1840" t="s">
        <v>2032</v>
      </c>
      <c r="E1840" s="11">
        <v>18514796</v>
      </c>
      <c r="F1840" t="s">
        <v>17</v>
      </c>
      <c r="G1840" t="s">
        <v>18</v>
      </c>
      <c r="H1840" s="10">
        <v>46187</v>
      </c>
      <c r="I1840">
        <v>92905.88</v>
      </c>
      <c r="J1840">
        <v>0</v>
      </c>
      <c r="K1840">
        <v>92905.88</v>
      </c>
    </row>
    <row r="1841" spans="1:11" x14ac:dyDescent="0.35">
      <c r="A1841">
        <v>2300000188</v>
      </c>
      <c r="B1841">
        <v>9400005356</v>
      </c>
      <c r="C1841" s="10">
        <v>46142</v>
      </c>
      <c r="D1841" t="s">
        <v>2032</v>
      </c>
      <c r="E1841" s="11">
        <v>18527176</v>
      </c>
      <c r="F1841" t="s">
        <v>391</v>
      </c>
      <c r="G1841" t="s">
        <v>392</v>
      </c>
      <c r="H1841" s="10">
        <v>46187</v>
      </c>
      <c r="I1841">
        <v>104133.7</v>
      </c>
      <c r="J1841">
        <v>0</v>
      </c>
      <c r="K1841">
        <v>104133.7</v>
      </c>
    </row>
    <row r="1842" spans="1:11" x14ac:dyDescent="0.35">
      <c r="A1842">
        <v>2710000340</v>
      </c>
      <c r="B1842">
        <v>9400005354</v>
      </c>
      <c r="C1842" s="10">
        <v>46142</v>
      </c>
      <c r="D1842" t="s">
        <v>2032</v>
      </c>
      <c r="E1842" s="11">
        <v>18525717</v>
      </c>
      <c r="F1842" t="s">
        <v>763</v>
      </c>
      <c r="G1842" t="s">
        <v>764</v>
      </c>
      <c r="H1842" s="10">
        <v>46187</v>
      </c>
      <c r="I1842">
        <v>64297.74</v>
      </c>
      <c r="J1842">
        <v>0</v>
      </c>
      <c r="K1842">
        <v>64297.74</v>
      </c>
    </row>
    <row r="1843" spans="1:11" x14ac:dyDescent="0.35">
      <c r="A1843">
        <v>9100000486</v>
      </c>
      <c r="B1843">
        <v>9400005346</v>
      </c>
      <c r="C1843" s="10">
        <v>46142</v>
      </c>
      <c r="D1843" t="s">
        <v>2032</v>
      </c>
      <c r="E1843" s="11">
        <v>18526019</v>
      </c>
      <c r="F1843" t="s">
        <v>765</v>
      </c>
      <c r="G1843" t="s">
        <v>766</v>
      </c>
      <c r="H1843" s="10">
        <v>46187</v>
      </c>
      <c r="I1843">
        <v>29950.28</v>
      </c>
      <c r="J1843">
        <v>0</v>
      </c>
      <c r="K1843">
        <v>29950.28</v>
      </c>
    </row>
    <row r="1844" spans="1:11" x14ac:dyDescent="0.35">
      <c r="A1844">
        <v>2710000339</v>
      </c>
      <c r="B1844">
        <v>9400005344</v>
      </c>
      <c r="C1844" s="10">
        <v>46142</v>
      </c>
      <c r="D1844" t="s">
        <v>2032</v>
      </c>
      <c r="E1844" s="11">
        <v>18527063</v>
      </c>
      <c r="F1844" t="s">
        <v>767</v>
      </c>
      <c r="G1844" t="s">
        <v>768</v>
      </c>
      <c r="H1844" s="10">
        <v>46187</v>
      </c>
      <c r="I1844">
        <v>5870.74</v>
      </c>
      <c r="J1844">
        <v>0</v>
      </c>
      <c r="K1844">
        <v>5870.74</v>
      </c>
    </row>
    <row r="1845" spans="1:11" x14ac:dyDescent="0.35">
      <c r="A1845">
        <v>2710000336</v>
      </c>
      <c r="B1845">
        <v>9400005341</v>
      </c>
      <c r="C1845" s="10">
        <v>46142</v>
      </c>
      <c r="D1845" t="s">
        <v>2032</v>
      </c>
      <c r="E1845" s="11">
        <v>18527056</v>
      </c>
      <c r="F1845" t="s">
        <v>503</v>
      </c>
      <c r="G1845" t="s">
        <v>504</v>
      </c>
      <c r="H1845" s="10">
        <v>46187</v>
      </c>
      <c r="I1845">
        <v>5870.74</v>
      </c>
      <c r="J1845">
        <v>0</v>
      </c>
      <c r="K1845">
        <v>5870.74</v>
      </c>
    </row>
    <row r="1846" spans="1:11" x14ac:dyDescent="0.35">
      <c r="A1846">
        <v>5200000140</v>
      </c>
      <c r="B1846">
        <v>9400005337</v>
      </c>
      <c r="C1846" s="10">
        <v>46142</v>
      </c>
      <c r="D1846" t="s">
        <v>2032</v>
      </c>
      <c r="E1846" s="11">
        <v>18526940</v>
      </c>
      <c r="F1846" t="s">
        <v>769</v>
      </c>
      <c r="G1846" t="s">
        <v>770</v>
      </c>
      <c r="H1846" s="10">
        <v>46187</v>
      </c>
      <c r="I1846">
        <v>150700.16</v>
      </c>
      <c r="J1846">
        <v>0</v>
      </c>
      <c r="K1846">
        <v>150700.16</v>
      </c>
    </row>
    <row r="1847" spans="1:11" x14ac:dyDescent="0.35">
      <c r="A1847">
        <v>2710000335</v>
      </c>
      <c r="B1847">
        <v>9400005336</v>
      </c>
      <c r="C1847" s="10">
        <v>46142</v>
      </c>
      <c r="D1847" t="s">
        <v>2032</v>
      </c>
      <c r="E1847" s="11">
        <v>18526821</v>
      </c>
      <c r="F1847" t="s">
        <v>391</v>
      </c>
      <c r="G1847" t="s">
        <v>392</v>
      </c>
      <c r="H1847" s="10">
        <v>46187</v>
      </c>
      <c r="I1847">
        <v>152946.88</v>
      </c>
      <c r="J1847">
        <v>0</v>
      </c>
      <c r="K1847">
        <v>152946.88</v>
      </c>
    </row>
    <row r="1848" spans="1:11" x14ac:dyDescent="0.35">
      <c r="A1848">
        <v>3000000434</v>
      </c>
      <c r="B1848">
        <v>9400005323</v>
      </c>
      <c r="C1848" s="10">
        <v>46142</v>
      </c>
      <c r="D1848" t="s">
        <v>2032</v>
      </c>
      <c r="E1848" s="11">
        <v>18527145</v>
      </c>
      <c r="F1848" t="s">
        <v>204</v>
      </c>
      <c r="G1848" t="s">
        <v>205</v>
      </c>
      <c r="H1848" s="10">
        <v>46187</v>
      </c>
      <c r="I1848">
        <v>47688.05</v>
      </c>
      <c r="J1848">
        <v>0</v>
      </c>
      <c r="K1848">
        <v>47688.05</v>
      </c>
    </row>
    <row r="1849" spans="1:11" x14ac:dyDescent="0.35">
      <c r="A1849">
        <v>2730000200</v>
      </c>
      <c r="B1849">
        <v>9400005317</v>
      </c>
      <c r="C1849" s="10">
        <v>46142</v>
      </c>
      <c r="D1849" t="s">
        <v>2032</v>
      </c>
      <c r="E1849" s="11">
        <v>18526531</v>
      </c>
      <c r="F1849" t="s">
        <v>47</v>
      </c>
      <c r="G1849" t="s">
        <v>48</v>
      </c>
      <c r="H1849" s="10">
        <v>46187</v>
      </c>
      <c r="I1849">
        <v>8912.5400000000009</v>
      </c>
      <c r="J1849">
        <v>0</v>
      </c>
      <c r="K1849">
        <v>8912.5400000000009</v>
      </c>
    </row>
    <row r="1850" spans="1:11" x14ac:dyDescent="0.35">
      <c r="A1850">
        <v>2720000162</v>
      </c>
      <c r="B1850">
        <v>9400005312</v>
      </c>
      <c r="C1850" s="10">
        <v>46142</v>
      </c>
      <c r="D1850" t="s">
        <v>2032</v>
      </c>
      <c r="E1850" s="11">
        <v>18526603</v>
      </c>
      <c r="F1850" t="s">
        <v>154</v>
      </c>
      <c r="G1850" t="s">
        <v>155</v>
      </c>
      <c r="H1850" s="10">
        <v>46187</v>
      </c>
      <c r="I1850">
        <v>9596.2000000000007</v>
      </c>
      <c r="J1850">
        <v>0</v>
      </c>
      <c r="K1850">
        <v>9596.2000000000007</v>
      </c>
    </row>
    <row r="1851" spans="1:11" x14ac:dyDescent="0.35">
      <c r="A1851">
        <v>2710000333</v>
      </c>
      <c r="B1851">
        <v>9400005304</v>
      </c>
      <c r="C1851" s="10">
        <v>46142</v>
      </c>
      <c r="D1851" t="s">
        <v>2032</v>
      </c>
      <c r="E1851" s="11">
        <v>18526872</v>
      </c>
      <c r="F1851" t="s">
        <v>679</v>
      </c>
      <c r="G1851" t="s">
        <v>680</v>
      </c>
      <c r="H1851" s="10">
        <v>46187</v>
      </c>
      <c r="I1851">
        <v>50232.6</v>
      </c>
      <c r="J1851">
        <v>0</v>
      </c>
      <c r="K1851">
        <v>50232.6</v>
      </c>
    </row>
    <row r="1852" spans="1:11" x14ac:dyDescent="0.35">
      <c r="A1852">
        <v>3000000432</v>
      </c>
      <c r="B1852">
        <v>9400005302</v>
      </c>
      <c r="C1852" s="10">
        <v>46142</v>
      </c>
      <c r="D1852" t="s">
        <v>2032</v>
      </c>
      <c r="E1852" s="11">
        <v>18527178</v>
      </c>
      <c r="F1852" t="s">
        <v>535</v>
      </c>
      <c r="G1852" t="s">
        <v>536</v>
      </c>
      <c r="H1852" s="10">
        <v>46187</v>
      </c>
      <c r="I1852">
        <v>74653.22</v>
      </c>
      <c r="J1852">
        <v>0</v>
      </c>
      <c r="K1852">
        <v>74653.22</v>
      </c>
    </row>
    <row r="1853" spans="1:11" x14ac:dyDescent="0.35">
      <c r="A1853">
        <v>9100000481</v>
      </c>
      <c r="B1853">
        <v>9400005298</v>
      </c>
      <c r="C1853" s="10">
        <v>46142</v>
      </c>
      <c r="D1853" t="s">
        <v>2032</v>
      </c>
      <c r="E1853" s="11">
        <v>123</v>
      </c>
      <c r="F1853" t="s">
        <v>375</v>
      </c>
      <c r="G1853" t="s">
        <v>376</v>
      </c>
      <c r="H1853" s="10">
        <v>46187</v>
      </c>
      <c r="I1853">
        <v>5870.74</v>
      </c>
      <c r="J1853">
        <v>0</v>
      </c>
      <c r="K1853">
        <v>5870.74</v>
      </c>
    </row>
    <row r="1854" spans="1:11" x14ac:dyDescent="0.35">
      <c r="A1854">
        <v>2710000331</v>
      </c>
      <c r="B1854">
        <v>9400005293</v>
      </c>
      <c r="C1854" s="10">
        <v>46142</v>
      </c>
      <c r="D1854" t="s">
        <v>2032</v>
      </c>
      <c r="E1854" s="11">
        <v>18526060</v>
      </c>
      <c r="F1854" t="s">
        <v>753</v>
      </c>
      <c r="G1854" t="s">
        <v>754</v>
      </c>
      <c r="H1854" s="10">
        <v>46187</v>
      </c>
      <c r="I1854">
        <v>8107.31</v>
      </c>
      <c r="J1854">
        <v>0</v>
      </c>
      <c r="K1854">
        <v>8107.31</v>
      </c>
    </row>
    <row r="1855" spans="1:11" x14ac:dyDescent="0.35">
      <c r="A1855">
        <v>2730000197</v>
      </c>
      <c r="B1855">
        <v>9400005291</v>
      </c>
      <c r="C1855" s="10">
        <v>46142</v>
      </c>
      <c r="D1855" t="s">
        <v>2032</v>
      </c>
      <c r="E1855" s="11">
        <v>18526364</v>
      </c>
      <c r="F1855" t="s">
        <v>483</v>
      </c>
      <c r="G1855" t="s">
        <v>484</v>
      </c>
      <c r="H1855" s="10">
        <v>46187</v>
      </c>
      <c r="I1855">
        <v>31260.1</v>
      </c>
      <c r="J1855">
        <v>0</v>
      </c>
      <c r="K1855">
        <v>31260.1</v>
      </c>
    </row>
    <row r="1856" spans="1:11" x14ac:dyDescent="0.35">
      <c r="A1856">
        <v>2710000330</v>
      </c>
      <c r="B1856">
        <v>9400005290</v>
      </c>
      <c r="C1856" s="10">
        <v>46142</v>
      </c>
      <c r="D1856" t="s">
        <v>2032</v>
      </c>
      <c r="E1856" s="11">
        <v>18526027</v>
      </c>
      <c r="F1856" t="s">
        <v>28</v>
      </c>
      <c r="G1856" t="s">
        <v>29</v>
      </c>
      <c r="H1856" s="10">
        <v>46187</v>
      </c>
      <c r="I1856">
        <v>17087.38</v>
      </c>
      <c r="J1856">
        <v>0</v>
      </c>
      <c r="K1856">
        <v>17087.38</v>
      </c>
    </row>
    <row r="1857" spans="1:11" x14ac:dyDescent="0.35">
      <c r="A1857">
        <v>2710000329</v>
      </c>
      <c r="B1857">
        <v>9400005289</v>
      </c>
      <c r="C1857" s="10">
        <v>46142</v>
      </c>
      <c r="D1857" t="s">
        <v>2032</v>
      </c>
      <c r="E1857" s="11">
        <v>18525733</v>
      </c>
      <c r="F1857" t="s">
        <v>64</v>
      </c>
      <c r="G1857" t="s">
        <v>65</v>
      </c>
      <c r="H1857" s="10">
        <v>46187</v>
      </c>
      <c r="I1857">
        <v>33489.96</v>
      </c>
      <c r="J1857">
        <v>0</v>
      </c>
      <c r="K1857">
        <v>33489.96</v>
      </c>
    </row>
    <row r="1858" spans="1:11" x14ac:dyDescent="0.35">
      <c r="A1858">
        <v>2710000328</v>
      </c>
      <c r="B1858">
        <v>9400005288</v>
      </c>
      <c r="C1858" s="10">
        <v>46142</v>
      </c>
      <c r="D1858" t="s">
        <v>2032</v>
      </c>
      <c r="E1858" s="11">
        <v>18525730</v>
      </c>
      <c r="F1858" t="s">
        <v>757</v>
      </c>
      <c r="G1858" t="s">
        <v>758</v>
      </c>
      <c r="H1858" s="10">
        <v>46187</v>
      </c>
      <c r="I1858">
        <v>16660.09</v>
      </c>
      <c r="J1858">
        <v>0</v>
      </c>
      <c r="K1858">
        <v>16660.09</v>
      </c>
    </row>
    <row r="1859" spans="1:11" x14ac:dyDescent="0.35">
      <c r="A1859">
        <v>2710000327</v>
      </c>
      <c r="B1859">
        <v>9400005287</v>
      </c>
      <c r="C1859" s="10">
        <v>46142</v>
      </c>
      <c r="D1859" t="s">
        <v>2032</v>
      </c>
      <c r="E1859" s="11">
        <v>18525688</v>
      </c>
      <c r="F1859" t="s">
        <v>505</v>
      </c>
      <c r="G1859" t="s">
        <v>506</v>
      </c>
      <c r="H1859" s="10">
        <v>46187</v>
      </c>
      <c r="I1859">
        <v>8401.27</v>
      </c>
      <c r="J1859">
        <v>0</v>
      </c>
      <c r="K1859">
        <v>8401.27</v>
      </c>
    </row>
    <row r="1860" spans="1:11" x14ac:dyDescent="0.35">
      <c r="A1860">
        <v>2710000326</v>
      </c>
      <c r="B1860">
        <v>9400005285</v>
      </c>
      <c r="C1860" s="10">
        <v>46142</v>
      </c>
      <c r="D1860" t="s">
        <v>2032</v>
      </c>
      <c r="E1860" s="11">
        <v>18525633</v>
      </c>
      <c r="F1860" t="s">
        <v>579</v>
      </c>
      <c r="G1860" t="s">
        <v>580</v>
      </c>
      <c r="H1860" s="10">
        <v>46187</v>
      </c>
      <c r="I1860">
        <v>8107.31</v>
      </c>
      <c r="J1860">
        <v>0</v>
      </c>
      <c r="K1860">
        <v>8107.31</v>
      </c>
    </row>
    <row r="1861" spans="1:11" x14ac:dyDescent="0.35">
      <c r="A1861">
        <v>2720000161</v>
      </c>
      <c r="B1861">
        <v>9400005284</v>
      </c>
      <c r="C1861" s="10">
        <v>46142</v>
      </c>
      <c r="D1861" t="s">
        <v>2032</v>
      </c>
      <c r="E1861" s="11">
        <v>18462307</v>
      </c>
      <c r="F1861" t="s">
        <v>771</v>
      </c>
      <c r="G1861" t="s">
        <v>772</v>
      </c>
      <c r="H1861" s="10">
        <v>46187</v>
      </c>
      <c r="I1861">
        <v>79296</v>
      </c>
      <c r="J1861">
        <v>0</v>
      </c>
      <c r="K1861">
        <v>79296</v>
      </c>
    </row>
    <row r="1862" spans="1:11" x14ac:dyDescent="0.35">
      <c r="A1862">
        <v>2710000324</v>
      </c>
      <c r="B1862">
        <v>9400005281</v>
      </c>
      <c r="C1862" s="10">
        <v>46142</v>
      </c>
      <c r="D1862" t="s">
        <v>2032</v>
      </c>
      <c r="E1862" s="11">
        <v>18525586</v>
      </c>
      <c r="F1862" t="s">
        <v>427</v>
      </c>
      <c r="G1862" t="s">
        <v>428</v>
      </c>
      <c r="H1862" s="10">
        <v>46187</v>
      </c>
      <c r="I1862">
        <v>13188.06</v>
      </c>
      <c r="J1862">
        <v>0</v>
      </c>
      <c r="K1862">
        <v>13188.06</v>
      </c>
    </row>
    <row r="1863" spans="1:11" x14ac:dyDescent="0.35">
      <c r="A1863">
        <v>2710000323</v>
      </c>
      <c r="B1863">
        <v>9400005280</v>
      </c>
      <c r="C1863" s="10">
        <v>46142</v>
      </c>
      <c r="D1863" t="s">
        <v>2032</v>
      </c>
      <c r="E1863" s="11">
        <v>18525585</v>
      </c>
      <c r="F1863" t="s">
        <v>773</v>
      </c>
      <c r="G1863" t="s">
        <v>774</v>
      </c>
      <c r="H1863" s="10">
        <v>46187</v>
      </c>
      <c r="I1863">
        <v>4147.75</v>
      </c>
      <c r="J1863">
        <v>0</v>
      </c>
      <c r="K1863">
        <v>4147.75</v>
      </c>
    </row>
    <row r="1864" spans="1:11" x14ac:dyDescent="0.35">
      <c r="A1864">
        <v>2720000160</v>
      </c>
      <c r="B1864">
        <v>9400005270</v>
      </c>
      <c r="C1864" s="10">
        <v>46142</v>
      </c>
      <c r="D1864" t="s">
        <v>2032</v>
      </c>
      <c r="E1864" s="11">
        <v>18525955</v>
      </c>
      <c r="F1864" t="s">
        <v>775</v>
      </c>
      <c r="G1864" t="s">
        <v>776</v>
      </c>
      <c r="H1864" s="10">
        <v>46187</v>
      </c>
      <c r="I1864">
        <v>4906.4399999999996</v>
      </c>
      <c r="J1864">
        <v>0</v>
      </c>
      <c r="K1864">
        <v>4906.4399999999996</v>
      </c>
    </row>
    <row r="1865" spans="1:11" x14ac:dyDescent="0.35">
      <c r="A1865">
        <v>2710000322</v>
      </c>
      <c r="B1865">
        <v>9400005269</v>
      </c>
      <c r="C1865" s="10">
        <v>46142</v>
      </c>
      <c r="D1865" t="s">
        <v>2032</v>
      </c>
      <c r="E1865" s="11" t="s">
        <v>2050</v>
      </c>
      <c r="F1865" t="s">
        <v>66</v>
      </c>
      <c r="G1865" t="s">
        <v>67</v>
      </c>
      <c r="H1865" s="10">
        <v>46187</v>
      </c>
      <c r="I1865">
        <v>26355.73</v>
      </c>
      <c r="J1865">
        <v>0</v>
      </c>
      <c r="K1865">
        <v>26355.73</v>
      </c>
    </row>
    <row r="1866" spans="1:11" x14ac:dyDescent="0.35">
      <c r="A1866">
        <v>2720000159</v>
      </c>
      <c r="B1866">
        <v>9400005264</v>
      </c>
      <c r="C1866" s="10">
        <v>46142</v>
      </c>
      <c r="D1866" t="s">
        <v>2032</v>
      </c>
      <c r="E1866" s="11">
        <v>18525955</v>
      </c>
      <c r="F1866" t="s">
        <v>775</v>
      </c>
      <c r="G1866" t="s">
        <v>776</v>
      </c>
      <c r="H1866" s="10">
        <v>46187</v>
      </c>
      <c r="I1866">
        <v>54592.6</v>
      </c>
      <c r="J1866">
        <v>0</v>
      </c>
      <c r="K1866">
        <v>54592.6</v>
      </c>
    </row>
    <row r="1867" spans="1:11" x14ac:dyDescent="0.35">
      <c r="A1867">
        <v>9100000476</v>
      </c>
      <c r="B1867">
        <v>9400005261</v>
      </c>
      <c r="C1867" s="10">
        <v>46142</v>
      </c>
      <c r="D1867" t="s">
        <v>2032</v>
      </c>
      <c r="E1867" s="11">
        <v>18526019</v>
      </c>
      <c r="F1867" t="s">
        <v>765</v>
      </c>
      <c r="G1867" t="s">
        <v>766</v>
      </c>
      <c r="H1867" s="10">
        <v>46187</v>
      </c>
      <c r="I1867">
        <v>78912.5</v>
      </c>
      <c r="J1867">
        <v>0</v>
      </c>
      <c r="K1867">
        <v>78912.5</v>
      </c>
    </row>
    <row r="1868" spans="1:11" x14ac:dyDescent="0.35">
      <c r="A1868">
        <v>5100000379</v>
      </c>
      <c r="B1868">
        <v>9400005259</v>
      </c>
      <c r="C1868" s="10">
        <v>46142</v>
      </c>
      <c r="D1868" t="s">
        <v>2032</v>
      </c>
      <c r="E1868" s="11">
        <v>18527135</v>
      </c>
      <c r="F1868" t="s">
        <v>221</v>
      </c>
      <c r="G1868" t="s">
        <v>222</v>
      </c>
      <c r="H1868" s="10">
        <v>46187</v>
      </c>
      <c r="I1868">
        <v>32709.599999999999</v>
      </c>
      <c r="J1868">
        <v>0</v>
      </c>
      <c r="K1868">
        <v>32709.599999999999</v>
      </c>
    </row>
    <row r="1869" spans="1:11" x14ac:dyDescent="0.35">
      <c r="A1869">
        <v>9100000475</v>
      </c>
      <c r="B1869">
        <v>9400005257</v>
      </c>
      <c r="C1869" s="10">
        <v>46142</v>
      </c>
      <c r="D1869" t="s">
        <v>2032</v>
      </c>
      <c r="E1869" s="11">
        <v>123</v>
      </c>
      <c r="F1869" t="s">
        <v>186</v>
      </c>
      <c r="G1869" t="s">
        <v>187</v>
      </c>
      <c r="H1869" s="10">
        <v>46187</v>
      </c>
      <c r="I1869">
        <v>29353.68</v>
      </c>
      <c r="J1869">
        <v>0</v>
      </c>
      <c r="K1869">
        <v>29353.68</v>
      </c>
    </row>
    <row r="1870" spans="1:11" x14ac:dyDescent="0.35">
      <c r="A1870">
        <v>2300000183</v>
      </c>
      <c r="B1870">
        <v>9400005248</v>
      </c>
      <c r="C1870" s="10">
        <v>46142</v>
      </c>
      <c r="D1870" t="s">
        <v>2032</v>
      </c>
      <c r="E1870" s="11">
        <v>18526670</v>
      </c>
      <c r="F1870" t="s">
        <v>467</v>
      </c>
      <c r="G1870" t="s">
        <v>468</v>
      </c>
      <c r="H1870" s="10">
        <v>46187</v>
      </c>
      <c r="I1870">
        <v>7513.76</v>
      </c>
      <c r="J1870">
        <v>0</v>
      </c>
      <c r="K1870">
        <v>7513.76</v>
      </c>
    </row>
    <row r="1871" spans="1:11" x14ac:dyDescent="0.35">
      <c r="A1871">
        <v>9200000357</v>
      </c>
      <c r="B1871">
        <v>9400005247</v>
      </c>
      <c r="C1871" s="10">
        <v>46142</v>
      </c>
      <c r="D1871" t="s">
        <v>2032</v>
      </c>
      <c r="E1871" s="11">
        <v>18527082</v>
      </c>
      <c r="F1871" t="s">
        <v>184</v>
      </c>
      <c r="G1871" t="s">
        <v>185</v>
      </c>
      <c r="H1871" s="10">
        <v>46187</v>
      </c>
      <c r="I1871">
        <v>18715</v>
      </c>
      <c r="J1871">
        <v>0</v>
      </c>
      <c r="K1871">
        <v>18715</v>
      </c>
    </row>
    <row r="1872" spans="1:11" x14ac:dyDescent="0.35">
      <c r="A1872">
        <v>2300000182</v>
      </c>
      <c r="B1872">
        <v>9400005243</v>
      </c>
      <c r="C1872" s="10">
        <v>46142</v>
      </c>
      <c r="D1872" t="s">
        <v>2032</v>
      </c>
      <c r="E1872" s="11">
        <v>18526670</v>
      </c>
      <c r="F1872" t="s">
        <v>467</v>
      </c>
      <c r="G1872" t="s">
        <v>468</v>
      </c>
      <c r="H1872" s="10">
        <v>46187</v>
      </c>
      <c r="I1872">
        <v>10943.32</v>
      </c>
      <c r="J1872">
        <v>0</v>
      </c>
      <c r="K1872">
        <v>10943.32</v>
      </c>
    </row>
    <row r="1873" spans="1:11" x14ac:dyDescent="0.35">
      <c r="A1873">
        <v>9300000275</v>
      </c>
      <c r="B1873">
        <v>9400005238</v>
      </c>
      <c r="C1873" s="10">
        <v>46142</v>
      </c>
      <c r="D1873" t="s">
        <v>2032</v>
      </c>
      <c r="E1873" s="11">
        <v>18525455</v>
      </c>
      <c r="F1873" t="s">
        <v>781</v>
      </c>
      <c r="G1873" t="s">
        <v>782</v>
      </c>
      <c r="H1873" s="10">
        <v>46142</v>
      </c>
      <c r="I1873">
        <v>52411.8</v>
      </c>
      <c r="J1873">
        <v>50645.93</v>
      </c>
      <c r="K1873">
        <v>1765.8700000000026</v>
      </c>
    </row>
    <row r="1874" spans="1:11" x14ac:dyDescent="0.35">
      <c r="A1874">
        <v>3000000430</v>
      </c>
      <c r="B1874">
        <v>9400005234</v>
      </c>
      <c r="C1874" s="10">
        <v>46142</v>
      </c>
      <c r="D1874" t="s">
        <v>2032</v>
      </c>
      <c r="E1874" s="11">
        <v>18526972</v>
      </c>
      <c r="F1874" t="s">
        <v>783</v>
      </c>
      <c r="G1874" t="s">
        <v>784</v>
      </c>
      <c r="H1874" s="10">
        <v>46187</v>
      </c>
      <c r="I1874">
        <v>33984</v>
      </c>
      <c r="J1874">
        <v>0</v>
      </c>
      <c r="K1874">
        <v>33984</v>
      </c>
    </row>
    <row r="1875" spans="1:11" x14ac:dyDescent="0.35">
      <c r="A1875">
        <v>2730000193</v>
      </c>
      <c r="B1875">
        <v>9400005231</v>
      </c>
      <c r="C1875" s="10">
        <v>46142</v>
      </c>
      <c r="D1875" t="s">
        <v>2032</v>
      </c>
      <c r="E1875" s="11">
        <v>18526291</v>
      </c>
      <c r="F1875" t="s">
        <v>128</v>
      </c>
      <c r="G1875" t="s">
        <v>129</v>
      </c>
      <c r="H1875" s="10">
        <v>46187</v>
      </c>
      <c r="I1875">
        <v>56101.46</v>
      </c>
      <c r="J1875">
        <v>0</v>
      </c>
      <c r="K1875">
        <v>56101.46</v>
      </c>
    </row>
    <row r="1876" spans="1:11" x14ac:dyDescent="0.35">
      <c r="A1876">
        <v>5100000375</v>
      </c>
      <c r="B1876">
        <v>9400005230</v>
      </c>
      <c r="C1876" s="10">
        <v>46142</v>
      </c>
      <c r="D1876" t="s">
        <v>2032</v>
      </c>
      <c r="E1876" s="11">
        <v>18527050</v>
      </c>
      <c r="F1876" t="s">
        <v>296</v>
      </c>
      <c r="G1876" t="s">
        <v>297</v>
      </c>
      <c r="H1876" s="10">
        <v>46187</v>
      </c>
      <c r="I1876">
        <v>155764.6</v>
      </c>
      <c r="J1876">
        <v>0</v>
      </c>
      <c r="K1876">
        <v>155764.6</v>
      </c>
    </row>
    <row r="1877" spans="1:11" x14ac:dyDescent="0.35">
      <c r="A1877">
        <v>3000000429</v>
      </c>
      <c r="B1877">
        <v>9400005227</v>
      </c>
      <c r="C1877" s="10">
        <v>46142</v>
      </c>
      <c r="D1877" t="s">
        <v>2032</v>
      </c>
      <c r="E1877" s="11">
        <v>18526982</v>
      </c>
      <c r="F1877" t="s">
        <v>785</v>
      </c>
      <c r="G1877" t="s">
        <v>786</v>
      </c>
      <c r="H1877" s="10">
        <v>46187</v>
      </c>
      <c r="I1877">
        <v>155134.6</v>
      </c>
      <c r="J1877">
        <v>0</v>
      </c>
      <c r="K1877">
        <v>155134.6</v>
      </c>
    </row>
    <row r="1878" spans="1:11" x14ac:dyDescent="0.35">
      <c r="A1878">
        <v>9100000469</v>
      </c>
      <c r="B1878">
        <v>9400005226</v>
      </c>
      <c r="C1878" s="10">
        <v>46142</v>
      </c>
      <c r="D1878" t="s">
        <v>2032</v>
      </c>
      <c r="E1878" s="11">
        <v>18514718</v>
      </c>
      <c r="F1878" t="s">
        <v>559</v>
      </c>
      <c r="G1878" t="s">
        <v>560</v>
      </c>
      <c r="H1878" s="10">
        <v>46187</v>
      </c>
      <c r="I1878">
        <v>101952</v>
      </c>
      <c r="J1878">
        <v>0</v>
      </c>
      <c r="K1878">
        <v>101952</v>
      </c>
    </row>
    <row r="1879" spans="1:11" x14ac:dyDescent="0.35">
      <c r="A1879">
        <v>5200000135</v>
      </c>
      <c r="B1879">
        <v>9400005224</v>
      </c>
      <c r="C1879" s="10">
        <v>46142</v>
      </c>
      <c r="D1879" t="s">
        <v>2032</v>
      </c>
      <c r="E1879" s="11">
        <v>18526041</v>
      </c>
      <c r="F1879" t="s">
        <v>787</v>
      </c>
      <c r="G1879" t="s">
        <v>788</v>
      </c>
      <c r="H1879" s="10">
        <v>46187</v>
      </c>
      <c r="I1879">
        <v>90947.96</v>
      </c>
      <c r="J1879">
        <v>0</v>
      </c>
      <c r="K1879">
        <v>90947.96</v>
      </c>
    </row>
    <row r="1880" spans="1:11" x14ac:dyDescent="0.35">
      <c r="A1880">
        <v>8000000339</v>
      </c>
      <c r="B1880">
        <v>9400005221</v>
      </c>
      <c r="C1880" s="10">
        <v>46142</v>
      </c>
      <c r="D1880" t="s">
        <v>2032</v>
      </c>
      <c r="E1880" s="11">
        <v>18527005</v>
      </c>
      <c r="F1880" t="s">
        <v>789</v>
      </c>
      <c r="G1880" t="s">
        <v>790</v>
      </c>
      <c r="H1880" s="10">
        <v>46187</v>
      </c>
      <c r="I1880">
        <v>20058.82</v>
      </c>
      <c r="J1880">
        <v>0</v>
      </c>
      <c r="K1880">
        <v>20058.82</v>
      </c>
    </row>
    <row r="1881" spans="1:11" x14ac:dyDescent="0.35">
      <c r="A1881">
        <v>3000000428</v>
      </c>
      <c r="B1881">
        <v>9400005219</v>
      </c>
      <c r="C1881" s="10">
        <v>46142</v>
      </c>
      <c r="D1881" t="s">
        <v>2032</v>
      </c>
      <c r="E1881" s="11">
        <v>18526968</v>
      </c>
      <c r="F1881" t="s">
        <v>511</v>
      </c>
      <c r="G1881" t="s">
        <v>512</v>
      </c>
      <c r="H1881" s="10">
        <v>46187</v>
      </c>
      <c r="I1881">
        <v>29353.68</v>
      </c>
      <c r="J1881">
        <v>0</v>
      </c>
      <c r="K1881">
        <v>29353.68</v>
      </c>
    </row>
    <row r="1882" spans="1:11" x14ac:dyDescent="0.35">
      <c r="A1882">
        <v>2710000319</v>
      </c>
      <c r="B1882">
        <v>9400005218</v>
      </c>
      <c r="C1882" s="10">
        <v>46142</v>
      </c>
      <c r="D1882" t="s">
        <v>2032</v>
      </c>
      <c r="E1882" s="11">
        <v>18526819</v>
      </c>
      <c r="F1882" t="s">
        <v>565</v>
      </c>
      <c r="G1882" t="s">
        <v>566</v>
      </c>
      <c r="H1882" s="10">
        <v>46187</v>
      </c>
      <c r="I1882">
        <v>17523.099999999999</v>
      </c>
      <c r="J1882">
        <v>0</v>
      </c>
      <c r="K1882">
        <v>17523.099999999999</v>
      </c>
    </row>
    <row r="1883" spans="1:11" x14ac:dyDescent="0.35">
      <c r="A1883">
        <v>9100000467</v>
      </c>
      <c r="B1883">
        <v>9400005207</v>
      </c>
      <c r="C1883" s="10">
        <v>46142</v>
      </c>
      <c r="D1883" t="s">
        <v>2032</v>
      </c>
      <c r="E1883" s="11">
        <v>18493821</v>
      </c>
      <c r="F1883" t="s">
        <v>793</v>
      </c>
      <c r="G1883" t="s">
        <v>794</v>
      </c>
      <c r="H1883" s="10">
        <v>46187</v>
      </c>
      <c r="I1883">
        <v>64987.32</v>
      </c>
      <c r="J1883">
        <v>0</v>
      </c>
      <c r="K1883">
        <v>64987.32</v>
      </c>
    </row>
    <row r="1884" spans="1:11" x14ac:dyDescent="0.35">
      <c r="A1884">
        <v>2730000192</v>
      </c>
      <c r="B1884">
        <v>9400005202</v>
      </c>
      <c r="C1884" s="10">
        <v>46142</v>
      </c>
      <c r="D1884" t="s">
        <v>2032</v>
      </c>
      <c r="E1884" s="11">
        <v>18526291</v>
      </c>
      <c r="F1884" t="s">
        <v>128</v>
      </c>
      <c r="G1884" t="s">
        <v>129</v>
      </c>
      <c r="H1884" s="10">
        <v>46187</v>
      </c>
      <c r="I1884">
        <v>147391.44</v>
      </c>
      <c r="J1884">
        <v>0</v>
      </c>
      <c r="K1884">
        <v>147391.44</v>
      </c>
    </row>
    <row r="1885" spans="1:11" x14ac:dyDescent="0.35">
      <c r="A1885">
        <v>5200000133</v>
      </c>
      <c r="B1885">
        <v>9400005193</v>
      </c>
      <c r="C1885" s="10">
        <v>46142</v>
      </c>
      <c r="D1885" t="s">
        <v>2032</v>
      </c>
      <c r="E1885" s="11">
        <v>18439978</v>
      </c>
      <c r="F1885" t="s">
        <v>411</v>
      </c>
      <c r="G1885" t="s">
        <v>412</v>
      </c>
      <c r="H1885" s="10">
        <v>46187</v>
      </c>
      <c r="I1885">
        <v>32034.9</v>
      </c>
      <c r="J1885">
        <v>0</v>
      </c>
      <c r="K1885">
        <v>32034.9</v>
      </c>
    </row>
    <row r="1886" spans="1:11" x14ac:dyDescent="0.35">
      <c r="A1886">
        <v>9100000462</v>
      </c>
      <c r="B1886">
        <v>9400005181</v>
      </c>
      <c r="C1886" s="10">
        <v>46142</v>
      </c>
      <c r="D1886" t="s">
        <v>2032</v>
      </c>
      <c r="E1886" s="11">
        <v>18525723</v>
      </c>
      <c r="F1886" t="s">
        <v>347</v>
      </c>
      <c r="G1886" t="s">
        <v>348</v>
      </c>
      <c r="H1886" s="10">
        <v>46187</v>
      </c>
      <c r="I1886">
        <v>39616.86</v>
      </c>
      <c r="J1886">
        <v>0</v>
      </c>
      <c r="K1886">
        <v>39616.86</v>
      </c>
    </row>
    <row r="1887" spans="1:11" x14ac:dyDescent="0.35">
      <c r="A1887">
        <v>5200000132</v>
      </c>
      <c r="B1887">
        <v>9400005178</v>
      </c>
      <c r="C1887" s="10">
        <v>46142</v>
      </c>
      <c r="D1887" t="s">
        <v>2032</v>
      </c>
      <c r="E1887" s="11">
        <v>18526495</v>
      </c>
      <c r="F1887" t="s">
        <v>759</v>
      </c>
      <c r="G1887" t="s">
        <v>760</v>
      </c>
      <c r="H1887" s="10">
        <v>46156</v>
      </c>
      <c r="I1887">
        <v>123956.64</v>
      </c>
      <c r="J1887">
        <v>123956.23</v>
      </c>
      <c r="K1887">
        <v>0.41000000000349246</v>
      </c>
    </row>
    <row r="1888" spans="1:11" x14ac:dyDescent="0.35">
      <c r="A1888">
        <v>5100000371</v>
      </c>
      <c r="B1888">
        <v>9400005173</v>
      </c>
      <c r="C1888" s="10">
        <v>46142</v>
      </c>
      <c r="D1888" t="s">
        <v>2032</v>
      </c>
      <c r="E1888" s="11">
        <v>18515151</v>
      </c>
      <c r="F1888" t="s">
        <v>211</v>
      </c>
      <c r="G1888" t="s">
        <v>212</v>
      </c>
      <c r="H1888" s="10">
        <v>46187</v>
      </c>
      <c r="I1888">
        <v>5928.8</v>
      </c>
      <c r="J1888">
        <v>0</v>
      </c>
      <c r="K1888">
        <v>5928.8</v>
      </c>
    </row>
    <row r="1889" spans="1:11" x14ac:dyDescent="0.35">
      <c r="A1889">
        <v>9100000461</v>
      </c>
      <c r="B1889">
        <v>9400005172</v>
      </c>
      <c r="C1889" s="10">
        <v>46142</v>
      </c>
      <c r="D1889" t="s">
        <v>2032</v>
      </c>
      <c r="E1889" s="11">
        <v>18514947</v>
      </c>
      <c r="F1889" t="s">
        <v>799</v>
      </c>
      <c r="G1889" t="s">
        <v>800</v>
      </c>
      <c r="H1889" s="10">
        <v>46187</v>
      </c>
      <c r="I1889">
        <v>17554.3</v>
      </c>
      <c r="J1889">
        <v>0</v>
      </c>
      <c r="K1889">
        <v>17554.3</v>
      </c>
    </row>
    <row r="1890" spans="1:11" x14ac:dyDescent="0.35">
      <c r="A1890">
        <v>9100000460</v>
      </c>
      <c r="B1890">
        <v>9400005168</v>
      </c>
      <c r="C1890" s="10">
        <v>46142</v>
      </c>
      <c r="D1890" t="s">
        <v>2032</v>
      </c>
      <c r="E1890" s="11">
        <v>18525533</v>
      </c>
      <c r="F1890" t="s">
        <v>777</v>
      </c>
      <c r="G1890" t="s">
        <v>778</v>
      </c>
      <c r="H1890" s="10">
        <v>46187</v>
      </c>
      <c r="I1890">
        <v>20094.22</v>
      </c>
      <c r="J1890">
        <v>0</v>
      </c>
      <c r="K1890">
        <v>20094.22</v>
      </c>
    </row>
    <row r="1891" spans="1:11" x14ac:dyDescent="0.35">
      <c r="A1891">
        <v>2000000094</v>
      </c>
      <c r="B1891">
        <v>9400005165</v>
      </c>
      <c r="C1891" s="10">
        <v>46142</v>
      </c>
      <c r="D1891" t="s">
        <v>2032</v>
      </c>
      <c r="E1891" s="11">
        <v>18526806</v>
      </c>
      <c r="F1891" t="s">
        <v>683</v>
      </c>
      <c r="G1891" t="s">
        <v>684</v>
      </c>
      <c r="H1891" s="10">
        <v>46187</v>
      </c>
      <c r="I1891">
        <v>286716.86</v>
      </c>
      <c r="J1891">
        <v>0</v>
      </c>
      <c r="K1891">
        <v>286716.86</v>
      </c>
    </row>
    <row r="1892" spans="1:11" x14ac:dyDescent="0.35">
      <c r="A1892">
        <v>9100000458</v>
      </c>
      <c r="B1892">
        <v>9400005158</v>
      </c>
      <c r="C1892" s="10">
        <v>46142</v>
      </c>
      <c r="D1892" t="s">
        <v>2032</v>
      </c>
      <c r="E1892" s="11">
        <v>18494221</v>
      </c>
      <c r="F1892" t="s">
        <v>801</v>
      </c>
      <c r="G1892" t="s">
        <v>802</v>
      </c>
      <c r="H1892" s="10">
        <v>46187</v>
      </c>
      <c r="I1892">
        <v>45307.29</v>
      </c>
      <c r="J1892">
        <v>0</v>
      </c>
      <c r="K1892">
        <v>45307.29</v>
      </c>
    </row>
    <row r="1893" spans="1:11" x14ac:dyDescent="0.35">
      <c r="A1893">
        <v>2720000155</v>
      </c>
      <c r="B1893">
        <v>9400005152</v>
      </c>
      <c r="C1893" s="10">
        <v>46142</v>
      </c>
      <c r="D1893" t="s">
        <v>2032</v>
      </c>
      <c r="E1893" s="11">
        <v>18526603</v>
      </c>
      <c r="F1893" t="s">
        <v>154</v>
      </c>
      <c r="G1893" t="s">
        <v>155</v>
      </c>
      <c r="H1893" s="10">
        <v>46187</v>
      </c>
      <c r="I1893">
        <v>72861.7</v>
      </c>
      <c r="J1893">
        <v>0</v>
      </c>
      <c r="K1893">
        <v>72861.7</v>
      </c>
    </row>
    <row r="1894" spans="1:11" x14ac:dyDescent="0.35">
      <c r="A1894">
        <v>2000000093</v>
      </c>
      <c r="B1894">
        <v>9400005150</v>
      </c>
      <c r="C1894" s="10">
        <v>46142</v>
      </c>
      <c r="D1894" t="s">
        <v>2032</v>
      </c>
      <c r="E1894" s="11">
        <v>18526806</v>
      </c>
      <c r="F1894" t="s">
        <v>683</v>
      </c>
      <c r="G1894" t="s">
        <v>684</v>
      </c>
      <c r="H1894" s="10">
        <v>46187</v>
      </c>
      <c r="I1894">
        <v>264530.03999999998</v>
      </c>
      <c r="J1894">
        <v>0</v>
      </c>
      <c r="K1894">
        <v>264530.03999999998</v>
      </c>
    </row>
    <row r="1895" spans="1:11" x14ac:dyDescent="0.35">
      <c r="A1895">
        <v>5100000367</v>
      </c>
      <c r="B1895">
        <v>9400005147</v>
      </c>
      <c r="C1895" s="10">
        <v>46142</v>
      </c>
      <c r="D1895" t="s">
        <v>2032</v>
      </c>
      <c r="E1895" s="11">
        <v>18526752</v>
      </c>
      <c r="F1895" t="s">
        <v>300</v>
      </c>
      <c r="G1895" t="s">
        <v>301</v>
      </c>
      <c r="H1895" s="10">
        <v>46187</v>
      </c>
      <c r="I1895">
        <v>116097.84</v>
      </c>
      <c r="J1895">
        <v>0</v>
      </c>
      <c r="K1895">
        <v>116097.84</v>
      </c>
    </row>
    <row r="1896" spans="1:11" x14ac:dyDescent="0.35">
      <c r="A1896">
        <v>8000000335</v>
      </c>
      <c r="B1896">
        <v>9400005146</v>
      </c>
      <c r="C1896" s="10">
        <v>46142</v>
      </c>
      <c r="D1896" t="s">
        <v>2032</v>
      </c>
      <c r="E1896" s="11">
        <v>18526739</v>
      </c>
      <c r="F1896" t="s">
        <v>745</v>
      </c>
      <c r="G1896" t="s">
        <v>746</v>
      </c>
      <c r="H1896" s="10">
        <v>46187</v>
      </c>
      <c r="I1896">
        <v>9158.68</v>
      </c>
      <c r="J1896">
        <v>0</v>
      </c>
      <c r="K1896">
        <v>9158.68</v>
      </c>
    </row>
    <row r="1897" spans="1:11" x14ac:dyDescent="0.35">
      <c r="A1897">
        <v>3000000422</v>
      </c>
      <c r="B1897">
        <v>9400005145</v>
      </c>
      <c r="C1897" s="10">
        <v>46142</v>
      </c>
      <c r="D1897" t="s">
        <v>2032</v>
      </c>
      <c r="E1897" s="11">
        <v>18526801</v>
      </c>
      <c r="F1897" t="s">
        <v>204</v>
      </c>
      <c r="G1897" t="s">
        <v>205</v>
      </c>
      <c r="H1897" s="10">
        <v>46187</v>
      </c>
      <c r="I1897">
        <v>322414.82</v>
      </c>
      <c r="J1897">
        <v>0</v>
      </c>
      <c r="K1897">
        <v>322414.82</v>
      </c>
    </row>
    <row r="1898" spans="1:11" x14ac:dyDescent="0.35">
      <c r="A1898">
        <v>5100000366</v>
      </c>
      <c r="B1898">
        <v>9400005142</v>
      </c>
      <c r="C1898" s="10">
        <v>46142</v>
      </c>
      <c r="D1898" t="s">
        <v>2032</v>
      </c>
      <c r="E1898" s="11">
        <v>18525897</v>
      </c>
      <c r="F1898" t="s">
        <v>805</v>
      </c>
      <c r="G1898" t="s">
        <v>806</v>
      </c>
      <c r="H1898" s="10">
        <v>46187</v>
      </c>
      <c r="I1898">
        <v>66080</v>
      </c>
      <c r="J1898">
        <v>0</v>
      </c>
      <c r="K1898">
        <v>66080</v>
      </c>
    </row>
    <row r="1899" spans="1:11" x14ac:dyDescent="0.35">
      <c r="A1899">
        <v>2000000092</v>
      </c>
      <c r="B1899">
        <v>9400005139</v>
      </c>
      <c r="C1899" s="10">
        <v>46142</v>
      </c>
      <c r="D1899" t="s">
        <v>2032</v>
      </c>
      <c r="E1899" s="11">
        <v>18526691</v>
      </c>
      <c r="F1899" t="s">
        <v>807</v>
      </c>
      <c r="G1899" t="s">
        <v>808</v>
      </c>
      <c r="H1899" s="10">
        <v>46187</v>
      </c>
      <c r="I1899">
        <v>324106.14</v>
      </c>
      <c r="J1899">
        <v>0</v>
      </c>
      <c r="K1899">
        <v>324106.14</v>
      </c>
    </row>
    <row r="1900" spans="1:11" x14ac:dyDescent="0.35">
      <c r="A1900">
        <v>9300000270</v>
      </c>
      <c r="B1900">
        <v>9400005138</v>
      </c>
      <c r="C1900" s="10">
        <v>46142</v>
      </c>
      <c r="D1900" t="s">
        <v>2032</v>
      </c>
      <c r="E1900" s="11">
        <v>18526567</v>
      </c>
      <c r="F1900" t="s">
        <v>20</v>
      </c>
      <c r="G1900" t="s">
        <v>21</v>
      </c>
      <c r="H1900" s="10">
        <v>46187</v>
      </c>
      <c r="I1900">
        <v>57699.32</v>
      </c>
      <c r="J1900">
        <v>0</v>
      </c>
      <c r="K1900">
        <v>57699.32</v>
      </c>
    </row>
    <row r="1901" spans="1:11" x14ac:dyDescent="0.35">
      <c r="A1901">
        <v>3000000419</v>
      </c>
      <c r="B1901">
        <v>9400005124</v>
      </c>
      <c r="C1901" s="10">
        <v>46142</v>
      </c>
      <c r="D1901" t="s">
        <v>2032</v>
      </c>
      <c r="E1901" s="11">
        <v>18526494</v>
      </c>
      <c r="F1901" t="s">
        <v>809</v>
      </c>
      <c r="G1901" t="s">
        <v>810</v>
      </c>
      <c r="H1901" s="10">
        <v>46187</v>
      </c>
      <c r="I1901">
        <v>30139.56</v>
      </c>
      <c r="J1901">
        <v>0</v>
      </c>
      <c r="K1901">
        <v>30139.56</v>
      </c>
    </row>
    <row r="1902" spans="1:11" x14ac:dyDescent="0.35">
      <c r="A1902">
        <v>2730000189</v>
      </c>
      <c r="B1902">
        <v>9400005123</v>
      </c>
      <c r="C1902" s="10">
        <v>46142</v>
      </c>
      <c r="D1902" t="s">
        <v>2032</v>
      </c>
      <c r="E1902" s="11">
        <v>18526212</v>
      </c>
      <c r="F1902" t="s">
        <v>437</v>
      </c>
      <c r="G1902" t="s">
        <v>438</v>
      </c>
      <c r="H1902" s="10">
        <v>46187</v>
      </c>
      <c r="I1902">
        <v>269308.7</v>
      </c>
      <c r="J1902">
        <v>0</v>
      </c>
      <c r="K1902">
        <v>269308.7</v>
      </c>
    </row>
    <row r="1903" spans="1:11" x14ac:dyDescent="0.35">
      <c r="A1903">
        <v>8000000331</v>
      </c>
      <c r="B1903">
        <v>9400005122</v>
      </c>
      <c r="C1903" s="10">
        <v>46142</v>
      </c>
      <c r="D1903" t="s">
        <v>2032</v>
      </c>
      <c r="E1903" s="11">
        <v>18526515</v>
      </c>
      <c r="F1903" t="s">
        <v>811</v>
      </c>
      <c r="G1903" t="s">
        <v>812</v>
      </c>
      <c r="H1903" s="10">
        <v>46187</v>
      </c>
      <c r="I1903">
        <v>121352.4</v>
      </c>
      <c r="J1903">
        <v>0</v>
      </c>
      <c r="K1903">
        <v>121352.4</v>
      </c>
    </row>
    <row r="1904" spans="1:11" x14ac:dyDescent="0.35">
      <c r="A1904">
        <v>8000000330</v>
      </c>
      <c r="B1904">
        <v>9400005121</v>
      </c>
      <c r="C1904" s="10">
        <v>46142</v>
      </c>
      <c r="D1904" t="s">
        <v>2032</v>
      </c>
      <c r="E1904" s="11">
        <v>18526442</v>
      </c>
      <c r="F1904" t="s">
        <v>745</v>
      </c>
      <c r="G1904" t="s">
        <v>746</v>
      </c>
      <c r="H1904" s="10">
        <v>46187</v>
      </c>
      <c r="I1904">
        <v>36327.5</v>
      </c>
      <c r="J1904">
        <v>0</v>
      </c>
      <c r="K1904">
        <v>36327.5</v>
      </c>
    </row>
    <row r="1905" spans="1:11" x14ac:dyDescent="0.35">
      <c r="A1905">
        <v>8000000329</v>
      </c>
      <c r="B1905">
        <v>9400005117</v>
      </c>
      <c r="C1905" s="10">
        <v>46142</v>
      </c>
      <c r="D1905" t="s">
        <v>2032</v>
      </c>
      <c r="E1905" s="11">
        <v>18526432</v>
      </c>
      <c r="F1905" t="s">
        <v>747</v>
      </c>
      <c r="G1905" t="s">
        <v>748</v>
      </c>
      <c r="H1905" s="10">
        <v>46187</v>
      </c>
      <c r="I1905">
        <v>32709.599999999999</v>
      </c>
      <c r="J1905">
        <v>0</v>
      </c>
      <c r="K1905">
        <v>32709.599999999999</v>
      </c>
    </row>
    <row r="1906" spans="1:11" x14ac:dyDescent="0.35">
      <c r="A1906">
        <v>2720000154</v>
      </c>
      <c r="B1906">
        <v>9400005114</v>
      </c>
      <c r="C1906" s="10">
        <v>46142</v>
      </c>
      <c r="D1906" t="s">
        <v>2032</v>
      </c>
      <c r="E1906" s="11">
        <v>18514904</v>
      </c>
      <c r="F1906" t="s">
        <v>312</v>
      </c>
      <c r="G1906" t="s">
        <v>313</v>
      </c>
      <c r="H1906" s="10">
        <v>46187</v>
      </c>
      <c r="I1906">
        <v>54398.92</v>
      </c>
      <c r="J1906">
        <v>0</v>
      </c>
      <c r="K1906">
        <v>54398.92</v>
      </c>
    </row>
    <row r="1907" spans="1:11" x14ac:dyDescent="0.35">
      <c r="A1907">
        <v>7000000215</v>
      </c>
      <c r="B1907">
        <v>9400005108</v>
      </c>
      <c r="C1907" s="10">
        <v>46142</v>
      </c>
      <c r="D1907" t="s">
        <v>2032</v>
      </c>
      <c r="E1907" s="11">
        <v>235465</v>
      </c>
      <c r="F1907" t="s">
        <v>351</v>
      </c>
      <c r="G1907" t="s">
        <v>352</v>
      </c>
      <c r="H1907" s="10">
        <v>46187</v>
      </c>
      <c r="I1907">
        <v>17380.560000000001</v>
      </c>
      <c r="J1907">
        <v>0</v>
      </c>
      <c r="K1907">
        <v>17380.560000000001</v>
      </c>
    </row>
    <row r="1908" spans="1:11" x14ac:dyDescent="0.35">
      <c r="A1908">
        <v>5100000363</v>
      </c>
      <c r="B1908">
        <v>9400005103</v>
      </c>
      <c r="C1908" s="10">
        <v>46142</v>
      </c>
      <c r="D1908" t="s">
        <v>2032</v>
      </c>
      <c r="E1908" s="11">
        <v>18525306</v>
      </c>
      <c r="F1908" t="s">
        <v>306</v>
      </c>
      <c r="G1908" t="s">
        <v>307</v>
      </c>
      <c r="H1908" s="10">
        <v>46187</v>
      </c>
      <c r="I1908">
        <v>8806.1</v>
      </c>
      <c r="J1908">
        <v>0</v>
      </c>
      <c r="K1908">
        <v>8806.1</v>
      </c>
    </row>
    <row r="1909" spans="1:11" x14ac:dyDescent="0.35">
      <c r="A1909">
        <v>5100000362</v>
      </c>
      <c r="B1909">
        <v>9400005097</v>
      </c>
      <c r="C1909" s="10">
        <v>46142</v>
      </c>
      <c r="D1909" t="s">
        <v>2032</v>
      </c>
      <c r="E1909" s="11">
        <v>18525306</v>
      </c>
      <c r="F1909" t="s">
        <v>306</v>
      </c>
      <c r="G1909" t="s">
        <v>307</v>
      </c>
      <c r="H1909" s="10">
        <v>46156</v>
      </c>
      <c r="I1909">
        <v>202558.8</v>
      </c>
      <c r="J1909">
        <v>199578.62</v>
      </c>
      <c r="K1909">
        <v>2980.179999999993</v>
      </c>
    </row>
    <row r="1910" spans="1:11" x14ac:dyDescent="0.35">
      <c r="A1910">
        <v>3000000415</v>
      </c>
      <c r="B1910">
        <v>9400005092</v>
      </c>
      <c r="C1910" s="10">
        <v>46142</v>
      </c>
      <c r="D1910" t="s">
        <v>2032</v>
      </c>
      <c r="E1910" s="11">
        <v>18526139</v>
      </c>
      <c r="F1910" t="s">
        <v>447</v>
      </c>
      <c r="G1910" t="s">
        <v>448</v>
      </c>
      <c r="H1910" s="10">
        <v>46187</v>
      </c>
      <c r="I1910">
        <v>157825</v>
      </c>
      <c r="J1910">
        <v>0</v>
      </c>
      <c r="K1910">
        <v>157825</v>
      </c>
    </row>
    <row r="1911" spans="1:11" x14ac:dyDescent="0.35">
      <c r="A1911">
        <v>9100000449</v>
      </c>
      <c r="B1911">
        <v>9400005090</v>
      </c>
      <c r="C1911" s="10">
        <v>46142</v>
      </c>
      <c r="D1911" t="s">
        <v>2032</v>
      </c>
      <c r="E1911" s="11">
        <v>18493696</v>
      </c>
      <c r="F1911" t="s">
        <v>813</v>
      </c>
      <c r="G1911" t="s">
        <v>814</v>
      </c>
      <c r="H1911" s="10">
        <v>46187</v>
      </c>
      <c r="I1911">
        <v>17391.32</v>
      </c>
      <c r="J1911">
        <v>0</v>
      </c>
      <c r="K1911">
        <v>17391.32</v>
      </c>
    </row>
    <row r="1912" spans="1:11" x14ac:dyDescent="0.35">
      <c r="A1912">
        <v>2720000152</v>
      </c>
      <c r="B1912">
        <v>9400005087</v>
      </c>
      <c r="C1912" s="10">
        <v>46142</v>
      </c>
      <c r="D1912" t="s">
        <v>2032</v>
      </c>
      <c r="E1912" s="11">
        <v>18526258</v>
      </c>
      <c r="F1912" t="s">
        <v>314</v>
      </c>
      <c r="G1912" t="s">
        <v>315</v>
      </c>
      <c r="H1912" s="10">
        <v>46187</v>
      </c>
      <c r="I1912">
        <v>78503.039999999994</v>
      </c>
      <c r="J1912">
        <v>0</v>
      </c>
      <c r="K1912">
        <v>78503.039999999994</v>
      </c>
    </row>
    <row r="1913" spans="1:11" x14ac:dyDescent="0.35">
      <c r="A1913">
        <v>9100000448</v>
      </c>
      <c r="B1913">
        <v>9400005086</v>
      </c>
      <c r="C1913" s="10">
        <v>46142</v>
      </c>
      <c r="D1913" t="s">
        <v>2032</v>
      </c>
      <c r="E1913" s="11">
        <v>18526259</v>
      </c>
      <c r="F1913" t="s">
        <v>815</v>
      </c>
      <c r="G1913" t="s">
        <v>816</v>
      </c>
      <c r="H1913" s="10">
        <v>46187</v>
      </c>
      <c r="I1913">
        <v>23933.24</v>
      </c>
      <c r="J1913">
        <v>0</v>
      </c>
      <c r="K1913">
        <v>23933.24</v>
      </c>
    </row>
    <row r="1914" spans="1:11" x14ac:dyDescent="0.35">
      <c r="A1914">
        <v>8000000325</v>
      </c>
      <c r="B1914">
        <v>9400005071</v>
      </c>
      <c r="C1914" s="10">
        <v>46142</v>
      </c>
      <c r="D1914" t="s">
        <v>2032</v>
      </c>
      <c r="E1914" s="11">
        <v>18526279</v>
      </c>
      <c r="F1914" t="s">
        <v>819</v>
      </c>
      <c r="G1914" t="s">
        <v>820</v>
      </c>
      <c r="H1914" s="10">
        <v>46187</v>
      </c>
      <c r="I1914">
        <v>32709.599999999999</v>
      </c>
      <c r="J1914">
        <v>0</v>
      </c>
      <c r="K1914">
        <v>32709.599999999999</v>
      </c>
    </row>
    <row r="1915" spans="1:11" x14ac:dyDescent="0.35">
      <c r="A1915">
        <v>8000000324</v>
      </c>
      <c r="B1915">
        <v>9400005069</v>
      </c>
      <c r="C1915" s="10">
        <v>46142</v>
      </c>
      <c r="D1915" t="s">
        <v>2032</v>
      </c>
      <c r="E1915" s="11">
        <v>18526279</v>
      </c>
      <c r="F1915" t="s">
        <v>819</v>
      </c>
      <c r="G1915" t="s">
        <v>820</v>
      </c>
      <c r="H1915" s="10">
        <v>46156</v>
      </c>
      <c r="I1915">
        <v>51825.599999999999</v>
      </c>
      <c r="J1915">
        <v>0</v>
      </c>
      <c r="K1915">
        <v>51825.599999999999</v>
      </c>
    </row>
    <row r="1916" spans="1:11" x14ac:dyDescent="0.35">
      <c r="A1916">
        <v>8000000322</v>
      </c>
      <c r="B1916">
        <v>9400005062</v>
      </c>
      <c r="C1916" s="10">
        <v>46142</v>
      </c>
      <c r="D1916" t="s">
        <v>2032</v>
      </c>
      <c r="E1916" s="11">
        <v>18526218</v>
      </c>
      <c r="F1916" t="s">
        <v>42</v>
      </c>
      <c r="G1916" t="s">
        <v>43</v>
      </c>
      <c r="H1916" s="10">
        <v>46187</v>
      </c>
      <c r="I1916">
        <v>8159.8</v>
      </c>
      <c r="J1916">
        <v>0</v>
      </c>
      <c r="K1916">
        <v>8159.8</v>
      </c>
    </row>
    <row r="1917" spans="1:11" x14ac:dyDescent="0.35">
      <c r="A1917">
        <v>9100000445</v>
      </c>
      <c r="B1917">
        <v>9400005041</v>
      </c>
      <c r="C1917" s="10">
        <v>46142</v>
      </c>
      <c r="D1917" t="s">
        <v>2032</v>
      </c>
      <c r="E1917" s="11">
        <v>18525452</v>
      </c>
      <c r="F1917" t="s">
        <v>825</v>
      </c>
      <c r="G1917" t="s">
        <v>826</v>
      </c>
      <c r="H1917" s="10">
        <v>46187</v>
      </c>
      <c r="I1917">
        <v>244237.43</v>
      </c>
      <c r="J1917">
        <v>0</v>
      </c>
      <c r="K1917">
        <v>244237.43</v>
      </c>
    </row>
    <row r="1918" spans="1:11" x14ac:dyDescent="0.35">
      <c r="A1918">
        <v>2730000183</v>
      </c>
      <c r="B1918">
        <v>9400005038</v>
      </c>
      <c r="C1918" s="10">
        <v>46142</v>
      </c>
      <c r="D1918" t="s">
        <v>2032</v>
      </c>
      <c r="E1918" s="11">
        <v>18526142</v>
      </c>
      <c r="F1918" t="s">
        <v>89</v>
      </c>
      <c r="G1918" t="s">
        <v>90</v>
      </c>
      <c r="H1918" s="10">
        <v>46187</v>
      </c>
      <c r="I1918">
        <v>19118.36</v>
      </c>
      <c r="J1918">
        <v>0</v>
      </c>
      <c r="K1918">
        <v>19118.36</v>
      </c>
    </row>
    <row r="1919" spans="1:11" x14ac:dyDescent="0.35">
      <c r="A1919">
        <v>9200000338</v>
      </c>
      <c r="B1919">
        <v>9400005033</v>
      </c>
      <c r="C1919" s="10">
        <v>46142</v>
      </c>
      <c r="D1919" t="s">
        <v>2032</v>
      </c>
      <c r="E1919" s="11">
        <v>18494194</v>
      </c>
      <c r="F1919" t="s">
        <v>625</v>
      </c>
      <c r="G1919" t="s">
        <v>626</v>
      </c>
      <c r="H1919" s="10">
        <v>46187</v>
      </c>
      <c r="I1919">
        <v>5870.74</v>
      </c>
      <c r="J1919">
        <v>0</v>
      </c>
      <c r="K1919">
        <v>5870.74</v>
      </c>
    </row>
    <row r="1920" spans="1:11" x14ac:dyDescent="0.35">
      <c r="A1920">
        <v>2720000149</v>
      </c>
      <c r="B1920">
        <v>9400005031</v>
      </c>
      <c r="C1920" s="10">
        <v>46142</v>
      </c>
      <c r="D1920" t="s">
        <v>2032</v>
      </c>
      <c r="E1920" s="11">
        <v>18504530</v>
      </c>
      <c r="F1920" t="s">
        <v>827</v>
      </c>
      <c r="G1920" t="s">
        <v>828</v>
      </c>
      <c r="H1920" s="10">
        <v>46187</v>
      </c>
      <c r="I1920">
        <v>17642.419999999998</v>
      </c>
      <c r="J1920">
        <v>0</v>
      </c>
      <c r="K1920">
        <v>17642.419999999998</v>
      </c>
    </row>
    <row r="1921" spans="1:11" x14ac:dyDescent="0.35">
      <c r="A1921">
        <v>9200000336</v>
      </c>
      <c r="B1921">
        <v>9400005022</v>
      </c>
      <c r="C1921" s="10">
        <v>46142</v>
      </c>
      <c r="D1921" t="s">
        <v>2032</v>
      </c>
      <c r="E1921" s="11">
        <v>18515254</v>
      </c>
      <c r="F1921" t="s">
        <v>829</v>
      </c>
      <c r="G1921" t="s">
        <v>830</v>
      </c>
      <c r="H1921" s="10">
        <v>46187</v>
      </c>
      <c r="I1921">
        <v>50690.68</v>
      </c>
      <c r="J1921">
        <v>0</v>
      </c>
      <c r="K1921">
        <v>50690.68</v>
      </c>
    </row>
    <row r="1922" spans="1:11" x14ac:dyDescent="0.35">
      <c r="A1922">
        <v>2300000176</v>
      </c>
      <c r="B1922">
        <v>9400005021</v>
      </c>
      <c r="C1922" s="10">
        <v>46142</v>
      </c>
      <c r="D1922" t="s">
        <v>2032</v>
      </c>
      <c r="E1922" s="11">
        <v>18526155</v>
      </c>
      <c r="F1922" t="s">
        <v>459</v>
      </c>
      <c r="G1922" t="s">
        <v>460</v>
      </c>
      <c r="H1922" s="10">
        <v>46187</v>
      </c>
      <c r="I1922">
        <v>29905.919999999998</v>
      </c>
      <c r="J1922">
        <v>0</v>
      </c>
      <c r="K1922">
        <v>29905.919999999998</v>
      </c>
    </row>
    <row r="1923" spans="1:11" x14ac:dyDescent="0.35">
      <c r="A1923">
        <v>5200000126</v>
      </c>
      <c r="B1923">
        <v>9400005020</v>
      </c>
      <c r="C1923" s="10">
        <v>46142</v>
      </c>
      <c r="D1923" t="s">
        <v>2032</v>
      </c>
      <c r="E1923" s="11">
        <v>545</v>
      </c>
      <c r="F1923" t="s">
        <v>170</v>
      </c>
      <c r="G1923" t="s">
        <v>171</v>
      </c>
      <c r="H1923" s="10">
        <v>46187</v>
      </c>
      <c r="I1923">
        <v>31.57</v>
      </c>
      <c r="J1923">
        <v>0</v>
      </c>
      <c r="K1923">
        <v>31.57</v>
      </c>
    </row>
    <row r="1924" spans="1:11" x14ac:dyDescent="0.35">
      <c r="A1924">
        <v>9200000335</v>
      </c>
      <c r="B1924">
        <v>9400005011</v>
      </c>
      <c r="C1924" s="10">
        <v>46142</v>
      </c>
      <c r="D1924" t="s">
        <v>2032</v>
      </c>
      <c r="E1924" s="11">
        <v>18515089</v>
      </c>
      <c r="F1924" t="s">
        <v>429</v>
      </c>
      <c r="G1924" t="s">
        <v>430</v>
      </c>
      <c r="H1924" s="10">
        <v>46187</v>
      </c>
      <c r="I1924">
        <v>5854.18</v>
      </c>
      <c r="J1924">
        <v>0</v>
      </c>
      <c r="K1924">
        <v>5854.18</v>
      </c>
    </row>
    <row r="1925" spans="1:11" x14ac:dyDescent="0.35">
      <c r="A1925">
        <v>2300000175</v>
      </c>
      <c r="B1925">
        <v>9400005008</v>
      </c>
      <c r="C1925" s="10">
        <v>46142</v>
      </c>
      <c r="D1925" t="s">
        <v>2032</v>
      </c>
      <c r="E1925" s="11">
        <v>18526187</v>
      </c>
      <c r="F1925" t="s">
        <v>647</v>
      </c>
      <c r="G1925" t="s">
        <v>648</v>
      </c>
      <c r="H1925" s="10">
        <v>46187</v>
      </c>
      <c r="I1925">
        <v>105512.54</v>
      </c>
      <c r="J1925">
        <v>0</v>
      </c>
      <c r="K1925">
        <v>105512.54</v>
      </c>
    </row>
    <row r="1926" spans="1:11" x14ac:dyDescent="0.35">
      <c r="A1926">
        <v>5200000125</v>
      </c>
      <c r="B1926">
        <v>9400005004</v>
      </c>
      <c r="C1926" s="10">
        <v>46142</v>
      </c>
      <c r="D1926" t="s">
        <v>2032</v>
      </c>
      <c r="E1926" s="11">
        <v>543</v>
      </c>
      <c r="F1926" t="s">
        <v>170</v>
      </c>
      <c r="G1926" t="s">
        <v>171</v>
      </c>
      <c r="H1926" s="10">
        <v>46187</v>
      </c>
      <c r="I1926">
        <v>40.4</v>
      </c>
      <c r="J1926">
        <v>0</v>
      </c>
      <c r="K1926">
        <v>40.4</v>
      </c>
    </row>
    <row r="1927" spans="1:11" x14ac:dyDescent="0.35">
      <c r="A1927">
        <v>2730000181</v>
      </c>
      <c r="B1927">
        <v>9400004997</v>
      </c>
      <c r="C1927" s="10">
        <v>46142</v>
      </c>
      <c r="D1927" t="s">
        <v>2032</v>
      </c>
      <c r="E1927" s="11">
        <v>18494321</v>
      </c>
      <c r="F1927" t="s">
        <v>357</v>
      </c>
      <c r="G1927" t="s">
        <v>358</v>
      </c>
      <c r="H1927" s="10">
        <v>46187</v>
      </c>
      <c r="I1927">
        <v>70304.56</v>
      </c>
      <c r="J1927">
        <v>0</v>
      </c>
      <c r="K1927">
        <v>70304.56</v>
      </c>
    </row>
    <row r="1928" spans="1:11" x14ac:dyDescent="0.35">
      <c r="A1928">
        <v>5200000124</v>
      </c>
      <c r="B1928">
        <v>9400004996</v>
      </c>
      <c r="C1928" s="10">
        <v>46142</v>
      </c>
      <c r="D1928" t="s">
        <v>2032</v>
      </c>
      <c r="E1928" s="11">
        <v>538</v>
      </c>
      <c r="F1928" t="s">
        <v>170</v>
      </c>
      <c r="G1928" t="s">
        <v>171</v>
      </c>
      <c r="H1928" s="10">
        <v>46187</v>
      </c>
      <c r="I1928">
        <v>31.57</v>
      </c>
      <c r="J1928">
        <v>0</v>
      </c>
      <c r="K1928">
        <v>31.57</v>
      </c>
    </row>
    <row r="1929" spans="1:11" x14ac:dyDescent="0.35">
      <c r="A1929">
        <v>2000000090</v>
      </c>
      <c r="B1929">
        <v>9400004991</v>
      </c>
      <c r="C1929" s="10">
        <v>46142</v>
      </c>
      <c r="D1929" t="s">
        <v>2032</v>
      </c>
      <c r="E1929" s="11">
        <v>18515184</v>
      </c>
      <c r="F1929" t="s">
        <v>34</v>
      </c>
      <c r="G1929" t="s">
        <v>35</v>
      </c>
      <c r="H1929" s="10">
        <v>46187</v>
      </c>
      <c r="I1929">
        <v>29775.06</v>
      </c>
      <c r="J1929">
        <v>0</v>
      </c>
      <c r="K1929">
        <v>29775.06</v>
      </c>
    </row>
    <row r="1930" spans="1:11" x14ac:dyDescent="0.35">
      <c r="A1930">
        <v>9300000264</v>
      </c>
      <c r="B1930">
        <v>9400004988</v>
      </c>
      <c r="C1930" s="10">
        <v>46142</v>
      </c>
      <c r="D1930" t="s">
        <v>2032</v>
      </c>
      <c r="E1930" s="11">
        <v>18504548</v>
      </c>
      <c r="F1930" t="s">
        <v>831</v>
      </c>
      <c r="G1930" t="s">
        <v>832</v>
      </c>
      <c r="H1930" s="10">
        <v>46187</v>
      </c>
      <c r="I1930">
        <v>20480</v>
      </c>
      <c r="J1930">
        <v>0</v>
      </c>
      <c r="K1930">
        <v>20480</v>
      </c>
    </row>
    <row r="1931" spans="1:11" x14ac:dyDescent="0.35">
      <c r="A1931">
        <v>5200000123</v>
      </c>
      <c r="B1931">
        <v>9400004985</v>
      </c>
      <c r="C1931" s="10">
        <v>46142</v>
      </c>
      <c r="D1931" t="s">
        <v>2032</v>
      </c>
      <c r="E1931" s="11">
        <v>537</v>
      </c>
      <c r="F1931" t="s">
        <v>170</v>
      </c>
      <c r="G1931" t="s">
        <v>171</v>
      </c>
      <c r="H1931" s="10">
        <v>46187</v>
      </c>
      <c r="I1931">
        <v>31.57</v>
      </c>
      <c r="J1931">
        <v>0</v>
      </c>
      <c r="K1931">
        <v>31.57</v>
      </c>
    </row>
    <row r="1932" spans="1:11" x14ac:dyDescent="0.35">
      <c r="A1932">
        <v>9200000334</v>
      </c>
      <c r="B1932">
        <v>9400004982</v>
      </c>
      <c r="C1932" s="10">
        <v>46142</v>
      </c>
      <c r="D1932" t="s">
        <v>2032</v>
      </c>
      <c r="E1932" s="11">
        <v>18526059</v>
      </c>
      <c r="F1932" t="s">
        <v>835</v>
      </c>
      <c r="G1932" t="s">
        <v>836</v>
      </c>
      <c r="H1932" s="10">
        <v>46187</v>
      </c>
      <c r="I1932">
        <v>32189.1</v>
      </c>
      <c r="J1932">
        <v>0</v>
      </c>
      <c r="K1932">
        <v>32189.1</v>
      </c>
    </row>
    <row r="1933" spans="1:11" x14ac:dyDescent="0.35">
      <c r="A1933">
        <v>3000000407</v>
      </c>
      <c r="B1933">
        <v>9400004981</v>
      </c>
      <c r="C1933" s="10">
        <v>46142</v>
      </c>
      <c r="D1933" t="s">
        <v>2032</v>
      </c>
      <c r="E1933" s="11">
        <v>18526056</v>
      </c>
      <c r="F1933" t="s">
        <v>581</v>
      </c>
      <c r="G1933" t="s">
        <v>582</v>
      </c>
      <c r="H1933" s="10">
        <v>46187</v>
      </c>
      <c r="I1933">
        <v>26541.62</v>
      </c>
      <c r="J1933">
        <v>0</v>
      </c>
      <c r="K1933">
        <v>26541.62</v>
      </c>
    </row>
    <row r="1934" spans="1:11" x14ac:dyDescent="0.35">
      <c r="A1934">
        <v>9300000263</v>
      </c>
      <c r="B1934">
        <v>9400004979</v>
      </c>
      <c r="C1934" s="10">
        <v>46142</v>
      </c>
      <c r="D1934" t="s">
        <v>2032</v>
      </c>
      <c r="E1934" s="11">
        <v>18515148</v>
      </c>
      <c r="F1934" t="s">
        <v>284</v>
      </c>
      <c r="G1934" t="s">
        <v>285</v>
      </c>
      <c r="H1934" s="10">
        <v>46187</v>
      </c>
      <c r="I1934">
        <v>13263.96</v>
      </c>
      <c r="J1934">
        <v>0</v>
      </c>
      <c r="K1934">
        <v>13263.96</v>
      </c>
    </row>
    <row r="1935" spans="1:11" x14ac:dyDescent="0.35">
      <c r="A1935">
        <v>5200000122</v>
      </c>
      <c r="B1935">
        <v>9400004978</v>
      </c>
      <c r="C1935" s="10">
        <v>46142</v>
      </c>
      <c r="D1935" t="s">
        <v>2032</v>
      </c>
      <c r="E1935" s="11">
        <v>526</v>
      </c>
      <c r="F1935" t="s">
        <v>170</v>
      </c>
      <c r="G1935" t="s">
        <v>171</v>
      </c>
      <c r="H1935" s="10">
        <v>46187</v>
      </c>
      <c r="I1935">
        <v>357.59</v>
      </c>
      <c r="J1935">
        <v>0</v>
      </c>
      <c r="K1935">
        <v>357.59</v>
      </c>
    </row>
    <row r="1936" spans="1:11" x14ac:dyDescent="0.35">
      <c r="A1936">
        <v>7000000204</v>
      </c>
      <c r="B1936">
        <v>9400004972</v>
      </c>
      <c r="C1936" s="10">
        <v>46142</v>
      </c>
      <c r="D1936" t="s">
        <v>2032</v>
      </c>
      <c r="E1936" s="11">
        <v>18525580</v>
      </c>
      <c r="F1936" t="s">
        <v>707</v>
      </c>
      <c r="G1936" t="s">
        <v>708</v>
      </c>
      <c r="H1936" s="10">
        <v>46156</v>
      </c>
      <c r="I1936">
        <v>73773.600000000006</v>
      </c>
      <c r="J1936">
        <v>69765.27</v>
      </c>
      <c r="K1936">
        <v>4008.3300000000017</v>
      </c>
    </row>
    <row r="1937" spans="1:11" x14ac:dyDescent="0.35">
      <c r="A1937">
        <v>2720000144</v>
      </c>
      <c r="B1937">
        <v>9400004970</v>
      </c>
      <c r="C1937" s="10">
        <v>46142</v>
      </c>
      <c r="D1937" t="s">
        <v>2032</v>
      </c>
      <c r="E1937" s="11">
        <v>18514796</v>
      </c>
      <c r="F1937" t="s">
        <v>17</v>
      </c>
      <c r="G1937" t="s">
        <v>18</v>
      </c>
      <c r="H1937" s="10">
        <v>46187</v>
      </c>
      <c r="I1937">
        <v>79126.080000000002</v>
      </c>
      <c r="J1937">
        <v>0</v>
      </c>
      <c r="K1937">
        <v>79126.080000000002</v>
      </c>
    </row>
    <row r="1938" spans="1:11" x14ac:dyDescent="0.35">
      <c r="A1938">
        <v>8000000315</v>
      </c>
      <c r="B1938">
        <v>9400004967</v>
      </c>
      <c r="C1938" s="10">
        <v>46142</v>
      </c>
      <c r="D1938" t="s">
        <v>2032</v>
      </c>
      <c r="E1938" s="11">
        <v>18526058</v>
      </c>
      <c r="F1938" t="s">
        <v>269</v>
      </c>
      <c r="G1938" t="s">
        <v>270</v>
      </c>
      <c r="H1938" s="10">
        <v>46187</v>
      </c>
      <c r="I1938">
        <v>16962.259999999998</v>
      </c>
      <c r="J1938">
        <v>0</v>
      </c>
      <c r="K1938">
        <v>16962.259999999998</v>
      </c>
    </row>
    <row r="1939" spans="1:11" x14ac:dyDescent="0.35">
      <c r="A1939">
        <v>9300000262</v>
      </c>
      <c r="B1939">
        <v>9400004966</v>
      </c>
      <c r="C1939" s="10">
        <v>46142</v>
      </c>
      <c r="D1939" t="s">
        <v>2032</v>
      </c>
      <c r="E1939" s="11">
        <v>18515148</v>
      </c>
      <c r="F1939" t="s">
        <v>280</v>
      </c>
      <c r="G1939" t="s">
        <v>281</v>
      </c>
      <c r="H1939" s="10">
        <v>46187</v>
      </c>
      <c r="I1939">
        <v>12929.64</v>
      </c>
      <c r="J1939">
        <v>0</v>
      </c>
      <c r="K1939">
        <v>12929.64</v>
      </c>
    </row>
    <row r="1940" spans="1:11" x14ac:dyDescent="0.35">
      <c r="A1940">
        <v>2720000143</v>
      </c>
      <c r="B1940">
        <v>9400004964</v>
      </c>
      <c r="C1940" s="10">
        <v>46142</v>
      </c>
      <c r="D1940" t="s">
        <v>2032</v>
      </c>
      <c r="E1940" s="11">
        <v>18494321</v>
      </c>
      <c r="F1940" t="s">
        <v>357</v>
      </c>
      <c r="G1940" t="s">
        <v>358</v>
      </c>
      <c r="H1940" s="10">
        <v>46187</v>
      </c>
      <c r="I1940">
        <v>56494.86</v>
      </c>
      <c r="J1940">
        <v>0</v>
      </c>
      <c r="K1940">
        <v>56494.86</v>
      </c>
    </row>
    <row r="1941" spans="1:11" x14ac:dyDescent="0.35">
      <c r="A1941">
        <v>2720000142</v>
      </c>
      <c r="B1941">
        <v>9400004963</v>
      </c>
      <c r="C1941" s="10">
        <v>46142</v>
      </c>
      <c r="D1941" t="s">
        <v>2032</v>
      </c>
      <c r="E1941" s="11">
        <v>18514787</v>
      </c>
      <c r="F1941" t="s">
        <v>17</v>
      </c>
      <c r="G1941" t="s">
        <v>18</v>
      </c>
      <c r="H1941" s="10">
        <v>46187</v>
      </c>
      <c r="I1941">
        <v>173258.22</v>
      </c>
      <c r="J1941">
        <v>0</v>
      </c>
      <c r="K1941">
        <v>173258.22</v>
      </c>
    </row>
    <row r="1942" spans="1:11" x14ac:dyDescent="0.35">
      <c r="A1942">
        <v>8000000313</v>
      </c>
      <c r="B1942">
        <v>9400004962</v>
      </c>
      <c r="C1942" s="10">
        <v>46142</v>
      </c>
      <c r="D1942" t="s">
        <v>2032</v>
      </c>
      <c r="E1942" s="11">
        <v>18526023</v>
      </c>
      <c r="F1942" t="s">
        <v>839</v>
      </c>
      <c r="G1942" t="s">
        <v>840</v>
      </c>
      <c r="H1942" s="10">
        <v>46187</v>
      </c>
      <c r="I1942">
        <v>11635.28</v>
      </c>
      <c r="J1942">
        <v>0</v>
      </c>
      <c r="K1942">
        <v>11635.28</v>
      </c>
    </row>
    <row r="1943" spans="1:11" x14ac:dyDescent="0.35">
      <c r="A1943">
        <v>3000000405</v>
      </c>
      <c r="B1943">
        <v>9400004960</v>
      </c>
      <c r="C1943" s="10">
        <v>46142</v>
      </c>
      <c r="D1943" t="s">
        <v>2032</v>
      </c>
      <c r="E1943" s="11">
        <v>18525600</v>
      </c>
      <c r="F1943" t="s">
        <v>535</v>
      </c>
      <c r="G1943" t="s">
        <v>536</v>
      </c>
      <c r="H1943" s="10">
        <v>46187</v>
      </c>
      <c r="I1943">
        <v>81960.92</v>
      </c>
      <c r="J1943">
        <v>0</v>
      </c>
      <c r="K1943">
        <v>81960.92</v>
      </c>
    </row>
    <row r="1944" spans="1:11" x14ac:dyDescent="0.35">
      <c r="A1944">
        <v>8000000311</v>
      </c>
      <c r="B1944">
        <v>9400004959</v>
      </c>
      <c r="C1944" s="10">
        <v>46142</v>
      </c>
      <c r="D1944" t="s">
        <v>2032</v>
      </c>
      <c r="E1944" s="11">
        <v>18525995</v>
      </c>
      <c r="F1944" t="s">
        <v>689</v>
      </c>
      <c r="G1944" t="s">
        <v>690</v>
      </c>
      <c r="H1944" s="10">
        <v>46187</v>
      </c>
      <c r="I1944">
        <v>114483.6</v>
      </c>
      <c r="J1944">
        <v>0</v>
      </c>
      <c r="K1944">
        <v>114483.6</v>
      </c>
    </row>
    <row r="1945" spans="1:11" x14ac:dyDescent="0.35">
      <c r="A1945">
        <v>2730000180</v>
      </c>
      <c r="B1945">
        <v>9400004958</v>
      </c>
      <c r="C1945" s="10">
        <v>46142</v>
      </c>
      <c r="D1945" t="s">
        <v>2032</v>
      </c>
      <c r="E1945" s="11">
        <v>18525809</v>
      </c>
      <c r="F1945" t="s">
        <v>841</v>
      </c>
      <c r="G1945" t="s">
        <v>842</v>
      </c>
      <c r="H1945" s="10">
        <v>46187</v>
      </c>
      <c r="I1945">
        <v>35352.32</v>
      </c>
      <c r="J1945">
        <v>0</v>
      </c>
      <c r="K1945">
        <v>35352.32</v>
      </c>
    </row>
    <row r="1946" spans="1:11" x14ac:dyDescent="0.35">
      <c r="A1946">
        <v>9200000332</v>
      </c>
      <c r="B1946">
        <v>9400004954</v>
      </c>
      <c r="C1946" s="10">
        <v>46142</v>
      </c>
      <c r="D1946" t="s">
        <v>2032</v>
      </c>
      <c r="E1946" s="11">
        <v>18525750</v>
      </c>
      <c r="F1946" t="s">
        <v>843</v>
      </c>
      <c r="G1946" t="s">
        <v>844</v>
      </c>
      <c r="H1946" s="10">
        <v>46187</v>
      </c>
      <c r="I1946">
        <v>120062.64</v>
      </c>
      <c r="J1946">
        <v>0</v>
      </c>
      <c r="K1946">
        <v>120062.64</v>
      </c>
    </row>
    <row r="1947" spans="1:11" x14ac:dyDescent="0.35">
      <c r="A1947">
        <v>9100000439</v>
      </c>
      <c r="B1947">
        <v>9400004950</v>
      </c>
      <c r="C1947" s="10">
        <v>46142</v>
      </c>
      <c r="D1947" t="s">
        <v>2032</v>
      </c>
      <c r="E1947" s="11">
        <v>18525367</v>
      </c>
      <c r="F1947" t="s">
        <v>235</v>
      </c>
      <c r="G1947" t="s">
        <v>236</v>
      </c>
      <c r="H1947" s="10">
        <v>46187</v>
      </c>
      <c r="I1947">
        <v>32100.720000000001</v>
      </c>
      <c r="J1947">
        <v>0</v>
      </c>
      <c r="K1947">
        <v>32100.720000000001</v>
      </c>
    </row>
    <row r="1948" spans="1:11" x14ac:dyDescent="0.35">
      <c r="A1948">
        <v>8000000307</v>
      </c>
      <c r="B1948">
        <v>9400004949</v>
      </c>
      <c r="C1948" s="10">
        <v>46142</v>
      </c>
      <c r="D1948" t="s">
        <v>2032</v>
      </c>
      <c r="E1948" s="11">
        <v>18525910</v>
      </c>
      <c r="F1948" t="s">
        <v>845</v>
      </c>
      <c r="G1948" t="s">
        <v>846</v>
      </c>
      <c r="H1948" s="10">
        <v>46187</v>
      </c>
      <c r="I1948">
        <v>64752.5</v>
      </c>
      <c r="J1948">
        <v>0</v>
      </c>
      <c r="K1948">
        <v>64752.5</v>
      </c>
    </row>
    <row r="1949" spans="1:11" x14ac:dyDescent="0.35">
      <c r="A1949">
        <v>5100000355</v>
      </c>
      <c r="B1949">
        <v>9400004947</v>
      </c>
      <c r="C1949" s="10">
        <v>46142</v>
      </c>
      <c r="D1949" t="s">
        <v>2032</v>
      </c>
      <c r="E1949" s="12">
        <v>184727211848319</v>
      </c>
      <c r="F1949" t="s">
        <v>292</v>
      </c>
      <c r="G1949" t="s">
        <v>293</v>
      </c>
      <c r="H1949" s="10">
        <v>46187</v>
      </c>
      <c r="I1949">
        <v>117757.68</v>
      </c>
      <c r="J1949">
        <v>0</v>
      </c>
      <c r="K1949">
        <v>117757.68</v>
      </c>
    </row>
    <row r="1950" spans="1:11" x14ac:dyDescent="0.35">
      <c r="A1950">
        <v>9200000331</v>
      </c>
      <c r="B1950">
        <v>9400004945</v>
      </c>
      <c r="C1950" s="10">
        <v>46142</v>
      </c>
      <c r="D1950" t="s">
        <v>2032</v>
      </c>
      <c r="E1950" s="11">
        <v>18525676</v>
      </c>
      <c r="F1950" t="s">
        <v>591</v>
      </c>
      <c r="G1950" t="s">
        <v>592</v>
      </c>
      <c r="H1950" s="10">
        <v>46187</v>
      </c>
      <c r="I1950">
        <v>19546.740000000002</v>
      </c>
      <c r="J1950">
        <v>0</v>
      </c>
      <c r="K1950">
        <v>19546.740000000002</v>
      </c>
    </row>
    <row r="1951" spans="1:11" x14ac:dyDescent="0.35">
      <c r="A1951">
        <v>2730000179</v>
      </c>
      <c r="B1951">
        <v>9400004944</v>
      </c>
      <c r="C1951" s="10">
        <v>46142</v>
      </c>
      <c r="D1951" t="s">
        <v>2032</v>
      </c>
      <c r="E1951" s="11">
        <v>18440338</v>
      </c>
      <c r="F1951" t="s">
        <v>547</v>
      </c>
      <c r="G1951" t="s">
        <v>548</v>
      </c>
      <c r="H1951" s="10">
        <v>46187</v>
      </c>
      <c r="I1951">
        <v>23073.72</v>
      </c>
      <c r="J1951">
        <v>0</v>
      </c>
      <c r="K1951">
        <v>23073.72</v>
      </c>
    </row>
    <row r="1952" spans="1:11" x14ac:dyDescent="0.35">
      <c r="A1952">
        <v>2720000141</v>
      </c>
      <c r="B1952">
        <v>9400004943</v>
      </c>
      <c r="C1952" s="10">
        <v>46142</v>
      </c>
      <c r="D1952" t="s">
        <v>2032</v>
      </c>
      <c r="E1952" s="11">
        <v>18525300</v>
      </c>
      <c r="F1952" t="s">
        <v>122</v>
      </c>
      <c r="G1952" t="s">
        <v>123</v>
      </c>
      <c r="H1952" s="10">
        <v>46187</v>
      </c>
      <c r="I1952">
        <v>93968.12</v>
      </c>
      <c r="J1952">
        <v>0</v>
      </c>
      <c r="K1952">
        <v>93968.12</v>
      </c>
    </row>
    <row r="1953" spans="1:11" x14ac:dyDescent="0.35">
      <c r="A1953">
        <v>9200000330</v>
      </c>
      <c r="B1953">
        <v>9400004934</v>
      </c>
      <c r="C1953" s="10">
        <v>46142</v>
      </c>
      <c r="D1953" t="s">
        <v>2032</v>
      </c>
      <c r="E1953" s="11">
        <v>18525587</v>
      </c>
      <c r="F1953" t="s">
        <v>208</v>
      </c>
      <c r="G1953" t="s">
        <v>209</v>
      </c>
      <c r="H1953" s="10">
        <v>46187</v>
      </c>
      <c r="I1953">
        <v>11708.34</v>
      </c>
      <c r="J1953">
        <v>0</v>
      </c>
      <c r="K1953">
        <v>11708.34</v>
      </c>
    </row>
    <row r="1954" spans="1:11" x14ac:dyDescent="0.35">
      <c r="A1954">
        <v>2720000139</v>
      </c>
      <c r="B1954">
        <v>9400004924</v>
      </c>
      <c r="C1954" s="10">
        <v>46142</v>
      </c>
      <c r="D1954" t="s">
        <v>2032</v>
      </c>
      <c r="E1954" s="11">
        <v>18515280</v>
      </c>
      <c r="F1954" t="s">
        <v>314</v>
      </c>
      <c r="G1954" t="s">
        <v>315</v>
      </c>
      <c r="H1954" s="10">
        <v>46187</v>
      </c>
      <c r="I1954">
        <v>39251.519999999997</v>
      </c>
      <c r="J1954">
        <v>0</v>
      </c>
      <c r="K1954">
        <v>39251.519999999997</v>
      </c>
    </row>
    <row r="1955" spans="1:11" x14ac:dyDescent="0.35">
      <c r="A1955">
        <v>2730000177</v>
      </c>
      <c r="B1955">
        <v>9400004919</v>
      </c>
      <c r="C1955" s="10">
        <v>46142</v>
      </c>
      <c r="D1955" t="s">
        <v>2032</v>
      </c>
      <c r="E1955" s="11">
        <v>18525791</v>
      </c>
      <c r="F1955" t="s">
        <v>239</v>
      </c>
      <c r="G1955" t="s">
        <v>240</v>
      </c>
      <c r="H1955" s="10">
        <v>46187</v>
      </c>
      <c r="I1955">
        <v>10607.26</v>
      </c>
      <c r="J1955">
        <v>0</v>
      </c>
      <c r="K1955">
        <v>10607.26</v>
      </c>
    </row>
    <row r="1956" spans="1:11" x14ac:dyDescent="0.35">
      <c r="A1956">
        <v>2300000172</v>
      </c>
      <c r="B1956">
        <v>9400004917</v>
      </c>
      <c r="C1956" s="10">
        <v>46142</v>
      </c>
      <c r="D1956" t="s">
        <v>2032</v>
      </c>
      <c r="E1956" s="11">
        <v>18525686</v>
      </c>
      <c r="F1956" t="s">
        <v>583</v>
      </c>
      <c r="G1956" t="s">
        <v>584</v>
      </c>
      <c r="H1956" s="10">
        <v>46187</v>
      </c>
      <c r="I1956">
        <v>78187.5</v>
      </c>
      <c r="J1956">
        <v>0</v>
      </c>
      <c r="K1956">
        <v>78187.5</v>
      </c>
    </row>
    <row r="1957" spans="1:11" x14ac:dyDescent="0.35">
      <c r="A1957">
        <v>2000000088</v>
      </c>
      <c r="B1957">
        <v>9400004916</v>
      </c>
      <c r="C1957" s="10">
        <v>46142</v>
      </c>
      <c r="D1957" t="s">
        <v>2032</v>
      </c>
      <c r="E1957" s="11">
        <v>18525321</v>
      </c>
      <c r="F1957" t="s">
        <v>847</v>
      </c>
      <c r="G1957" t="s">
        <v>848</v>
      </c>
      <c r="H1957" s="10">
        <v>46187</v>
      </c>
      <c r="I1957">
        <v>87905.32</v>
      </c>
      <c r="J1957">
        <v>0</v>
      </c>
      <c r="K1957">
        <v>87905.32</v>
      </c>
    </row>
    <row r="1958" spans="1:11" x14ac:dyDescent="0.35">
      <c r="A1958">
        <v>2000000087</v>
      </c>
      <c r="B1958">
        <v>9400004915</v>
      </c>
      <c r="C1958" s="10">
        <v>46142</v>
      </c>
      <c r="D1958" t="s">
        <v>2032</v>
      </c>
      <c r="E1958" s="11">
        <v>18525321</v>
      </c>
      <c r="F1958" t="s">
        <v>847</v>
      </c>
      <c r="G1958" t="s">
        <v>848</v>
      </c>
      <c r="H1958" s="10">
        <v>46187</v>
      </c>
      <c r="I1958">
        <v>108843.2</v>
      </c>
      <c r="J1958">
        <v>0</v>
      </c>
      <c r="K1958">
        <v>108843.2</v>
      </c>
    </row>
    <row r="1959" spans="1:11" x14ac:dyDescent="0.35">
      <c r="A1959">
        <v>9200000325</v>
      </c>
      <c r="B1959">
        <v>9400004901</v>
      </c>
      <c r="C1959" s="10">
        <v>46142</v>
      </c>
      <c r="D1959" t="s">
        <v>2032</v>
      </c>
      <c r="E1959" s="11">
        <v>18525406</v>
      </c>
      <c r="F1959" t="s">
        <v>425</v>
      </c>
      <c r="G1959" t="s">
        <v>426</v>
      </c>
      <c r="H1959" s="10">
        <v>46187</v>
      </c>
      <c r="I1959">
        <v>48946.559999999998</v>
      </c>
      <c r="J1959">
        <v>0</v>
      </c>
      <c r="K1959">
        <v>48946.559999999998</v>
      </c>
    </row>
    <row r="1960" spans="1:11" x14ac:dyDescent="0.35">
      <c r="A1960">
        <v>9300000259</v>
      </c>
      <c r="B1960">
        <v>9400004894</v>
      </c>
      <c r="C1960" s="10">
        <v>46142</v>
      </c>
      <c r="D1960" t="s">
        <v>2032</v>
      </c>
      <c r="E1960" s="11">
        <v>18494277</v>
      </c>
      <c r="F1960" t="s">
        <v>445</v>
      </c>
      <c r="G1960" t="s">
        <v>446</v>
      </c>
      <c r="H1960" s="10">
        <v>46187</v>
      </c>
      <c r="I1960">
        <v>49036.800000000003</v>
      </c>
      <c r="J1960">
        <v>0</v>
      </c>
      <c r="K1960">
        <v>49036.800000000003</v>
      </c>
    </row>
    <row r="1961" spans="1:11" x14ac:dyDescent="0.35">
      <c r="A1961">
        <v>2720000136</v>
      </c>
      <c r="B1961">
        <v>9400004888</v>
      </c>
      <c r="C1961" s="10">
        <v>46142</v>
      </c>
      <c r="D1961" t="s">
        <v>2032</v>
      </c>
      <c r="E1961" s="11">
        <v>18504562</v>
      </c>
      <c r="F1961" t="s">
        <v>136</v>
      </c>
      <c r="G1961" t="s">
        <v>137</v>
      </c>
      <c r="H1961" s="10">
        <v>46187</v>
      </c>
      <c r="I1961">
        <v>171967.06</v>
      </c>
      <c r="J1961">
        <v>0</v>
      </c>
      <c r="K1961">
        <v>171967.06</v>
      </c>
    </row>
    <row r="1962" spans="1:11" x14ac:dyDescent="0.35">
      <c r="A1962">
        <v>8000000304</v>
      </c>
      <c r="B1962">
        <v>9400004880</v>
      </c>
      <c r="C1962" s="10">
        <v>46142</v>
      </c>
      <c r="D1962" t="s">
        <v>2032</v>
      </c>
      <c r="E1962" s="11">
        <v>18525489</v>
      </c>
      <c r="F1962" t="s">
        <v>269</v>
      </c>
      <c r="G1962" t="s">
        <v>270</v>
      </c>
      <c r="H1962" s="10">
        <v>46187</v>
      </c>
      <c r="I1962">
        <v>71961.119999999995</v>
      </c>
      <c r="J1962">
        <v>0</v>
      </c>
      <c r="K1962">
        <v>71961.119999999995</v>
      </c>
    </row>
    <row r="1963" spans="1:11" x14ac:dyDescent="0.35">
      <c r="A1963">
        <v>2720000135</v>
      </c>
      <c r="B1963">
        <v>9400004878</v>
      </c>
      <c r="C1963" s="10">
        <v>46142</v>
      </c>
      <c r="D1963" t="s">
        <v>2032</v>
      </c>
      <c r="E1963" s="11">
        <v>18515160</v>
      </c>
      <c r="F1963" t="s">
        <v>316</v>
      </c>
      <c r="G1963" t="s">
        <v>317</v>
      </c>
      <c r="H1963" s="10">
        <v>46156</v>
      </c>
      <c r="I1963">
        <v>24893.279999999999</v>
      </c>
      <c r="J1963">
        <v>2590.1999999999998</v>
      </c>
      <c r="K1963">
        <v>22303.079999999998</v>
      </c>
    </row>
    <row r="1964" spans="1:11" x14ac:dyDescent="0.35">
      <c r="A1964">
        <v>8000000302</v>
      </c>
      <c r="B1964">
        <v>9400004873</v>
      </c>
      <c r="C1964" s="10">
        <v>46142</v>
      </c>
      <c r="D1964" t="s">
        <v>2032</v>
      </c>
      <c r="E1964" s="11">
        <v>18525497</v>
      </c>
      <c r="F1964" t="s">
        <v>405</v>
      </c>
      <c r="G1964" t="s">
        <v>406</v>
      </c>
      <c r="H1964" s="10">
        <v>46187</v>
      </c>
      <c r="I1964">
        <v>81774</v>
      </c>
      <c r="J1964">
        <v>0</v>
      </c>
      <c r="K1964">
        <v>81774</v>
      </c>
    </row>
    <row r="1965" spans="1:11" x14ac:dyDescent="0.35">
      <c r="A1965">
        <v>5300000039</v>
      </c>
      <c r="B1965">
        <v>9400004871</v>
      </c>
      <c r="C1965" s="10">
        <v>46142</v>
      </c>
      <c r="D1965" t="s">
        <v>2032</v>
      </c>
      <c r="E1965" s="11">
        <v>18472920</v>
      </c>
      <c r="F1965" t="s">
        <v>851</v>
      </c>
      <c r="G1965" t="s">
        <v>852</v>
      </c>
      <c r="H1965" s="10">
        <v>46187</v>
      </c>
      <c r="I1965">
        <v>4663.7299999999996</v>
      </c>
      <c r="J1965">
        <v>0</v>
      </c>
      <c r="K1965">
        <v>4663.7299999999996</v>
      </c>
    </row>
    <row r="1966" spans="1:11" x14ac:dyDescent="0.35">
      <c r="A1966">
        <v>8000000301</v>
      </c>
      <c r="B1966">
        <v>9400004869</v>
      </c>
      <c r="C1966" s="10">
        <v>46142</v>
      </c>
      <c r="D1966" t="s">
        <v>2032</v>
      </c>
      <c r="E1966" s="11">
        <v>18525641</v>
      </c>
      <c r="F1966" t="s">
        <v>745</v>
      </c>
      <c r="G1966" t="s">
        <v>746</v>
      </c>
      <c r="H1966" s="10">
        <v>46187</v>
      </c>
      <c r="I1966">
        <v>102287.6</v>
      </c>
      <c r="J1966">
        <v>0</v>
      </c>
      <c r="K1966">
        <v>102287.6</v>
      </c>
    </row>
    <row r="1967" spans="1:11" x14ac:dyDescent="0.35">
      <c r="A1967">
        <v>2720000134</v>
      </c>
      <c r="B1967">
        <v>9400004866</v>
      </c>
      <c r="C1967" s="10">
        <v>46142</v>
      </c>
      <c r="D1967" t="s">
        <v>2032</v>
      </c>
      <c r="E1967" s="11">
        <v>18515160</v>
      </c>
      <c r="F1967" t="s">
        <v>316</v>
      </c>
      <c r="G1967" t="s">
        <v>317</v>
      </c>
      <c r="H1967" s="10">
        <v>46187</v>
      </c>
      <c r="I1967">
        <v>51129.4</v>
      </c>
      <c r="J1967">
        <v>0</v>
      </c>
      <c r="K1967">
        <v>51129.4</v>
      </c>
    </row>
    <row r="1968" spans="1:11" x14ac:dyDescent="0.35">
      <c r="A1968">
        <v>8000000298</v>
      </c>
      <c r="B1968">
        <v>9400004865</v>
      </c>
      <c r="C1968" s="10">
        <v>46142</v>
      </c>
      <c r="D1968" t="s">
        <v>2032</v>
      </c>
      <c r="E1968" s="11">
        <v>18525704</v>
      </c>
      <c r="F1968" t="s">
        <v>721</v>
      </c>
      <c r="G1968" t="s">
        <v>722</v>
      </c>
      <c r="H1968" s="10">
        <v>46187</v>
      </c>
      <c r="I1968">
        <v>27541.9</v>
      </c>
      <c r="J1968">
        <v>0</v>
      </c>
      <c r="K1968">
        <v>27541.9</v>
      </c>
    </row>
    <row r="1969" spans="1:11" x14ac:dyDescent="0.35">
      <c r="A1969">
        <v>8000000297</v>
      </c>
      <c r="B1969">
        <v>9400004864</v>
      </c>
      <c r="C1969" s="10">
        <v>46142</v>
      </c>
      <c r="D1969" t="s">
        <v>2032</v>
      </c>
      <c r="E1969" s="11">
        <v>18525719</v>
      </c>
      <c r="F1969" t="s">
        <v>853</v>
      </c>
      <c r="G1969" t="s">
        <v>854</v>
      </c>
      <c r="H1969" s="10">
        <v>46187</v>
      </c>
      <c r="I1969">
        <v>40887</v>
      </c>
      <c r="J1969">
        <v>0</v>
      </c>
      <c r="K1969">
        <v>40887</v>
      </c>
    </row>
    <row r="1970" spans="1:11" x14ac:dyDescent="0.35">
      <c r="A1970">
        <v>8000000295</v>
      </c>
      <c r="B1970">
        <v>9400004861</v>
      </c>
      <c r="C1970" s="10">
        <v>46142</v>
      </c>
      <c r="D1970" t="s">
        <v>2032</v>
      </c>
      <c r="E1970" s="11">
        <v>18525794</v>
      </c>
      <c r="F1970" t="s">
        <v>255</v>
      </c>
      <c r="G1970" t="s">
        <v>256</v>
      </c>
      <c r="H1970" s="10">
        <v>46187</v>
      </c>
      <c r="I1970">
        <v>86652.82</v>
      </c>
      <c r="J1970">
        <v>0</v>
      </c>
      <c r="K1970">
        <v>86652.82</v>
      </c>
    </row>
    <row r="1971" spans="1:11" x14ac:dyDescent="0.35">
      <c r="A1971">
        <v>2730000174</v>
      </c>
      <c r="B1971">
        <v>9400004860</v>
      </c>
      <c r="C1971" s="10">
        <v>46142</v>
      </c>
      <c r="D1971" t="s">
        <v>2032</v>
      </c>
      <c r="E1971" s="11">
        <v>18525613</v>
      </c>
      <c r="F1971" t="s">
        <v>273</v>
      </c>
      <c r="G1971" t="s">
        <v>274</v>
      </c>
      <c r="H1971" s="10">
        <v>46187</v>
      </c>
      <c r="I1971">
        <v>23208.240000000002</v>
      </c>
      <c r="J1971">
        <v>0</v>
      </c>
      <c r="K1971">
        <v>23208.240000000002</v>
      </c>
    </row>
    <row r="1972" spans="1:11" x14ac:dyDescent="0.35">
      <c r="A1972">
        <v>5100000352</v>
      </c>
      <c r="B1972">
        <v>9400004847</v>
      </c>
      <c r="C1972" s="10">
        <v>46142</v>
      </c>
      <c r="D1972" t="s">
        <v>2032</v>
      </c>
      <c r="E1972" s="11">
        <v>18494320</v>
      </c>
      <c r="F1972" t="s">
        <v>298</v>
      </c>
      <c r="G1972" t="s">
        <v>299</v>
      </c>
      <c r="H1972" s="10">
        <v>46187</v>
      </c>
      <c r="I1972">
        <v>12929.64</v>
      </c>
      <c r="J1972">
        <v>0</v>
      </c>
      <c r="K1972">
        <v>12929.64</v>
      </c>
    </row>
    <row r="1973" spans="1:11" x14ac:dyDescent="0.35">
      <c r="A1973">
        <v>2000000085</v>
      </c>
      <c r="B1973">
        <v>9400004845</v>
      </c>
      <c r="C1973" s="10">
        <v>46142</v>
      </c>
      <c r="D1973" t="s">
        <v>2032</v>
      </c>
      <c r="E1973" s="11">
        <v>18515252</v>
      </c>
      <c r="F1973" t="s">
        <v>857</v>
      </c>
      <c r="G1973" t="s">
        <v>858</v>
      </c>
      <c r="H1973" s="10">
        <v>46187</v>
      </c>
      <c r="I1973">
        <v>168969.28</v>
      </c>
      <c r="J1973">
        <v>0</v>
      </c>
      <c r="K1973">
        <v>168969.28</v>
      </c>
    </row>
    <row r="1974" spans="1:11" x14ac:dyDescent="0.35">
      <c r="A1974">
        <v>3000000397</v>
      </c>
      <c r="B1974">
        <v>9400004844</v>
      </c>
      <c r="C1974" s="10">
        <v>46142</v>
      </c>
      <c r="D1974" t="s">
        <v>2032</v>
      </c>
      <c r="E1974" s="11">
        <v>18514953</v>
      </c>
      <c r="F1974" t="s">
        <v>180</v>
      </c>
      <c r="G1974" t="s">
        <v>181</v>
      </c>
      <c r="H1974" s="10">
        <v>46187</v>
      </c>
      <c r="I1974">
        <v>71493.84</v>
      </c>
      <c r="J1974">
        <v>0</v>
      </c>
      <c r="K1974">
        <v>71493.84</v>
      </c>
    </row>
    <row r="1975" spans="1:11" x14ac:dyDescent="0.35">
      <c r="A1975">
        <v>9100000432</v>
      </c>
      <c r="B1975">
        <v>9400004842</v>
      </c>
      <c r="C1975" s="10">
        <v>46142</v>
      </c>
      <c r="D1975" t="s">
        <v>2032</v>
      </c>
      <c r="E1975" s="11">
        <v>18494252</v>
      </c>
      <c r="F1975" t="s">
        <v>112</v>
      </c>
      <c r="G1975" t="s">
        <v>113</v>
      </c>
      <c r="H1975" s="10">
        <v>46187</v>
      </c>
      <c r="I1975">
        <v>33493.07</v>
      </c>
      <c r="J1975">
        <v>0</v>
      </c>
      <c r="K1975">
        <v>33493.07</v>
      </c>
    </row>
    <row r="1976" spans="1:11" x14ac:dyDescent="0.35">
      <c r="A1976">
        <v>2300000167</v>
      </c>
      <c r="B1976">
        <v>9400004838</v>
      </c>
      <c r="C1976" s="10">
        <v>46142</v>
      </c>
      <c r="D1976" t="s">
        <v>2032</v>
      </c>
      <c r="E1976" s="11">
        <v>18525506</v>
      </c>
      <c r="F1976" t="s">
        <v>855</v>
      </c>
      <c r="G1976" t="s">
        <v>856</v>
      </c>
      <c r="H1976" s="10">
        <v>46142</v>
      </c>
      <c r="I1976">
        <v>38760.800000000003</v>
      </c>
      <c r="J1976">
        <v>38259.1</v>
      </c>
      <c r="K1976">
        <v>501.70000000000437</v>
      </c>
    </row>
    <row r="1977" spans="1:11" x14ac:dyDescent="0.35">
      <c r="A1977">
        <v>9200000322</v>
      </c>
      <c r="B1977">
        <v>9400004829</v>
      </c>
      <c r="C1977" s="10">
        <v>46142</v>
      </c>
      <c r="D1977" t="s">
        <v>2032</v>
      </c>
      <c r="E1977" s="11">
        <v>18514635</v>
      </c>
      <c r="F1977" t="s">
        <v>859</v>
      </c>
      <c r="G1977" t="s">
        <v>860</v>
      </c>
      <c r="H1977" s="10">
        <v>46187</v>
      </c>
      <c r="I1977">
        <v>181793.16</v>
      </c>
      <c r="J1977">
        <v>0</v>
      </c>
      <c r="K1977">
        <v>181793.16</v>
      </c>
    </row>
    <row r="1978" spans="1:11" x14ac:dyDescent="0.35">
      <c r="A1978">
        <v>9100000430</v>
      </c>
      <c r="B1978">
        <v>9400004828</v>
      </c>
      <c r="C1978" s="10">
        <v>46142</v>
      </c>
      <c r="D1978" t="s">
        <v>2032</v>
      </c>
      <c r="E1978" s="11">
        <v>18461867</v>
      </c>
      <c r="F1978" t="s">
        <v>861</v>
      </c>
      <c r="G1978" t="s">
        <v>862</v>
      </c>
      <c r="H1978" s="10">
        <v>46187</v>
      </c>
      <c r="I1978">
        <v>24532.2</v>
      </c>
      <c r="J1978">
        <v>0</v>
      </c>
      <c r="K1978">
        <v>24532.2</v>
      </c>
    </row>
    <row r="1979" spans="1:11" x14ac:dyDescent="0.35">
      <c r="A1979">
        <v>2730000173</v>
      </c>
      <c r="B1979">
        <v>9400004822</v>
      </c>
      <c r="C1979" s="10">
        <v>46142</v>
      </c>
      <c r="D1979" t="s">
        <v>2032</v>
      </c>
      <c r="E1979" s="11">
        <v>18525348</v>
      </c>
      <c r="F1979" t="s">
        <v>499</v>
      </c>
      <c r="G1979" t="s">
        <v>500</v>
      </c>
      <c r="H1979" s="10">
        <v>46187</v>
      </c>
      <c r="I1979">
        <v>98747.82</v>
      </c>
      <c r="J1979">
        <v>0</v>
      </c>
      <c r="K1979">
        <v>98747.82</v>
      </c>
    </row>
    <row r="1980" spans="1:11" x14ac:dyDescent="0.35">
      <c r="A1980">
        <v>2730000172</v>
      </c>
      <c r="B1980">
        <v>9400004821</v>
      </c>
      <c r="C1980" s="10">
        <v>46142</v>
      </c>
      <c r="D1980" t="s">
        <v>2032</v>
      </c>
      <c r="E1980" s="11">
        <v>18515224</v>
      </c>
      <c r="F1980" t="s">
        <v>84</v>
      </c>
      <c r="G1980" t="s">
        <v>85</v>
      </c>
      <c r="H1980" s="10">
        <v>46187</v>
      </c>
      <c r="I1980">
        <v>76633.919999999998</v>
      </c>
      <c r="J1980">
        <v>0</v>
      </c>
      <c r="K1980">
        <v>76633.919999999998</v>
      </c>
    </row>
    <row r="1981" spans="1:11" x14ac:dyDescent="0.35">
      <c r="A1981">
        <v>9100000429</v>
      </c>
      <c r="B1981">
        <v>9400004817</v>
      </c>
      <c r="C1981" s="10">
        <v>46142</v>
      </c>
      <c r="D1981" t="s">
        <v>2032</v>
      </c>
      <c r="E1981" s="11">
        <v>18514776</v>
      </c>
      <c r="F1981" t="s">
        <v>495</v>
      </c>
      <c r="G1981" t="s">
        <v>496</v>
      </c>
      <c r="H1981" s="10">
        <v>46187</v>
      </c>
      <c r="I1981">
        <v>85635.5</v>
      </c>
      <c r="J1981">
        <v>0</v>
      </c>
      <c r="K1981">
        <v>85635.5</v>
      </c>
    </row>
    <row r="1982" spans="1:11" x14ac:dyDescent="0.35">
      <c r="A1982">
        <v>2710000302</v>
      </c>
      <c r="B1982">
        <v>9400004816</v>
      </c>
      <c r="C1982" s="10">
        <v>46142</v>
      </c>
      <c r="D1982" t="s">
        <v>2032</v>
      </c>
      <c r="E1982" s="11">
        <v>18515294</v>
      </c>
      <c r="F1982" t="s">
        <v>427</v>
      </c>
      <c r="G1982" t="s">
        <v>428</v>
      </c>
      <c r="H1982" s="10">
        <v>46187</v>
      </c>
      <c r="I1982">
        <v>37226.29</v>
      </c>
      <c r="J1982">
        <v>0</v>
      </c>
      <c r="K1982">
        <v>37226.29</v>
      </c>
    </row>
    <row r="1983" spans="1:11" x14ac:dyDescent="0.35">
      <c r="A1983">
        <v>2710000301</v>
      </c>
      <c r="B1983">
        <v>9400004815</v>
      </c>
      <c r="C1983" s="10">
        <v>46142</v>
      </c>
      <c r="D1983" t="s">
        <v>2032</v>
      </c>
      <c r="E1983" s="11">
        <v>18515195</v>
      </c>
      <c r="F1983" t="s">
        <v>66</v>
      </c>
      <c r="G1983" t="s">
        <v>67</v>
      </c>
      <c r="H1983" s="10">
        <v>46187</v>
      </c>
      <c r="I1983">
        <v>56590.44</v>
      </c>
      <c r="J1983">
        <v>0</v>
      </c>
      <c r="K1983">
        <v>56590.44</v>
      </c>
    </row>
    <row r="1984" spans="1:11" x14ac:dyDescent="0.35">
      <c r="A1984">
        <v>2710000300</v>
      </c>
      <c r="B1984">
        <v>9400004813</v>
      </c>
      <c r="C1984" s="10">
        <v>46142</v>
      </c>
      <c r="D1984" t="s">
        <v>2032</v>
      </c>
      <c r="E1984" s="11">
        <v>18515185</v>
      </c>
      <c r="F1984" t="s">
        <v>773</v>
      </c>
      <c r="G1984" t="s">
        <v>774</v>
      </c>
      <c r="H1984" s="10">
        <v>46187</v>
      </c>
      <c r="I1984">
        <v>3556.43</v>
      </c>
      <c r="J1984">
        <v>0</v>
      </c>
      <c r="K1984">
        <v>3556.43</v>
      </c>
    </row>
    <row r="1985" spans="1:11" x14ac:dyDescent="0.35">
      <c r="A1985">
        <v>2710000297</v>
      </c>
      <c r="B1985">
        <v>9400004806</v>
      </c>
      <c r="C1985" s="10">
        <v>46142</v>
      </c>
      <c r="D1985" t="s">
        <v>2032</v>
      </c>
      <c r="E1985" s="11">
        <v>18515122</v>
      </c>
      <c r="F1985" t="s">
        <v>66</v>
      </c>
      <c r="G1985" t="s">
        <v>67</v>
      </c>
      <c r="H1985" s="10">
        <v>46156</v>
      </c>
      <c r="I1985">
        <v>210006.96</v>
      </c>
      <c r="J1985">
        <v>181977.69</v>
      </c>
      <c r="K1985">
        <v>28029.26999999999</v>
      </c>
    </row>
    <row r="1986" spans="1:11" x14ac:dyDescent="0.35">
      <c r="A1986">
        <v>9100000427</v>
      </c>
      <c r="B1986">
        <v>9400004803</v>
      </c>
      <c r="C1986" s="10">
        <v>46142</v>
      </c>
      <c r="D1986" t="s">
        <v>2032</v>
      </c>
      <c r="E1986" s="11">
        <v>18461624</v>
      </c>
      <c r="F1986" t="s">
        <v>865</v>
      </c>
      <c r="G1986" t="s">
        <v>866</v>
      </c>
      <c r="H1986" s="10">
        <v>46142</v>
      </c>
      <c r="I1986">
        <v>21626.94</v>
      </c>
      <c r="J1986">
        <v>19273</v>
      </c>
      <c r="K1986">
        <v>2353.9399999999987</v>
      </c>
    </row>
    <row r="1987" spans="1:11" x14ac:dyDescent="0.35">
      <c r="A1987">
        <v>3000000394</v>
      </c>
      <c r="B1987">
        <v>9400004802</v>
      </c>
      <c r="C1987" s="10">
        <v>46142</v>
      </c>
      <c r="D1987" t="s">
        <v>2032</v>
      </c>
      <c r="E1987" s="11">
        <v>18525388</v>
      </c>
      <c r="F1987" t="s">
        <v>867</v>
      </c>
      <c r="G1987" t="s">
        <v>868</v>
      </c>
      <c r="H1987" s="10">
        <v>46187</v>
      </c>
      <c r="I1987">
        <v>11741.48</v>
      </c>
      <c r="J1987">
        <v>0</v>
      </c>
      <c r="K1987">
        <v>11741.48</v>
      </c>
    </row>
    <row r="1988" spans="1:11" x14ac:dyDescent="0.35">
      <c r="A1988">
        <v>9100000426</v>
      </c>
      <c r="B1988">
        <v>9400004796</v>
      </c>
      <c r="C1988" s="10">
        <v>46142</v>
      </c>
      <c r="D1988" t="s">
        <v>2032</v>
      </c>
      <c r="E1988" s="11">
        <v>18514587</v>
      </c>
      <c r="F1988" t="s">
        <v>345</v>
      </c>
      <c r="G1988" t="s">
        <v>346</v>
      </c>
      <c r="H1988" s="10">
        <v>46187</v>
      </c>
      <c r="I1988">
        <v>123592.94</v>
      </c>
      <c r="J1988">
        <v>0</v>
      </c>
      <c r="K1988">
        <v>123592.94</v>
      </c>
    </row>
    <row r="1989" spans="1:11" x14ac:dyDescent="0.35">
      <c r="A1989">
        <v>9100000425</v>
      </c>
      <c r="B1989">
        <v>9400004793</v>
      </c>
      <c r="C1989" s="10">
        <v>46142</v>
      </c>
      <c r="D1989" t="s">
        <v>2032</v>
      </c>
      <c r="E1989" s="11">
        <v>18494014</v>
      </c>
      <c r="F1989" t="s">
        <v>869</v>
      </c>
      <c r="G1989" t="s">
        <v>870</v>
      </c>
      <c r="H1989" s="10">
        <v>46187</v>
      </c>
      <c r="I1989">
        <v>10519.46</v>
      </c>
      <c r="J1989">
        <v>0</v>
      </c>
      <c r="K1989">
        <v>10519.46</v>
      </c>
    </row>
    <row r="1990" spans="1:11" x14ac:dyDescent="0.35">
      <c r="A1990">
        <v>9300000257</v>
      </c>
      <c r="B1990">
        <v>9400004787</v>
      </c>
      <c r="C1990" s="10">
        <v>46142</v>
      </c>
      <c r="D1990" t="s">
        <v>2032</v>
      </c>
      <c r="E1990" s="11">
        <v>18514837</v>
      </c>
      <c r="F1990" t="s">
        <v>871</v>
      </c>
      <c r="G1990" t="s">
        <v>872</v>
      </c>
      <c r="H1990" s="10">
        <v>46187</v>
      </c>
      <c r="I1990">
        <v>108822.94</v>
      </c>
      <c r="J1990">
        <v>0</v>
      </c>
      <c r="K1990">
        <v>108822.94</v>
      </c>
    </row>
    <row r="1991" spans="1:11" x14ac:dyDescent="0.35">
      <c r="A1991">
        <v>8000000290</v>
      </c>
      <c r="B1991">
        <v>9400004786</v>
      </c>
      <c r="C1991" s="10">
        <v>46142</v>
      </c>
      <c r="D1991" t="s">
        <v>2032</v>
      </c>
      <c r="E1991" s="11">
        <v>18525380</v>
      </c>
      <c r="F1991" t="s">
        <v>42</v>
      </c>
      <c r="G1991" t="s">
        <v>43</v>
      </c>
      <c r="H1991" s="10">
        <v>46187</v>
      </c>
      <c r="I1991">
        <v>10046.52</v>
      </c>
      <c r="J1991">
        <v>0</v>
      </c>
      <c r="K1991">
        <v>10046.52</v>
      </c>
    </row>
    <row r="1992" spans="1:11" x14ac:dyDescent="0.35">
      <c r="A1992">
        <v>8000000288</v>
      </c>
      <c r="B1992">
        <v>9400004784</v>
      </c>
      <c r="C1992" s="10">
        <v>46142</v>
      </c>
      <c r="D1992" t="s">
        <v>2032</v>
      </c>
      <c r="E1992" s="11">
        <v>18525339</v>
      </c>
      <c r="F1992" t="s">
        <v>397</v>
      </c>
      <c r="G1992" t="s">
        <v>398</v>
      </c>
      <c r="H1992" s="10">
        <v>46187</v>
      </c>
      <c r="I1992">
        <v>100465.2</v>
      </c>
      <c r="J1992">
        <v>0</v>
      </c>
      <c r="K1992">
        <v>100465.2</v>
      </c>
    </row>
    <row r="1993" spans="1:11" x14ac:dyDescent="0.35">
      <c r="A1993">
        <v>8000000287</v>
      </c>
      <c r="B1993">
        <v>9400004782</v>
      </c>
      <c r="C1993" s="10">
        <v>46142</v>
      </c>
      <c r="D1993" t="s">
        <v>2032</v>
      </c>
      <c r="E1993" s="11">
        <v>18515141</v>
      </c>
      <c r="F1993" t="s">
        <v>403</v>
      </c>
      <c r="G1993" t="s">
        <v>404</v>
      </c>
      <c r="H1993" s="10">
        <v>46187</v>
      </c>
      <c r="I1993">
        <v>72863.3</v>
      </c>
      <c r="J1993">
        <v>0</v>
      </c>
      <c r="K1993">
        <v>72863.3</v>
      </c>
    </row>
    <row r="1994" spans="1:11" x14ac:dyDescent="0.35">
      <c r="A1994">
        <v>3000000392</v>
      </c>
      <c r="B1994">
        <v>9400004781</v>
      </c>
      <c r="C1994" s="10">
        <v>46142</v>
      </c>
      <c r="D1994" t="s">
        <v>2032</v>
      </c>
      <c r="E1994" s="11">
        <v>18515042</v>
      </c>
      <c r="F1994" t="s">
        <v>873</v>
      </c>
      <c r="G1994" t="s">
        <v>874</v>
      </c>
      <c r="H1994" s="10">
        <v>46187</v>
      </c>
      <c r="I1994">
        <v>145464.26</v>
      </c>
      <c r="J1994">
        <v>0</v>
      </c>
      <c r="K1994">
        <v>145464.26</v>
      </c>
    </row>
    <row r="1995" spans="1:11" x14ac:dyDescent="0.35">
      <c r="A1995">
        <v>8000000283</v>
      </c>
      <c r="B1995">
        <v>9400004775</v>
      </c>
      <c r="C1995" s="10">
        <v>46142</v>
      </c>
      <c r="D1995" t="s">
        <v>2032</v>
      </c>
      <c r="E1995" s="11">
        <v>18514821</v>
      </c>
      <c r="F1995" t="s">
        <v>797</v>
      </c>
      <c r="G1995" t="s">
        <v>798</v>
      </c>
      <c r="H1995" s="10">
        <v>46187</v>
      </c>
      <c r="I1995">
        <v>81774</v>
      </c>
      <c r="J1995">
        <v>0</v>
      </c>
      <c r="K1995">
        <v>81774</v>
      </c>
    </row>
    <row r="1996" spans="1:11" x14ac:dyDescent="0.35">
      <c r="A1996">
        <v>2730000169</v>
      </c>
      <c r="B1996">
        <v>9400004773</v>
      </c>
      <c r="C1996" s="10">
        <v>46142</v>
      </c>
      <c r="D1996" t="s">
        <v>2032</v>
      </c>
      <c r="E1996" s="11">
        <v>18514934</v>
      </c>
      <c r="F1996" t="s">
        <v>89</v>
      </c>
      <c r="G1996" t="s">
        <v>90</v>
      </c>
      <c r="H1996" s="10">
        <v>46187</v>
      </c>
      <c r="I1996">
        <v>538720.98</v>
      </c>
      <c r="J1996">
        <v>0</v>
      </c>
      <c r="K1996">
        <v>538720.98</v>
      </c>
    </row>
    <row r="1997" spans="1:11" x14ac:dyDescent="0.35">
      <c r="A1997">
        <v>9100000422</v>
      </c>
      <c r="B1997">
        <v>9400004766</v>
      </c>
      <c r="C1997" s="10">
        <v>46142</v>
      </c>
      <c r="D1997" t="s">
        <v>2032</v>
      </c>
      <c r="E1997" s="11">
        <v>18494045</v>
      </c>
      <c r="F1997" t="s">
        <v>501</v>
      </c>
      <c r="G1997" t="s">
        <v>502</v>
      </c>
      <c r="H1997" s="10">
        <v>46187</v>
      </c>
      <c r="I1997">
        <v>127832.42</v>
      </c>
      <c r="J1997">
        <v>0</v>
      </c>
      <c r="K1997">
        <v>127832.42</v>
      </c>
    </row>
    <row r="1998" spans="1:11" x14ac:dyDescent="0.35">
      <c r="A1998">
        <v>2300000162</v>
      </c>
      <c r="B1998">
        <v>9400004765</v>
      </c>
      <c r="C1998" s="10">
        <v>46142</v>
      </c>
      <c r="D1998" t="s">
        <v>2032</v>
      </c>
      <c r="E1998" s="11">
        <v>18525329</v>
      </c>
      <c r="F1998" t="s">
        <v>461</v>
      </c>
      <c r="G1998" t="s">
        <v>462</v>
      </c>
      <c r="H1998" s="10">
        <v>46187</v>
      </c>
      <c r="I1998">
        <v>225415.58</v>
      </c>
      <c r="J1998">
        <v>0</v>
      </c>
      <c r="K1998">
        <v>225415.58</v>
      </c>
    </row>
    <row r="1999" spans="1:11" x14ac:dyDescent="0.35">
      <c r="A1999">
        <v>9200000317</v>
      </c>
      <c r="B1999">
        <v>9400004764</v>
      </c>
      <c r="C1999" s="10">
        <v>46142</v>
      </c>
      <c r="D1999" t="s">
        <v>2032</v>
      </c>
      <c r="E1999" s="11">
        <v>18515264</v>
      </c>
      <c r="F1999" t="s">
        <v>653</v>
      </c>
      <c r="G1999" t="s">
        <v>654</v>
      </c>
      <c r="H1999" s="10">
        <v>46187</v>
      </c>
      <c r="I1999">
        <v>18858.439999999999</v>
      </c>
      <c r="J1999">
        <v>0</v>
      </c>
      <c r="K1999">
        <v>18858.439999999999</v>
      </c>
    </row>
    <row r="2000" spans="1:11" x14ac:dyDescent="0.35">
      <c r="A2000">
        <v>5100000347</v>
      </c>
      <c r="B2000">
        <v>9400004763</v>
      </c>
      <c r="C2000" s="10">
        <v>46142</v>
      </c>
      <c r="D2000" t="s">
        <v>2032</v>
      </c>
      <c r="E2000" s="11">
        <v>18515151</v>
      </c>
      <c r="F2000" t="s">
        <v>211</v>
      </c>
      <c r="G2000" t="s">
        <v>212</v>
      </c>
      <c r="H2000" s="10">
        <v>46187</v>
      </c>
      <c r="I2000">
        <v>26014.080000000002</v>
      </c>
      <c r="J2000">
        <v>0</v>
      </c>
      <c r="K2000">
        <v>26014.080000000002</v>
      </c>
    </row>
    <row r="2001" spans="1:11" x14ac:dyDescent="0.35">
      <c r="A2001">
        <v>9300000256</v>
      </c>
      <c r="B2001">
        <v>9400004761</v>
      </c>
      <c r="C2001" s="10">
        <v>46142</v>
      </c>
      <c r="D2001" t="s">
        <v>2032</v>
      </c>
      <c r="E2001" s="11">
        <v>18493825</v>
      </c>
      <c r="F2001" t="s">
        <v>421</v>
      </c>
      <c r="G2001" t="s">
        <v>422</v>
      </c>
      <c r="H2001" s="10">
        <v>46187</v>
      </c>
      <c r="I2001">
        <v>21082.959999999999</v>
      </c>
      <c r="J2001">
        <v>0</v>
      </c>
      <c r="K2001">
        <v>21082.959999999999</v>
      </c>
    </row>
    <row r="2002" spans="1:11" x14ac:dyDescent="0.35">
      <c r="A2002">
        <v>9200000316</v>
      </c>
      <c r="B2002">
        <v>9400004755</v>
      </c>
      <c r="C2002" s="10">
        <v>46142</v>
      </c>
      <c r="D2002" t="s">
        <v>2032</v>
      </c>
      <c r="E2002" s="11">
        <v>18525299</v>
      </c>
      <c r="F2002" t="s">
        <v>103</v>
      </c>
      <c r="G2002" t="s">
        <v>104</v>
      </c>
      <c r="H2002" s="10">
        <v>46187</v>
      </c>
      <c r="I2002">
        <v>60844.46</v>
      </c>
      <c r="J2002">
        <v>0</v>
      </c>
      <c r="K2002">
        <v>60844.46</v>
      </c>
    </row>
    <row r="2003" spans="1:11" x14ac:dyDescent="0.35">
      <c r="A2003">
        <v>3000000387</v>
      </c>
      <c r="B2003">
        <v>9400004754</v>
      </c>
      <c r="C2003" s="10">
        <v>46142</v>
      </c>
      <c r="D2003" t="s">
        <v>2032</v>
      </c>
      <c r="E2003" s="11">
        <v>18515108</v>
      </c>
      <c r="F2003" t="s">
        <v>875</v>
      </c>
      <c r="G2003" t="s">
        <v>876</v>
      </c>
      <c r="H2003" s="10">
        <v>46187</v>
      </c>
      <c r="I2003">
        <v>65419.199999999997</v>
      </c>
      <c r="J2003">
        <v>0</v>
      </c>
      <c r="K2003">
        <v>65419.199999999997</v>
      </c>
    </row>
    <row r="2004" spans="1:11" x14ac:dyDescent="0.35">
      <c r="A2004">
        <v>2710000295</v>
      </c>
      <c r="B2004">
        <v>9400004751</v>
      </c>
      <c r="C2004" s="10">
        <v>46142</v>
      </c>
      <c r="D2004" t="s">
        <v>2032</v>
      </c>
      <c r="E2004" s="11">
        <v>18514869</v>
      </c>
      <c r="F2004" t="s">
        <v>118</v>
      </c>
      <c r="G2004" t="s">
        <v>119</v>
      </c>
      <c r="H2004" s="10">
        <v>46187</v>
      </c>
      <c r="I2004">
        <v>122525.19</v>
      </c>
      <c r="J2004">
        <v>0</v>
      </c>
      <c r="K2004">
        <v>122525.19</v>
      </c>
    </row>
    <row r="2005" spans="1:11" x14ac:dyDescent="0.35">
      <c r="A2005">
        <v>2710000293</v>
      </c>
      <c r="B2005">
        <v>9400004748</v>
      </c>
      <c r="C2005" s="10">
        <v>46142</v>
      </c>
      <c r="D2005" t="s">
        <v>2032</v>
      </c>
      <c r="E2005" s="11">
        <v>18514851</v>
      </c>
      <c r="F2005" t="s">
        <v>505</v>
      </c>
      <c r="G2005" t="s">
        <v>506</v>
      </c>
      <c r="H2005" s="10">
        <v>46187</v>
      </c>
      <c r="I2005">
        <v>36222.800000000003</v>
      </c>
      <c r="J2005">
        <v>0</v>
      </c>
      <c r="K2005">
        <v>36222.800000000003</v>
      </c>
    </row>
    <row r="2006" spans="1:11" x14ac:dyDescent="0.35">
      <c r="A2006">
        <v>9200000315</v>
      </c>
      <c r="B2006">
        <v>9400004745</v>
      </c>
      <c r="C2006" s="10">
        <v>46142</v>
      </c>
      <c r="D2006" t="s">
        <v>2032</v>
      </c>
      <c r="E2006" s="11">
        <v>18515177</v>
      </c>
      <c r="F2006" t="s">
        <v>249</v>
      </c>
      <c r="G2006" t="s">
        <v>250</v>
      </c>
      <c r="H2006" s="10">
        <v>46187</v>
      </c>
      <c r="I2006">
        <v>8224.1200000000008</v>
      </c>
      <c r="J2006">
        <v>0</v>
      </c>
      <c r="K2006">
        <v>8224.1200000000008</v>
      </c>
    </row>
    <row r="2007" spans="1:11" x14ac:dyDescent="0.35">
      <c r="A2007">
        <v>2730000168</v>
      </c>
      <c r="B2007">
        <v>9400004739</v>
      </c>
      <c r="C2007" s="10">
        <v>46142</v>
      </c>
      <c r="D2007" t="s">
        <v>2032</v>
      </c>
      <c r="E2007" s="11">
        <v>18514672</v>
      </c>
      <c r="F2007" t="s">
        <v>483</v>
      </c>
      <c r="G2007" t="s">
        <v>484</v>
      </c>
      <c r="H2007" s="10">
        <v>46187</v>
      </c>
      <c r="I2007">
        <v>15472.16</v>
      </c>
      <c r="J2007">
        <v>0</v>
      </c>
      <c r="K2007">
        <v>15472.16</v>
      </c>
    </row>
    <row r="2008" spans="1:11" x14ac:dyDescent="0.35">
      <c r="A2008">
        <v>2730000167</v>
      </c>
      <c r="B2008">
        <v>9400004737</v>
      </c>
      <c r="C2008" s="10">
        <v>46142</v>
      </c>
      <c r="D2008" t="s">
        <v>2032</v>
      </c>
      <c r="E2008" s="11">
        <v>18493881</v>
      </c>
      <c r="F2008" t="s">
        <v>681</v>
      </c>
      <c r="G2008" t="s">
        <v>682</v>
      </c>
      <c r="H2008" s="10">
        <v>46187</v>
      </c>
      <c r="I2008">
        <v>166949.64000000001</v>
      </c>
      <c r="J2008">
        <v>0</v>
      </c>
      <c r="K2008">
        <v>166949.64000000001</v>
      </c>
    </row>
    <row r="2009" spans="1:11" x14ac:dyDescent="0.35">
      <c r="A2009">
        <v>2710000288</v>
      </c>
      <c r="B2009">
        <v>9400004736</v>
      </c>
      <c r="C2009" s="10">
        <v>46142</v>
      </c>
      <c r="D2009" t="s">
        <v>2032</v>
      </c>
      <c r="E2009" s="11">
        <v>18514740</v>
      </c>
      <c r="F2009" t="s">
        <v>509</v>
      </c>
      <c r="G2009" t="s">
        <v>510</v>
      </c>
      <c r="H2009" s="10">
        <v>46156</v>
      </c>
      <c r="I2009">
        <v>176883.32</v>
      </c>
      <c r="J2009">
        <v>168170.64</v>
      </c>
      <c r="K2009">
        <v>8712.679999999993</v>
      </c>
    </row>
    <row r="2010" spans="1:11" x14ac:dyDescent="0.35">
      <c r="A2010">
        <v>9200000313</v>
      </c>
      <c r="B2010">
        <v>9400004732</v>
      </c>
      <c r="C2010" s="10">
        <v>46142</v>
      </c>
      <c r="D2010" t="s">
        <v>2032</v>
      </c>
      <c r="E2010" s="11">
        <v>18494236</v>
      </c>
      <c r="F2010" t="s">
        <v>537</v>
      </c>
      <c r="G2010" t="s">
        <v>538</v>
      </c>
      <c r="H2010" s="10">
        <v>46187</v>
      </c>
      <c r="I2010">
        <v>36776.22</v>
      </c>
      <c r="J2010">
        <v>0</v>
      </c>
      <c r="K2010">
        <v>36776.22</v>
      </c>
    </row>
    <row r="2011" spans="1:11" x14ac:dyDescent="0.35">
      <c r="A2011">
        <v>2710000287</v>
      </c>
      <c r="B2011">
        <v>9400004730</v>
      </c>
      <c r="C2011" s="10">
        <v>46142</v>
      </c>
      <c r="D2011" t="s">
        <v>2032</v>
      </c>
      <c r="E2011" s="11">
        <v>18494353</v>
      </c>
      <c r="F2011" t="s">
        <v>134</v>
      </c>
      <c r="G2011" t="s">
        <v>135</v>
      </c>
      <c r="H2011" s="10">
        <v>46187</v>
      </c>
      <c r="I2011">
        <v>1635.48</v>
      </c>
      <c r="J2011">
        <v>0</v>
      </c>
      <c r="K2011">
        <v>1635.48</v>
      </c>
    </row>
    <row r="2012" spans="1:11" x14ac:dyDescent="0.35">
      <c r="A2012">
        <v>9100000418</v>
      </c>
      <c r="B2012">
        <v>9400004729</v>
      </c>
      <c r="C2012" s="10">
        <v>46142</v>
      </c>
      <c r="D2012" t="s">
        <v>2032</v>
      </c>
      <c r="E2012" s="11">
        <v>18493696</v>
      </c>
      <c r="F2012" t="s">
        <v>813</v>
      </c>
      <c r="G2012" t="s">
        <v>814</v>
      </c>
      <c r="H2012" s="10">
        <v>46156</v>
      </c>
      <c r="I2012">
        <v>229052.16</v>
      </c>
      <c r="J2012">
        <v>229051.51</v>
      </c>
      <c r="K2012">
        <v>0.64999999999417923</v>
      </c>
    </row>
    <row r="2013" spans="1:11" x14ac:dyDescent="0.35">
      <c r="A2013">
        <v>2710000285</v>
      </c>
      <c r="B2013">
        <v>9400004724</v>
      </c>
      <c r="C2013" s="10">
        <v>46142</v>
      </c>
      <c r="D2013" t="s">
        <v>2032</v>
      </c>
      <c r="E2013" s="11">
        <v>18494237</v>
      </c>
      <c r="F2013" t="s">
        <v>150</v>
      </c>
      <c r="G2013" t="s">
        <v>151</v>
      </c>
      <c r="H2013" s="10">
        <v>46187</v>
      </c>
      <c r="I2013">
        <v>116338.56</v>
      </c>
      <c r="J2013">
        <v>0</v>
      </c>
      <c r="K2013">
        <v>116338.56</v>
      </c>
    </row>
    <row r="2014" spans="1:11" x14ac:dyDescent="0.35">
      <c r="A2014">
        <v>9200000312</v>
      </c>
      <c r="B2014">
        <v>9400004723</v>
      </c>
      <c r="C2014" s="10">
        <v>46142</v>
      </c>
      <c r="D2014" t="s">
        <v>2032</v>
      </c>
      <c r="E2014" s="11">
        <v>18494138</v>
      </c>
      <c r="F2014" t="s">
        <v>877</v>
      </c>
      <c r="G2014" t="s">
        <v>878</v>
      </c>
      <c r="H2014" s="10">
        <v>46187</v>
      </c>
      <c r="I2014">
        <v>137910.20000000001</v>
      </c>
      <c r="J2014">
        <v>0</v>
      </c>
      <c r="K2014">
        <v>137910.20000000001</v>
      </c>
    </row>
    <row r="2015" spans="1:11" x14ac:dyDescent="0.35">
      <c r="A2015">
        <v>2710000283</v>
      </c>
      <c r="B2015">
        <v>9400004719</v>
      </c>
      <c r="C2015" s="10">
        <v>46142</v>
      </c>
      <c r="D2015" t="s">
        <v>2032</v>
      </c>
      <c r="E2015" s="11">
        <v>18494201</v>
      </c>
      <c r="F2015" t="s">
        <v>755</v>
      </c>
      <c r="G2015" t="s">
        <v>756</v>
      </c>
      <c r="H2015" s="10">
        <v>46187</v>
      </c>
      <c r="I2015">
        <v>52106.44</v>
      </c>
      <c r="J2015">
        <v>0</v>
      </c>
      <c r="K2015">
        <v>52106.44</v>
      </c>
    </row>
    <row r="2016" spans="1:11" x14ac:dyDescent="0.35">
      <c r="A2016">
        <v>2710000281</v>
      </c>
      <c r="B2016">
        <v>9400004715</v>
      </c>
      <c r="C2016" s="10">
        <v>46142</v>
      </c>
      <c r="D2016" t="s">
        <v>2032</v>
      </c>
      <c r="E2016" s="11">
        <v>18494136</v>
      </c>
      <c r="F2016" t="s">
        <v>753</v>
      </c>
      <c r="G2016" t="s">
        <v>754</v>
      </c>
      <c r="H2016" s="10">
        <v>46156</v>
      </c>
      <c r="I2016">
        <v>182785.78</v>
      </c>
      <c r="J2016">
        <v>33733.29</v>
      </c>
      <c r="K2016">
        <v>149052.49</v>
      </c>
    </row>
    <row r="2017" spans="1:11" x14ac:dyDescent="0.35">
      <c r="A2017">
        <v>2710000280</v>
      </c>
      <c r="B2017">
        <v>9400004712</v>
      </c>
      <c r="C2017" s="10">
        <v>46142</v>
      </c>
      <c r="D2017" t="s">
        <v>2032</v>
      </c>
      <c r="E2017" s="11">
        <v>18493968</v>
      </c>
      <c r="F2017" t="s">
        <v>493</v>
      </c>
      <c r="G2017" t="s">
        <v>494</v>
      </c>
      <c r="H2017" s="10">
        <v>46187</v>
      </c>
      <c r="I2017">
        <v>6093.4</v>
      </c>
      <c r="J2017">
        <v>0</v>
      </c>
      <c r="K2017">
        <v>6093.4</v>
      </c>
    </row>
    <row r="2018" spans="1:11" x14ac:dyDescent="0.35">
      <c r="A2018">
        <v>2710000278</v>
      </c>
      <c r="B2018">
        <v>9400004708</v>
      </c>
      <c r="C2018" s="10">
        <v>46142</v>
      </c>
      <c r="D2018" t="s">
        <v>2032</v>
      </c>
      <c r="E2018" s="11">
        <v>18493886</v>
      </c>
      <c r="F2018" t="s">
        <v>791</v>
      </c>
      <c r="G2018" t="s">
        <v>792</v>
      </c>
      <c r="H2018" s="10">
        <v>46187</v>
      </c>
      <c r="I2018">
        <v>108081.26</v>
      </c>
      <c r="J2018">
        <v>0</v>
      </c>
      <c r="K2018">
        <v>108081.26</v>
      </c>
    </row>
    <row r="2019" spans="1:11" x14ac:dyDescent="0.35">
      <c r="A2019">
        <v>8000000281</v>
      </c>
      <c r="B2019">
        <v>9400004705</v>
      </c>
      <c r="C2019" s="10">
        <v>46142</v>
      </c>
      <c r="D2019" t="s">
        <v>2032</v>
      </c>
      <c r="E2019" s="11">
        <v>18514637</v>
      </c>
      <c r="F2019" t="s">
        <v>747</v>
      </c>
      <c r="G2019" t="s">
        <v>748</v>
      </c>
      <c r="H2019" s="10">
        <v>46187</v>
      </c>
      <c r="I2019">
        <v>98128.8</v>
      </c>
      <c r="J2019">
        <v>0</v>
      </c>
      <c r="K2019">
        <v>98128.8</v>
      </c>
    </row>
    <row r="2020" spans="1:11" x14ac:dyDescent="0.35">
      <c r="A2020">
        <v>3000000382</v>
      </c>
      <c r="B2020">
        <v>9400004698</v>
      </c>
      <c r="C2020" s="10">
        <v>46142</v>
      </c>
      <c r="D2020" t="s">
        <v>2032</v>
      </c>
      <c r="E2020" s="11">
        <v>18504379</v>
      </c>
      <c r="F2020" t="s">
        <v>879</v>
      </c>
      <c r="G2020" t="s">
        <v>880</v>
      </c>
      <c r="H2020" s="10">
        <v>46142</v>
      </c>
      <c r="I2020">
        <v>23194.959999999999</v>
      </c>
      <c r="J2020">
        <v>22176.560000000001</v>
      </c>
      <c r="K2020">
        <v>1018.3999999999978</v>
      </c>
    </row>
    <row r="2021" spans="1:11" x14ac:dyDescent="0.35">
      <c r="A2021">
        <v>8000000276</v>
      </c>
      <c r="B2021">
        <v>9400004695</v>
      </c>
      <c r="C2021" s="10">
        <v>46142</v>
      </c>
      <c r="D2021" t="s">
        <v>2032</v>
      </c>
      <c r="E2021" s="11">
        <v>18504485</v>
      </c>
      <c r="F2021" t="s">
        <v>689</v>
      </c>
      <c r="G2021" t="s">
        <v>690</v>
      </c>
      <c r="H2021" s="10">
        <v>46187</v>
      </c>
      <c r="I2021">
        <v>48427.76</v>
      </c>
      <c r="J2021">
        <v>0</v>
      </c>
      <c r="K2021">
        <v>48427.76</v>
      </c>
    </row>
    <row r="2022" spans="1:11" x14ac:dyDescent="0.35">
      <c r="A2022">
        <v>2710000275</v>
      </c>
      <c r="B2022">
        <v>9400004673</v>
      </c>
      <c r="C2022" s="10">
        <v>46142</v>
      </c>
      <c r="D2022" t="s">
        <v>2032</v>
      </c>
      <c r="E2022" s="11">
        <v>18493810</v>
      </c>
      <c r="F2022" t="s">
        <v>70</v>
      </c>
      <c r="G2022" t="s">
        <v>71</v>
      </c>
      <c r="H2022" s="10">
        <v>46187</v>
      </c>
      <c r="I2022">
        <v>18602.23</v>
      </c>
      <c r="J2022">
        <v>0</v>
      </c>
      <c r="K2022">
        <v>18602.23</v>
      </c>
    </row>
    <row r="2023" spans="1:11" x14ac:dyDescent="0.35">
      <c r="A2023">
        <v>2300000161</v>
      </c>
      <c r="B2023">
        <v>9400004672</v>
      </c>
      <c r="C2023" s="10">
        <v>46142</v>
      </c>
      <c r="D2023" t="s">
        <v>2032</v>
      </c>
      <c r="E2023" s="11">
        <v>18504520</v>
      </c>
      <c r="F2023" t="s">
        <v>629</v>
      </c>
      <c r="G2023" t="s">
        <v>630</v>
      </c>
      <c r="H2023" s="10">
        <v>46187</v>
      </c>
      <c r="I2023">
        <v>74757.72</v>
      </c>
      <c r="J2023">
        <v>0</v>
      </c>
      <c r="K2023">
        <v>74757.72</v>
      </c>
    </row>
    <row r="2024" spans="1:11" x14ac:dyDescent="0.35">
      <c r="A2024">
        <v>9200000309</v>
      </c>
      <c r="B2024">
        <v>9400004666</v>
      </c>
      <c r="C2024" s="10">
        <v>46142</v>
      </c>
      <c r="D2024" t="s">
        <v>2032</v>
      </c>
      <c r="E2024" s="11">
        <v>18472508</v>
      </c>
      <c r="F2024" t="s">
        <v>98</v>
      </c>
      <c r="G2024" t="s">
        <v>99</v>
      </c>
      <c r="H2024" s="10">
        <v>46187</v>
      </c>
      <c r="I2024">
        <v>30139.56</v>
      </c>
      <c r="J2024">
        <v>0</v>
      </c>
      <c r="K2024">
        <v>30139.56</v>
      </c>
    </row>
    <row r="2025" spans="1:11" x14ac:dyDescent="0.35">
      <c r="A2025">
        <v>9200000308</v>
      </c>
      <c r="B2025">
        <v>9400004663</v>
      </c>
      <c r="C2025" s="10">
        <v>46142</v>
      </c>
      <c r="D2025" t="s">
        <v>2032</v>
      </c>
      <c r="E2025" s="11">
        <v>18493557</v>
      </c>
      <c r="F2025" t="s">
        <v>883</v>
      </c>
      <c r="G2025" t="s">
        <v>884</v>
      </c>
      <c r="H2025" s="10">
        <v>46187</v>
      </c>
      <c r="I2025">
        <v>18800.38</v>
      </c>
      <c r="J2025">
        <v>0</v>
      </c>
      <c r="K2025">
        <v>18800.38</v>
      </c>
    </row>
    <row r="2026" spans="1:11" x14ac:dyDescent="0.35">
      <c r="A2026">
        <v>2730000164</v>
      </c>
      <c r="B2026">
        <v>9400004662</v>
      </c>
      <c r="C2026" s="10">
        <v>46142</v>
      </c>
      <c r="D2026" t="s">
        <v>2032</v>
      </c>
      <c r="E2026" s="11">
        <v>18494086</v>
      </c>
      <c r="F2026" t="s">
        <v>267</v>
      </c>
      <c r="G2026" t="s">
        <v>268</v>
      </c>
      <c r="H2026" s="10">
        <v>46187</v>
      </c>
      <c r="I2026">
        <v>27418.58</v>
      </c>
      <c r="J2026">
        <v>0</v>
      </c>
      <c r="K2026">
        <v>27418.58</v>
      </c>
    </row>
    <row r="2027" spans="1:11" x14ac:dyDescent="0.35">
      <c r="A2027">
        <v>2300000159</v>
      </c>
      <c r="B2027">
        <v>9400004659</v>
      </c>
      <c r="C2027" s="10">
        <v>46142</v>
      </c>
      <c r="D2027" t="s">
        <v>2032</v>
      </c>
      <c r="E2027" s="11">
        <v>18504553</v>
      </c>
      <c r="F2027" t="s">
        <v>751</v>
      </c>
      <c r="G2027" t="s">
        <v>752</v>
      </c>
      <c r="H2027" s="10">
        <v>46187</v>
      </c>
      <c r="I2027">
        <v>51711.14</v>
      </c>
      <c r="J2027">
        <v>0</v>
      </c>
      <c r="K2027">
        <v>51711.14</v>
      </c>
    </row>
    <row r="2028" spans="1:11" x14ac:dyDescent="0.35">
      <c r="A2028">
        <v>9200000307</v>
      </c>
      <c r="B2028">
        <v>9400004658</v>
      </c>
      <c r="C2028" s="10">
        <v>46142</v>
      </c>
      <c r="D2028" t="s">
        <v>2032</v>
      </c>
      <c r="E2028" s="11">
        <v>18493920</v>
      </c>
      <c r="F2028" t="s">
        <v>617</v>
      </c>
      <c r="G2028" t="s">
        <v>618</v>
      </c>
      <c r="H2028" s="10">
        <v>46187</v>
      </c>
      <c r="I2028">
        <v>46068.2</v>
      </c>
      <c r="J2028">
        <v>0</v>
      </c>
      <c r="K2028">
        <v>46068.2</v>
      </c>
    </row>
    <row r="2029" spans="1:11" x14ac:dyDescent="0.35">
      <c r="A2029">
        <v>2000000082</v>
      </c>
      <c r="B2029">
        <v>9400004655</v>
      </c>
      <c r="C2029" s="10">
        <v>46142</v>
      </c>
      <c r="D2029" t="s">
        <v>2032</v>
      </c>
      <c r="E2029" s="11">
        <v>18514949</v>
      </c>
      <c r="F2029" t="s">
        <v>223</v>
      </c>
      <c r="G2029" t="s">
        <v>224</v>
      </c>
      <c r="H2029" s="10">
        <v>46187</v>
      </c>
      <c r="I2029">
        <v>80242.539999999994</v>
      </c>
      <c r="J2029">
        <v>0</v>
      </c>
      <c r="K2029">
        <v>80242.539999999994</v>
      </c>
    </row>
    <row r="2030" spans="1:11" x14ac:dyDescent="0.35">
      <c r="A2030">
        <v>5300000035</v>
      </c>
      <c r="B2030">
        <v>9400004652</v>
      </c>
      <c r="C2030" s="10">
        <v>46142</v>
      </c>
      <c r="D2030" t="s">
        <v>2032</v>
      </c>
      <c r="E2030" s="11">
        <v>18514970</v>
      </c>
      <c r="F2030" t="s">
        <v>329</v>
      </c>
      <c r="G2030" t="s">
        <v>330</v>
      </c>
      <c r="H2030" s="10">
        <v>46187</v>
      </c>
      <c r="I2030">
        <v>40232.82</v>
      </c>
      <c r="J2030">
        <v>0</v>
      </c>
      <c r="K2030">
        <v>40232.82</v>
      </c>
    </row>
    <row r="2031" spans="1:11" x14ac:dyDescent="0.35">
      <c r="A2031">
        <v>5200000117</v>
      </c>
      <c r="B2031">
        <v>9400004651</v>
      </c>
      <c r="C2031" s="10">
        <v>46142</v>
      </c>
      <c r="D2031" t="s">
        <v>2032</v>
      </c>
      <c r="E2031" s="11">
        <v>18493744</v>
      </c>
      <c r="F2031" t="s">
        <v>288</v>
      </c>
      <c r="G2031" t="s">
        <v>289</v>
      </c>
      <c r="H2031" s="10">
        <v>46187</v>
      </c>
      <c r="I2031">
        <v>105044.62</v>
      </c>
      <c r="J2031">
        <v>0</v>
      </c>
      <c r="K2031">
        <v>105044.62</v>
      </c>
    </row>
    <row r="2032" spans="1:11" x14ac:dyDescent="0.35">
      <c r="A2032">
        <v>9200000305</v>
      </c>
      <c r="B2032">
        <v>9400004650</v>
      </c>
      <c r="C2032" s="10">
        <v>46142</v>
      </c>
      <c r="D2032" t="s">
        <v>2032</v>
      </c>
      <c r="E2032" s="11">
        <v>18493811</v>
      </c>
      <c r="F2032" t="s">
        <v>51</v>
      </c>
      <c r="G2032" t="s">
        <v>52</v>
      </c>
      <c r="H2032" s="10">
        <v>46187</v>
      </c>
      <c r="I2032">
        <v>10263.459999999999</v>
      </c>
      <c r="J2032">
        <v>0</v>
      </c>
      <c r="K2032">
        <v>10263.459999999999</v>
      </c>
    </row>
    <row r="2033" spans="1:11" x14ac:dyDescent="0.35">
      <c r="A2033">
        <v>5300000034</v>
      </c>
      <c r="B2033">
        <v>9400004649</v>
      </c>
      <c r="C2033" s="10">
        <v>46142</v>
      </c>
      <c r="D2033" t="s">
        <v>2032</v>
      </c>
      <c r="E2033" s="11">
        <v>18514970</v>
      </c>
      <c r="F2033" t="s">
        <v>329</v>
      </c>
      <c r="G2033" t="s">
        <v>330</v>
      </c>
      <c r="H2033" s="10">
        <v>46187</v>
      </c>
      <c r="I2033">
        <v>72396.12</v>
      </c>
      <c r="J2033">
        <v>0</v>
      </c>
      <c r="K2033">
        <v>72396.12</v>
      </c>
    </row>
    <row r="2034" spans="1:11" x14ac:dyDescent="0.35">
      <c r="A2034">
        <v>2300000158</v>
      </c>
      <c r="B2034">
        <v>9400004648</v>
      </c>
      <c r="C2034" s="10">
        <v>46142</v>
      </c>
      <c r="D2034" t="s">
        <v>2032</v>
      </c>
      <c r="E2034" s="11">
        <v>18504553</v>
      </c>
      <c r="F2034" t="s">
        <v>751</v>
      </c>
      <c r="G2034" t="s">
        <v>752</v>
      </c>
      <c r="H2034" s="10">
        <v>46187</v>
      </c>
      <c r="I2034">
        <v>10943.32</v>
      </c>
      <c r="J2034">
        <v>0</v>
      </c>
      <c r="K2034">
        <v>10943.32</v>
      </c>
    </row>
    <row r="2035" spans="1:11" x14ac:dyDescent="0.35">
      <c r="A2035">
        <v>9200000304</v>
      </c>
      <c r="B2035">
        <v>9400004643</v>
      </c>
      <c r="C2035" s="10">
        <v>46142</v>
      </c>
      <c r="D2035" t="s">
        <v>2032</v>
      </c>
      <c r="E2035" s="11">
        <v>18493606</v>
      </c>
      <c r="F2035" t="s">
        <v>132</v>
      </c>
      <c r="G2035" t="s">
        <v>133</v>
      </c>
      <c r="H2035" s="10">
        <v>46187</v>
      </c>
      <c r="I2035">
        <v>265252.2</v>
      </c>
      <c r="J2035">
        <v>0</v>
      </c>
      <c r="K2035">
        <v>265252.2</v>
      </c>
    </row>
    <row r="2036" spans="1:11" x14ac:dyDescent="0.35">
      <c r="A2036">
        <v>3000000375</v>
      </c>
      <c r="B2036">
        <v>9400004640</v>
      </c>
      <c r="C2036" s="10">
        <v>46142</v>
      </c>
      <c r="D2036" t="s">
        <v>2032</v>
      </c>
      <c r="E2036" s="11">
        <v>18515005</v>
      </c>
      <c r="F2036" t="s">
        <v>803</v>
      </c>
      <c r="G2036" t="s">
        <v>804</v>
      </c>
      <c r="H2036" s="10">
        <v>46157</v>
      </c>
      <c r="I2036">
        <v>63876.32</v>
      </c>
      <c r="J2036">
        <v>62643.57</v>
      </c>
      <c r="K2036">
        <v>1232.75</v>
      </c>
    </row>
    <row r="2037" spans="1:11" x14ac:dyDescent="0.35">
      <c r="A2037">
        <v>2300000157</v>
      </c>
      <c r="B2037">
        <v>9400004639</v>
      </c>
      <c r="C2037" s="10">
        <v>46142</v>
      </c>
      <c r="D2037" t="s">
        <v>2032</v>
      </c>
      <c r="E2037" s="11">
        <v>18514697</v>
      </c>
      <c r="F2037" t="s">
        <v>659</v>
      </c>
      <c r="G2037" t="s">
        <v>660</v>
      </c>
      <c r="H2037" s="10">
        <v>46187</v>
      </c>
      <c r="I2037">
        <v>27523.16</v>
      </c>
      <c r="J2037">
        <v>0</v>
      </c>
      <c r="K2037">
        <v>27523.16</v>
      </c>
    </row>
    <row r="2038" spans="1:11" x14ac:dyDescent="0.35">
      <c r="A2038">
        <v>9200000303</v>
      </c>
      <c r="B2038">
        <v>9400004634</v>
      </c>
      <c r="C2038" s="10">
        <v>46142</v>
      </c>
      <c r="D2038" t="s">
        <v>2032</v>
      </c>
      <c r="E2038" s="11">
        <v>18493734</v>
      </c>
      <c r="F2038" t="s">
        <v>322</v>
      </c>
      <c r="G2038" t="s">
        <v>323</v>
      </c>
      <c r="H2038" s="10">
        <v>46187</v>
      </c>
      <c r="I2038">
        <v>19477.939999999999</v>
      </c>
      <c r="J2038">
        <v>0</v>
      </c>
      <c r="K2038">
        <v>19477.939999999999</v>
      </c>
    </row>
    <row r="2039" spans="1:11" x14ac:dyDescent="0.35">
      <c r="A2039">
        <v>9300000252</v>
      </c>
      <c r="B2039">
        <v>9400004633</v>
      </c>
      <c r="C2039" s="10">
        <v>46142</v>
      </c>
      <c r="D2039" t="s">
        <v>2032</v>
      </c>
      <c r="E2039" s="11">
        <v>18462302</v>
      </c>
      <c r="F2039" t="s">
        <v>885</v>
      </c>
      <c r="G2039" t="s">
        <v>886</v>
      </c>
      <c r="H2039" s="10">
        <v>46187</v>
      </c>
      <c r="I2039">
        <v>95642.880000000005</v>
      </c>
      <c r="J2039">
        <v>0</v>
      </c>
      <c r="K2039">
        <v>95642.880000000005</v>
      </c>
    </row>
    <row r="2040" spans="1:11" x14ac:dyDescent="0.35">
      <c r="A2040">
        <v>9200000302</v>
      </c>
      <c r="B2040">
        <v>9400004632</v>
      </c>
      <c r="C2040" s="10">
        <v>46142</v>
      </c>
      <c r="D2040" t="s">
        <v>2032</v>
      </c>
      <c r="E2040" s="11">
        <v>18493734</v>
      </c>
      <c r="F2040" t="s">
        <v>322</v>
      </c>
      <c r="G2040" t="s">
        <v>323</v>
      </c>
      <c r="H2040" s="10">
        <v>46187</v>
      </c>
      <c r="I2040">
        <v>5928.8</v>
      </c>
      <c r="J2040">
        <v>0</v>
      </c>
      <c r="K2040">
        <v>5928.8</v>
      </c>
    </row>
    <row r="2041" spans="1:11" x14ac:dyDescent="0.35">
      <c r="A2041">
        <v>2300000156</v>
      </c>
      <c r="B2041">
        <v>9400004628</v>
      </c>
      <c r="C2041" s="10">
        <v>46142</v>
      </c>
      <c r="D2041" t="s">
        <v>2032</v>
      </c>
      <c r="E2041" s="11">
        <v>18514697</v>
      </c>
      <c r="F2041" t="s">
        <v>659</v>
      </c>
      <c r="G2041" t="s">
        <v>660</v>
      </c>
      <c r="H2041" s="10">
        <v>46187</v>
      </c>
      <c r="I2041">
        <v>54716.6</v>
      </c>
      <c r="J2041">
        <v>0</v>
      </c>
      <c r="K2041">
        <v>54716.6</v>
      </c>
    </row>
    <row r="2042" spans="1:11" x14ac:dyDescent="0.35">
      <c r="A2042">
        <v>9100000414</v>
      </c>
      <c r="B2042">
        <v>9400004622</v>
      </c>
      <c r="C2042" s="10">
        <v>46142</v>
      </c>
      <c r="D2042" t="s">
        <v>2032</v>
      </c>
      <c r="E2042" s="11">
        <v>18439899</v>
      </c>
      <c r="F2042" t="s">
        <v>369</v>
      </c>
      <c r="G2042" t="s">
        <v>370</v>
      </c>
      <c r="H2042" s="10">
        <v>46187</v>
      </c>
      <c r="I2042">
        <v>4928.87</v>
      </c>
      <c r="J2042">
        <v>0</v>
      </c>
      <c r="K2042">
        <v>4928.87</v>
      </c>
    </row>
    <row r="2043" spans="1:11" x14ac:dyDescent="0.35">
      <c r="A2043">
        <v>9200000300</v>
      </c>
      <c r="B2043">
        <v>9400004618</v>
      </c>
      <c r="C2043" s="10">
        <v>46142</v>
      </c>
      <c r="D2043" t="s">
        <v>2032</v>
      </c>
      <c r="E2043" s="11">
        <v>18472946</v>
      </c>
      <c r="F2043" t="s">
        <v>320</v>
      </c>
      <c r="G2043" t="s">
        <v>321</v>
      </c>
      <c r="H2043" s="10">
        <v>46187</v>
      </c>
      <c r="I2043">
        <v>27362.240000000002</v>
      </c>
      <c r="J2043">
        <v>0</v>
      </c>
      <c r="K2043">
        <v>27362.240000000002</v>
      </c>
    </row>
    <row r="2044" spans="1:11" x14ac:dyDescent="0.35">
      <c r="A2044">
        <v>9100000410</v>
      </c>
      <c r="B2044">
        <v>9400004604</v>
      </c>
      <c r="C2044" s="10">
        <v>46142</v>
      </c>
      <c r="D2044" t="s">
        <v>2032</v>
      </c>
      <c r="E2044" s="11">
        <v>123</v>
      </c>
      <c r="F2044" t="s">
        <v>196</v>
      </c>
      <c r="G2044" t="s">
        <v>197</v>
      </c>
      <c r="H2044" s="10">
        <v>46187</v>
      </c>
      <c r="I2044">
        <v>52149.81</v>
      </c>
      <c r="J2044">
        <v>0</v>
      </c>
      <c r="K2044">
        <v>52149.81</v>
      </c>
    </row>
    <row r="2045" spans="1:11" x14ac:dyDescent="0.35">
      <c r="A2045">
        <v>5100000342</v>
      </c>
      <c r="B2045">
        <v>9400004601</v>
      </c>
      <c r="C2045" s="10">
        <v>46142</v>
      </c>
      <c r="D2045" t="s">
        <v>2032</v>
      </c>
      <c r="E2045" s="11">
        <v>18514781</v>
      </c>
      <c r="F2045" t="s">
        <v>887</v>
      </c>
      <c r="G2045" t="s">
        <v>888</v>
      </c>
      <c r="H2045" s="10">
        <v>46187</v>
      </c>
      <c r="I2045">
        <v>31591.52</v>
      </c>
      <c r="J2045">
        <v>0</v>
      </c>
      <c r="K2045">
        <v>31591.52</v>
      </c>
    </row>
    <row r="2046" spans="1:11" x14ac:dyDescent="0.35">
      <c r="A2046">
        <v>9100000408</v>
      </c>
      <c r="B2046">
        <v>9400004593</v>
      </c>
      <c r="C2046" s="10">
        <v>46142</v>
      </c>
      <c r="D2046" t="s">
        <v>2032</v>
      </c>
      <c r="E2046" s="11">
        <v>18472769</v>
      </c>
      <c r="F2046" t="s">
        <v>665</v>
      </c>
      <c r="G2046" t="s">
        <v>666</v>
      </c>
      <c r="H2046" s="10">
        <v>46187</v>
      </c>
      <c r="I2046">
        <v>35092.74</v>
      </c>
      <c r="J2046">
        <v>0</v>
      </c>
      <c r="K2046">
        <v>35092.74</v>
      </c>
    </row>
    <row r="2047" spans="1:11" x14ac:dyDescent="0.35">
      <c r="A2047">
        <v>8000000266</v>
      </c>
      <c r="B2047">
        <v>9400004592</v>
      </c>
      <c r="C2047" s="10">
        <v>46142</v>
      </c>
      <c r="D2047" t="s">
        <v>2032</v>
      </c>
      <c r="E2047" s="11">
        <v>18514628</v>
      </c>
      <c r="F2047" t="s">
        <v>397</v>
      </c>
      <c r="G2047" t="s">
        <v>398</v>
      </c>
      <c r="H2047" s="10">
        <v>46156</v>
      </c>
      <c r="I2047">
        <v>50806.080000000002</v>
      </c>
      <c r="J2047">
        <v>41427.620000000003</v>
      </c>
      <c r="K2047">
        <v>9378.4599999999991</v>
      </c>
    </row>
    <row r="2048" spans="1:11" x14ac:dyDescent="0.35">
      <c r="A2048">
        <v>2720000128</v>
      </c>
      <c r="B2048">
        <v>9400004591</v>
      </c>
      <c r="C2048" s="10">
        <v>46142</v>
      </c>
      <c r="D2048" t="s">
        <v>2032</v>
      </c>
      <c r="E2048" s="11">
        <v>18461392</v>
      </c>
      <c r="F2048" t="s">
        <v>318</v>
      </c>
      <c r="G2048" t="s">
        <v>319</v>
      </c>
      <c r="H2048" s="10">
        <v>46156</v>
      </c>
      <c r="I2048">
        <v>79213.399999999994</v>
      </c>
      <c r="J2048">
        <v>78533.97</v>
      </c>
      <c r="K2048">
        <v>679.42999999999302</v>
      </c>
    </row>
    <row r="2049" spans="1:11" x14ac:dyDescent="0.35">
      <c r="A2049">
        <v>5200000115</v>
      </c>
      <c r="B2049">
        <v>9400004590</v>
      </c>
      <c r="C2049" s="10">
        <v>46142</v>
      </c>
      <c r="D2049" t="s">
        <v>2032</v>
      </c>
      <c r="E2049" s="11">
        <v>18450608</v>
      </c>
      <c r="F2049" t="s">
        <v>889</v>
      </c>
      <c r="G2049" t="s">
        <v>890</v>
      </c>
      <c r="H2049" s="10">
        <v>46156</v>
      </c>
      <c r="I2049">
        <v>250034.75</v>
      </c>
      <c r="J2049">
        <v>250034.12</v>
      </c>
      <c r="K2049">
        <v>0.63000000000465661</v>
      </c>
    </row>
    <row r="2050" spans="1:11" x14ac:dyDescent="0.35">
      <c r="A2050">
        <v>8000000264</v>
      </c>
      <c r="B2050">
        <v>9400004587</v>
      </c>
      <c r="C2050" s="10">
        <v>46142</v>
      </c>
      <c r="D2050" t="s">
        <v>2032</v>
      </c>
      <c r="E2050" s="11">
        <v>18504525</v>
      </c>
      <c r="F2050" t="s">
        <v>405</v>
      </c>
      <c r="G2050" t="s">
        <v>406</v>
      </c>
      <c r="H2050" s="10">
        <v>46187</v>
      </c>
      <c r="I2050">
        <v>60279.12</v>
      </c>
      <c r="J2050">
        <v>0</v>
      </c>
      <c r="K2050">
        <v>60279.12</v>
      </c>
    </row>
    <row r="2051" spans="1:11" x14ac:dyDescent="0.35">
      <c r="A2051">
        <v>8000000263</v>
      </c>
      <c r="B2051">
        <v>9400004586</v>
      </c>
      <c r="C2051" s="10">
        <v>46142</v>
      </c>
      <c r="D2051" t="s">
        <v>2032</v>
      </c>
      <c r="E2051" s="11">
        <v>18504504</v>
      </c>
      <c r="F2051" t="s">
        <v>691</v>
      </c>
      <c r="G2051" t="s">
        <v>692</v>
      </c>
      <c r="H2051" s="10">
        <v>46187</v>
      </c>
      <c r="I2051">
        <v>10046.52</v>
      </c>
      <c r="J2051">
        <v>0</v>
      </c>
      <c r="K2051">
        <v>10046.52</v>
      </c>
    </row>
    <row r="2052" spans="1:11" x14ac:dyDescent="0.35">
      <c r="A2052">
        <v>5100000339</v>
      </c>
      <c r="B2052">
        <v>9400004583</v>
      </c>
      <c r="C2052" s="10">
        <v>46142</v>
      </c>
      <c r="D2052" t="s">
        <v>2032</v>
      </c>
      <c r="E2052" s="11">
        <v>18514758</v>
      </c>
      <c r="F2052" t="s">
        <v>294</v>
      </c>
      <c r="G2052" t="s">
        <v>295</v>
      </c>
      <c r="H2052" s="10">
        <v>46187</v>
      </c>
      <c r="I2052">
        <v>54246.96</v>
      </c>
      <c r="J2052">
        <v>0</v>
      </c>
      <c r="K2052">
        <v>54246.96</v>
      </c>
    </row>
    <row r="2053" spans="1:11" x14ac:dyDescent="0.35">
      <c r="A2053">
        <v>9200000298</v>
      </c>
      <c r="B2053">
        <v>9400004579</v>
      </c>
      <c r="C2053" s="10">
        <v>46142</v>
      </c>
      <c r="D2053" t="s">
        <v>2032</v>
      </c>
      <c r="E2053" s="11">
        <v>18473010</v>
      </c>
      <c r="F2053" t="s">
        <v>891</v>
      </c>
      <c r="G2053" t="s">
        <v>892</v>
      </c>
      <c r="H2053" s="10">
        <v>46187</v>
      </c>
      <c r="I2053">
        <v>68951.06</v>
      </c>
      <c r="J2053">
        <v>0</v>
      </c>
      <c r="K2053">
        <v>68951.06</v>
      </c>
    </row>
    <row r="2054" spans="1:11" x14ac:dyDescent="0.35">
      <c r="A2054">
        <v>8000000258</v>
      </c>
      <c r="B2054">
        <v>9400004578</v>
      </c>
      <c r="C2054" s="10">
        <v>46142</v>
      </c>
      <c r="D2054" t="s">
        <v>2032</v>
      </c>
      <c r="E2054" s="11">
        <v>18473112</v>
      </c>
      <c r="F2054" t="s">
        <v>893</v>
      </c>
      <c r="G2054" t="s">
        <v>894</v>
      </c>
      <c r="H2054" s="10">
        <v>46187</v>
      </c>
      <c r="I2054">
        <v>29672.28</v>
      </c>
      <c r="J2054">
        <v>0</v>
      </c>
      <c r="K2054">
        <v>29672.28</v>
      </c>
    </row>
    <row r="2055" spans="1:11" x14ac:dyDescent="0.35">
      <c r="A2055">
        <v>9300000251</v>
      </c>
      <c r="B2055">
        <v>9400004576</v>
      </c>
      <c r="C2055" s="10">
        <v>46142</v>
      </c>
      <c r="D2055" t="s">
        <v>2032</v>
      </c>
      <c r="E2055" s="11">
        <v>18462100</v>
      </c>
      <c r="F2055" t="s">
        <v>284</v>
      </c>
      <c r="G2055" t="s">
        <v>285</v>
      </c>
      <c r="H2055" s="10">
        <v>46187</v>
      </c>
      <c r="I2055">
        <v>57046.54</v>
      </c>
      <c r="J2055">
        <v>0</v>
      </c>
      <c r="K2055">
        <v>57046.54</v>
      </c>
    </row>
    <row r="2056" spans="1:11" x14ac:dyDescent="0.35">
      <c r="A2056">
        <v>2720000127</v>
      </c>
      <c r="B2056">
        <v>9400004575</v>
      </c>
      <c r="C2056" s="10">
        <v>46142</v>
      </c>
      <c r="D2056" t="s">
        <v>2032</v>
      </c>
      <c r="E2056" s="11">
        <v>18472506</v>
      </c>
      <c r="F2056" t="s">
        <v>122</v>
      </c>
      <c r="G2056" t="s">
        <v>123</v>
      </c>
      <c r="H2056" s="10">
        <v>46187</v>
      </c>
      <c r="I2056">
        <v>49623.72</v>
      </c>
      <c r="J2056">
        <v>0</v>
      </c>
      <c r="K2056">
        <v>49623.72</v>
      </c>
    </row>
    <row r="2057" spans="1:11" x14ac:dyDescent="0.35">
      <c r="A2057">
        <v>3000000368</v>
      </c>
      <c r="B2057">
        <v>9400004567</v>
      </c>
      <c r="C2057" s="10">
        <v>46142</v>
      </c>
      <c r="D2057" t="s">
        <v>2032</v>
      </c>
      <c r="E2057" s="11">
        <v>18494091</v>
      </c>
      <c r="F2057" t="s">
        <v>895</v>
      </c>
      <c r="G2057" t="s">
        <v>896</v>
      </c>
      <c r="H2057" s="10">
        <v>46187</v>
      </c>
      <c r="I2057">
        <v>10247.709999999999</v>
      </c>
      <c r="J2057">
        <v>0</v>
      </c>
      <c r="K2057">
        <v>10247.709999999999</v>
      </c>
    </row>
    <row r="2058" spans="1:11" x14ac:dyDescent="0.35">
      <c r="A2058">
        <v>3000000367</v>
      </c>
      <c r="B2058">
        <v>9400004564</v>
      </c>
      <c r="C2058" s="10">
        <v>46142</v>
      </c>
      <c r="D2058" t="s">
        <v>2032</v>
      </c>
      <c r="E2058" s="11">
        <v>18494091</v>
      </c>
      <c r="F2058" t="s">
        <v>895</v>
      </c>
      <c r="G2058" t="s">
        <v>896</v>
      </c>
      <c r="H2058" s="10">
        <v>46142</v>
      </c>
      <c r="I2058">
        <v>13807.42</v>
      </c>
      <c r="J2058">
        <v>13583.88</v>
      </c>
      <c r="K2058">
        <v>223.54000000000087</v>
      </c>
    </row>
    <row r="2059" spans="1:11" x14ac:dyDescent="0.35">
      <c r="A2059">
        <v>3000000366</v>
      </c>
      <c r="B2059">
        <v>9400004563</v>
      </c>
      <c r="C2059" s="10">
        <v>46142</v>
      </c>
      <c r="D2059" t="s">
        <v>2032</v>
      </c>
      <c r="E2059" s="11">
        <v>18494009</v>
      </c>
      <c r="F2059" t="s">
        <v>897</v>
      </c>
      <c r="G2059" t="s">
        <v>898</v>
      </c>
      <c r="H2059" s="10">
        <v>46142</v>
      </c>
      <c r="I2059">
        <v>21288.78</v>
      </c>
      <c r="J2059">
        <v>21244.76</v>
      </c>
      <c r="K2059">
        <v>44.020000000000437</v>
      </c>
    </row>
    <row r="2060" spans="1:11" x14ac:dyDescent="0.35">
      <c r="A2060">
        <v>2720000126</v>
      </c>
      <c r="B2060">
        <v>9400004560</v>
      </c>
      <c r="C2060" s="10">
        <v>46142</v>
      </c>
      <c r="D2060" t="s">
        <v>2032</v>
      </c>
      <c r="E2060" s="11">
        <v>18472506</v>
      </c>
      <c r="F2060" t="s">
        <v>122</v>
      </c>
      <c r="G2060" t="s">
        <v>123</v>
      </c>
      <c r="H2060" s="10">
        <v>46187</v>
      </c>
      <c r="I2060">
        <v>329805.28000000003</v>
      </c>
      <c r="J2060">
        <v>0</v>
      </c>
      <c r="K2060">
        <v>329805.28000000003</v>
      </c>
    </row>
    <row r="2061" spans="1:11" x14ac:dyDescent="0.35">
      <c r="A2061">
        <v>5100000337</v>
      </c>
      <c r="B2061">
        <v>9400004559</v>
      </c>
      <c r="C2061" s="10">
        <v>46142</v>
      </c>
      <c r="D2061" t="s">
        <v>2032</v>
      </c>
      <c r="E2061" s="12">
        <v>184936331849366</v>
      </c>
      <c r="F2061" t="s">
        <v>213</v>
      </c>
      <c r="G2061" t="s">
        <v>214</v>
      </c>
      <c r="H2061" s="10">
        <v>46187</v>
      </c>
      <c r="I2061">
        <v>48223.3</v>
      </c>
      <c r="J2061">
        <v>0</v>
      </c>
      <c r="K2061">
        <v>48223.3</v>
      </c>
    </row>
    <row r="2062" spans="1:11" x14ac:dyDescent="0.35">
      <c r="A2062">
        <v>2730000161</v>
      </c>
      <c r="B2062">
        <v>9400004552</v>
      </c>
      <c r="C2062" s="10">
        <v>46142</v>
      </c>
      <c r="D2062" t="s">
        <v>2032</v>
      </c>
      <c r="E2062" s="11">
        <v>18493918</v>
      </c>
      <c r="F2062" t="s">
        <v>359</v>
      </c>
      <c r="G2062" t="s">
        <v>360</v>
      </c>
      <c r="H2062" s="10">
        <v>46187</v>
      </c>
      <c r="I2062">
        <v>11754.34</v>
      </c>
      <c r="J2062">
        <v>0</v>
      </c>
      <c r="K2062">
        <v>11754.34</v>
      </c>
    </row>
    <row r="2063" spans="1:11" x14ac:dyDescent="0.35">
      <c r="A2063">
        <v>2720000125</v>
      </c>
      <c r="B2063">
        <v>9400004550</v>
      </c>
      <c r="C2063" s="10">
        <v>46142</v>
      </c>
      <c r="D2063" t="s">
        <v>2032</v>
      </c>
      <c r="E2063" s="11">
        <v>18472984</v>
      </c>
      <c r="F2063" t="s">
        <v>316</v>
      </c>
      <c r="G2063" t="s">
        <v>317</v>
      </c>
      <c r="H2063" s="10">
        <v>46156</v>
      </c>
      <c r="I2063">
        <v>198494.88</v>
      </c>
      <c r="J2063">
        <v>0</v>
      </c>
      <c r="K2063">
        <v>198494.88</v>
      </c>
    </row>
    <row r="2064" spans="1:11" x14ac:dyDescent="0.35">
      <c r="A2064">
        <v>5100000335</v>
      </c>
      <c r="B2064">
        <v>9400004544</v>
      </c>
      <c r="C2064" s="10">
        <v>46142</v>
      </c>
      <c r="D2064" t="s">
        <v>2032</v>
      </c>
      <c r="E2064" s="11">
        <v>18514723</v>
      </c>
      <c r="F2064" t="s">
        <v>561</v>
      </c>
      <c r="G2064" t="s">
        <v>562</v>
      </c>
      <c r="H2064" s="10">
        <v>46187</v>
      </c>
      <c r="I2064">
        <v>29024.46</v>
      </c>
      <c r="J2064">
        <v>0</v>
      </c>
      <c r="K2064">
        <v>29024.46</v>
      </c>
    </row>
    <row r="2065" spans="1:11" x14ac:dyDescent="0.35">
      <c r="A2065">
        <v>7000000182</v>
      </c>
      <c r="B2065">
        <v>9400004543</v>
      </c>
      <c r="C2065" s="10">
        <v>46142</v>
      </c>
      <c r="D2065" t="s">
        <v>2032</v>
      </c>
      <c r="E2065" s="11">
        <v>18493927</v>
      </c>
      <c r="F2065" t="s">
        <v>190</v>
      </c>
      <c r="G2065" t="s">
        <v>191</v>
      </c>
      <c r="H2065" s="10">
        <v>46187</v>
      </c>
      <c r="I2065">
        <v>65419.199999999997</v>
      </c>
      <c r="J2065">
        <v>0</v>
      </c>
      <c r="K2065">
        <v>65419.199999999997</v>
      </c>
    </row>
    <row r="2066" spans="1:11" x14ac:dyDescent="0.35">
      <c r="A2066">
        <v>9100000407</v>
      </c>
      <c r="B2066">
        <v>9400004538</v>
      </c>
      <c r="C2066" s="10">
        <v>46142</v>
      </c>
      <c r="D2066" t="s">
        <v>2032</v>
      </c>
      <c r="E2066" s="11">
        <v>18494071</v>
      </c>
      <c r="F2066" t="s">
        <v>375</v>
      </c>
      <c r="G2066" t="s">
        <v>376</v>
      </c>
      <c r="H2066" s="10">
        <v>46187</v>
      </c>
      <c r="I2066">
        <v>29438.639999999999</v>
      </c>
      <c r="J2066">
        <v>0</v>
      </c>
      <c r="K2066">
        <v>29438.639999999999</v>
      </c>
    </row>
    <row r="2067" spans="1:11" x14ac:dyDescent="0.35">
      <c r="A2067">
        <v>9100000405</v>
      </c>
      <c r="B2067">
        <v>9400004528</v>
      </c>
      <c r="C2067" s="10">
        <v>46142</v>
      </c>
      <c r="D2067" t="s">
        <v>2032</v>
      </c>
      <c r="E2067" s="11">
        <v>18494101</v>
      </c>
      <c r="F2067" t="s">
        <v>515</v>
      </c>
      <c r="G2067" t="s">
        <v>516</v>
      </c>
      <c r="H2067" s="10">
        <v>46187</v>
      </c>
      <c r="I2067">
        <v>5870.74</v>
      </c>
      <c r="J2067">
        <v>0</v>
      </c>
      <c r="K2067">
        <v>5870.74</v>
      </c>
    </row>
    <row r="2068" spans="1:11" x14ac:dyDescent="0.35">
      <c r="A2068">
        <v>9100000404</v>
      </c>
      <c r="B2068">
        <v>9400004524</v>
      </c>
      <c r="C2068" s="10">
        <v>46142</v>
      </c>
      <c r="D2068" t="s">
        <v>2032</v>
      </c>
      <c r="E2068" s="11">
        <v>18472722</v>
      </c>
      <c r="F2068" t="s">
        <v>903</v>
      </c>
      <c r="G2068" t="s">
        <v>904</v>
      </c>
      <c r="H2068" s="10">
        <v>46187</v>
      </c>
      <c r="I2068">
        <v>209324.95</v>
      </c>
      <c r="J2068">
        <v>0</v>
      </c>
      <c r="K2068">
        <v>209324.95</v>
      </c>
    </row>
    <row r="2069" spans="1:11" x14ac:dyDescent="0.35">
      <c r="A2069">
        <v>2720000124</v>
      </c>
      <c r="B2069">
        <v>9400004519</v>
      </c>
      <c r="C2069" s="10">
        <v>46142</v>
      </c>
      <c r="D2069" t="s">
        <v>2032</v>
      </c>
      <c r="E2069" s="11">
        <v>18493738</v>
      </c>
      <c r="F2069" t="s">
        <v>74</v>
      </c>
      <c r="G2069" t="s">
        <v>75</v>
      </c>
      <c r="H2069" s="10">
        <v>46187</v>
      </c>
      <c r="I2069">
        <v>16414.98</v>
      </c>
      <c r="J2069">
        <v>0</v>
      </c>
      <c r="K2069">
        <v>16414.98</v>
      </c>
    </row>
    <row r="2070" spans="1:11" x14ac:dyDescent="0.35">
      <c r="A2070">
        <v>2720000123</v>
      </c>
      <c r="B2070">
        <v>9400004504</v>
      </c>
      <c r="C2070" s="10">
        <v>46142</v>
      </c>
      <c r="D2070" t="s">
        <v>2032</v>
      </c>
      <c r="E2070" s="11">
        <v>18493738</v>
      </c>
      <c r="F2070" t="s">
        <v>74</v>
      </c>
      <c r="G2070" t="s">
        <v>75</v>
      </c>
      <c r="H2070" s="10">
        <v>46187</v>
      </c>
      <c r="I2070">
        <v>46261.9</v>
      </c>
      <c r="J2070">
        <v>0</v>
      </c>
      <c r="K2070">
        <v>46261.9</v>
      </c>
    </row>
    <row r="2071" spans="1:11" x14ac:dyDescent="0.35">
      <c r="A2071">
        <v>9100000401</v>
      </c>
      <c r="B2071">
        <v>9400004503</v>
      </c>
      <c r="C2071" s="10">
        <v>46142</v>
      </c>
      <c r="D2071" t="s">
        <v>2032</v>
      </c>
      <c r="E2071" s="11">
        <v>18472716</v>
      </c>
      <c r="F2071" t="s">
        <v>905</v>
      </c>
      <c r="G2071" t="s">
        <v>906</v>
      </c>
      <c r="H2071" s="10">
        <v>46187</v>
      </c>
      <c r="I2071">
        <v>20093.04</v>
      </c>
      <c r="J2071">
        <v>0</v>
      </c>
      <c r="K2071">
        <v>20093.04</v>
      </c>
    </row>
    <row r="2072" spans="1:11" x14ac:dyDescent="0.35">
      <c r="A2072">
        <v>9300000246</v>
      </c>
      <c r="B2072">
        <v>9400004488</v>
      </c>
      <c r="C2072" s="10">
        <v>46142</v>
      </c>
      <c r="D2072" t="s">
        <v>2032</v>
      </c>
      <c r="E2072" s="11">
        <v>18472476</v>
      </c>
      <c r="F2072" t="s">
        <v>909</v>
      </c>
      <c r="G2072" t="s">
        <v>910</v>
      </c>
      <c r="H2072" s="10">
        <v>46187</v>
      </c>
      <c r="I2072">
        <v>101610.76</v>
      </c>
      <c r="J2072">
        <v>0</v>
      </c>
      <c r="K2072">
        <v>101610.76</v>
      </c>
    </row>
    <row r="2073" spans="1:11" x14ac:dyDescent="0.35">
      <c r="A2073">
        <v>8000000252</v>
      </c>
      <c r="B2073">
        <v>9400004481</v>
      </c>
      <c r="C2073" s="10">
        <v>46142</v>
      </c>
      <c r="D2073" t="s">
        <v>2032</v>
      </c>
      <c r="E2073" s="11">
        <v>18493933</v>
      </c>
      <c r="F2073" t="s">
        <v>817</v>
      </c>
      <c r="G2073" t="s">
        <v>818</v>
      </c>
      <c r="H2073" s="10">
        <v>46187</v>
      </c>
      <c r="I2073">
        <v>156999</v>
      </c>
      <c r="J2073">
        <v>0</v>
      </c>
      <c r="K2073">
        <v>156999</v>
      </c>
    </row>
    <row r="2074" spans="1:11" x14ac:dyDescent="0.35">
      <c r="A2074">
        <v>2720000121</v>
      </c>
      <c r="B2074">
        <v>9400004478</v>
      </c>
      <c r="C2074" s="10">
        <v>46142</v>
      </c>
      <c r="D2074" t="s">
        <v>2032</v>
      </c>
      <c r="E2074" s="11">
        <v>18493929</v>
      </c>
      <c r="F2074" t="s">
        <v>80</v>
      </c>
      <c r="G2074" t="s">
        <v>81</v>
      </c>
      <c r="H2074" s="10">
        <v>46187</v>
      </c>
      <c r="I2074">
        <v>22515.72</v>
      </c>
      <c r="J2074">
        <v>0</v>
      </c>
      <c r="K2074">
        <v>22515.72</v>
      </c>
    </row>
    <row r="2075" spans="1:11" x14ac:dyDescent="0.35">
      <c r="A2075">
        <v>5100000331</v>
      </c>
      <c r="B2075">
        <v>9400004477</v>
      </c>
      <c r="C2075" s="10">
        <v>46142</v>
      </c>
      <c r="D2075" t="s">
        <v>2032</v>
      </c>
      <c r="E2075" s="11">
        <v>18494052</v>
      </c>
      <c r="F2075" t="s">
        <v>911</v>
      </c>
      <c r="G2075" t="s">
        <v>912</v>
      </c>
      <c r="H2075" s="10">
        <v>46187</v>
      </c>
      <c r="I2075">
        <v>20093.04</v>
      </c>
      <c r="J2075">
        <v>0</v>
      </c>
      <c r="K2075">
        <v>20093.04</v>
      </c>
    </row>
    <row r="2076" spans="1:11" x14ac:dyDescent="0.35">
      <c r="A2076">
        <v>9300000245</v>
      </c>
      <c r="B2076">
        <v>9400004476</v>
      </c>
      <c r="C2076" s="10">
        <v>46142</v>
      </c>
      <c r="D2076" t="s">
        <v>2032</v>
      </c>
      <c r="E2076" s="11">
        <v>18461525</v>
      </c>
      <c r="F2076" t="s">
        <v>913</v>
      </c>
      <c r="G2076" t="s">
        <v>914</v>
      </c>
      <c r="H2076" s="10">
        <v>46187</v>
      </c>
      <c r="I2076">
        <v>18448.22</v>
      </c>
      <c r="J2076">
        <v>0</v>
      </c>
      <c r="K2076">
        <v>18448.22</v>
      </c>
    </row>
    <row r="2077" spans="1:11" x14ac:dyDescent="0.35">
      <c r="A2077">
        <v>7000000180</v>
      </c>
      <c r="B2077">
        <v>9400004474</v>
      </c>
      <c r="C2077" s="10">
        <v>46142</v>
      </c>
      <c r="D2077" t="s">
        <v>2032</v>
      </c>
      <c r="E2077" s="11">
        <v>18493750</v>
      </c>
      <c r="F2077" t="s">
        <v>351</v>
      </c>
      <c r="G2077" t="s">
        <v>352</v>
      </c>
      <c r="H2077" s="10">
        <v>46187</v>
      </c>
      <c r="I2077">
        <v>81224.38</v>
      </c>
      <c r="J2077">
        <v>0</v>
      </c>
      <c r="K2077">
        <v>81224.38</v>
      </c>
    </row>
    <row r="2078" spans="1:11" x14ac:dyDescent="0.35">
      <c r="A2078">
        <v>9100000397</v>
      </c>
      <c r="B2078">
        <v>9400004468</v>
      </c>
      <c r="C2078" s="10">
        <v>46142</v>
      </c>
      <c r="D2078" t="s">
        <v>2032</v>
      </c>
      <c r="E2078" s="11">
        <v>18472674</v>
      </c>
      <c r="F2078" t="s">
        <v>198</v>
      </c>
      <c r="G2078" t="s">
        <v>199</v>
      </c>
      <c r="H2078" s="10">
        <v>46187</v>
      </c>
      <c r="I2078">
        <v>43575.98</v>
      </c>
      <c r="J2078">
        <v>0</v>
      </c>
      <c r="K2078">
        <v>43575.98</v>
      </c>
    </row>
    <row r="2079" spans="1:11" x14ac:dyDescent="0.35">
      <c r="A2079">
        <v>9200000287</v>
      </c>
      <c r="B2079">
        <v>9400004466</v>
      </c>
      <c r="C2079" s="10">
        <v>46142</v>
      </c>
      <c r="D2079" t="s">
        <v>2032</v>
      </c>
      <c r="E2079" s="11">
        <v>18493689</v>
      </c>
      <c r="F2079" t="s">
        <v>541</v>
      </c>
      <c r="G2079" t="s">
        <v>542</v>
      </c>
      <c r="H2079" s="10">
        <v>46187</v>
      </c>
      <c r="I2079">
        <v>28289.56</v>
      </c>
      <c r="J2079">
        <v>0</v>
      </c>
      <c r="K2079">
        <v>28289.56</v>
      </c>
    </row>
    <row r="2080" spans="1:11" x14ac:dyDescent="0.35">
      <c r="A2080">
        <v>9300000244</v>
      </c>
      <c r="B2080">
        <v>9400004464</v>
      </c>
      <c r="C2080" s="10">
        <v>46142</v>
      </c>
      <c r="D2080" t="s">
        <v>2032</v>
      </c>
      <c r="E2080" s="11">
        <v>18472673</v>
      </c>
      <c r="F2080" t="s">
        <v>280</v>
      </c>
      <c r="G2080" t="s">
        <v>281</v>
      </c>
      <c r="H2080" s="10">
        <v>46187</v>
      </c>
      <c r="I2080">
        <v>89154.46</v>
      </c>
      <c r="J2080">
        <v>0</v>
      </c>
      <c r="K2080">
        <v>89154.46</v>
      </c>
    </row>
    <row r="2081" spans="1:11" x14ac:dyDescent="0.35">
      <c r="A2081">
        <v>5100000330</v>
      </c>
      <c r="B2081">
        <v>9400004463</v>
      </c>
      <c r="C2081" s="10">
        <v>46142</v>
      </c>
      <c r="D2081" t="s">
        <v>2032</v>
      </c>
      <c r="E2081" s="11">
        <v>18493907</v>
      </c>
      <c r="F2081" t="s">
        <v>211</v>
      </c>
      <c r="G2081" t="s">
        <v>212</v>
      </c>
      <c r="H2081" s="10">
        <v>46187</v>
      </c>
      <c r="I2081">
        <v>65419.199999999997</v>
      </c>
      <c r="J2081">
        <v>0</v>
      </c>
      <c r="K2081">
        <v>65419.199999999997</v>
      </c>
    </row>
    <row r="2082" spans="1:11" x14ac:dyDescent="0.35">
      <c r="A2082">
        <v>9200000286</v>
      </c>
      <c r="B2082">
        <v>9400004447</v>
      </c>
      <c r="C2082" s="10">
        <v>46142</v>
      </c>
      <c r="D2082" t="s">
        <v>2032</v>
      </c>
      <c r="E2082" s="11">
        <v>18483217</v>
      </c>
      <c r="F2082" t="s">
        <v>249</v>
      </c>
      <c r="G2082" t="s">
        <v>250</v>
      </c>
      <c r="H2082" s="10">
        <v>46187</v>
      </c>
      <c r="I2082">
        <v>229200.84</v>
      </c>
      <c r="J2082">
        <v>0</v>
      </c>
      <c r="K2082">
        <v>229200.84</v>
      </c>
    </row>
    <row r="2083" spans="1:11" x14ac:dyDescent="0.35">
      <c r="A2083">
        <v>9100000394</v>
      </c>
      <c r="B2083">
        <v>9400004445</v>
      </c>
      <c r="C2083" s="10">
        <v>46142</v>
      </c>
      <c r="D2083" t="s">
        <v>2032</v>
      </c>
      <c r="E2083" s="11">
        <v>18472628</v>
      </c>
      <c r="F2083" t="s">
        <v>91</v>
      </c>
      <c r="G2083" t="s">
        <v>92</v>
      </c>
      <c r="H2083" s="10">
        <v>46187</v>
      </c>
      <c r="I2083">
        <v>3084.04</v>
      </c>
      <c r="J2083">
        <v>0</v>
      </c>
      <c r="K2083">
        <v>3084.04</v>
      </c>
    </row>
    <row r="2084" spans="1:11" x14ac:dyDescent="0.35">
      <c r="A2084">
        <v>9200000284</v>
      </c>
      <c r="B2084">
        <v>9400004444</v>
      </c>
      <c r="C2084" s="10">
        <v>46142</v>
      </c>
      <c r="D2084" t="s">
        <v>2032</v>
      </c>
      <c r="E2084" s="11">
        <v>18462356</v>
      </c>
      <c r="F2084" t="s">
        <v>651</v>
      </c>
      <c r="G2084" t="s">
        <v>652</v>
      </c>
      <c r="H2084" s="10">
        <v>46187</v>
      </c>
      <c r="I2084">
        <v>39624.400000000001</v>
      </c>
      <c r="J2084">
        <v>0</v>
      </c>
      <c r="K2084">
        <v>39624.400000000001</v>
      </c>
    </row>
    <row r="2085" spans="1:11" x14ac:dyDescent="0.35">
      <c r="A2085">
        <v>9300000242</v>
      </c>
      <c r="B2085">
        <v>9400004437</v>
      </c>
      <c r="C2085" s="10">
        <v>46142</v>
      </c>
      <c r="D2085" t="s">
        <v>2032</v>
      </c>
      <c r="E2085" s="11">
        <v>18461949</v>
      </c>
      <c r="F2085" t="s">
        <v>677</v>
      </c>
      <c r="G2085" t="s">
        <v>678</v>
      </c>
      <c r="H2085" s="10">
        <v>46187</v>
      </c>
      <c r="I2085">
        <v>53246.54</v>
      </c>
      <c r="J2085">
        <v>0</v>
      </c>
      <c r="K2085">
        <v>53246.54</v>
      </c>
    </row>
    <row r="2086" spans="1:11" x14ac:dyDescent="0.35">
      <c r="A2086">
        <v>9200000282</v>
      </c>
      <c r="B2086">
        <v>9400004433</v>
      </c>
      <c r="C2086" s="10">
        <v>46142</v>
      </c>
      <c r="D2086" t="s">
        <v>2032</v>
      </c>
      <c r="E2086" s="11">
        <v>18462345</v>
      </c>
      <c r="F2086" t="s">
        <v>823</v>
      </c>
      <c r="G2086" t="s">
        <v>824</v>
      </c>
      <c r="H2086" s="10">
        <v>46187</v>
      </c>
      <c r="I2086">
        <v>21522.92</v>
      </c>
      <c r="J2086">
        <v>0</v>
      </c>
      <c r="K2086">
        <v>21522.92</v>
      </c>
    </row>
    <row r="2087" spans="1:11" x14ac:dyDescent="0.35">
      <c r="A2087">
        <v>3000000358</v>
      </c>
      <c r="B2087">
        <v>9400004431</v>
      </c>
      <c r="C2087" s="10">
        <v>46142</v>
      </c>
      <c r="D2087" t="s">
        <v>2032</v>
      </c>
      <c r="E2087" s="11">
        <v>18493943</v>
      </c>
      <c r="F2087" t="s">
        <v>875</v>
      </c>
      <c r="G2087" t="s">
        <v>876</v>
      </c>
      <c r="H2087" s="10">
        <v>46187</v>
      </c>
      <c r="I2087">
        <v>93363.25</v>
      </c>
      <c r="J2087">
        <v>0</v>
      </c>
      <c r="K2087">
        <v>93363.25</v>
      </c>
    </row>
    <row r="2088" spans="1:11" x14ac:dyDescent="0.35">
      <c r="A2088">
        <v>9100000392</v>
      </c>
      <c r="B2088">
        <v>9400004428</v>
      </c>
      <c r="C2088" s="10">
        <v>46142</v>
      </c>
      <c r="D2088" t="s">
        <v>2032</v>
      </c>
      <c r="E2088" s="11">
        <v>18472479</v>
      </c>
      <c r="F2088" t="s">
        <v>253</v>
      </c>
      <c r="G2088" t="s">
        <v>254</v>
      </c>
      <c r="H2088" s="10">
        <v>46156</v>
      </c>
      <c r="I2088">
        <v>479386.8</v>
      </c>
      <c r="J2088">
        <v>467668.44</v>
      </c>
      <c r="K2088">
        <v>11718.359999999986</v>
      </c>
    </row>
    <row r="2089" spans="1:11" x14ac:dyDescent="0.35">
      <c r="A2089">
        <v>9200000280</v>
      </c>
      <c r="B2089">
        <v>9400004424</v>
      </c>
      <c r="C2089" s="10">
        <v>46142</v>
      </c>
      <c r="D2089" t="s">
        <v>2032</v>
      </c>
      <c r="E2089" s="11">
        <v>18461868</v>
      </c>
      <c r="F2089" t="s">
        <v>286</v>
      </c>
      <c r="G2089" t="s">
        <v>287</v>
      </c>
      <c r="H2089" s="10">
        <v>46187</v>
      </c>
      <c r="I2089">
        <v>101287.42</v>
      </c>
      <c r="J2089">
        <v>0</v>
      </c>
      <c r="K2089">
        <v>101287.42</v>
      </c>
    </row>
    <row r="2090" spans="1:11" x14ac:dyDescent="0.35">
      <c r="A2090">
        <v>2730000154</v>
      </c>
      <c r="B2090">
        <v>9400004421</v>
      </c>
      <c r="C2090" s="10">
        <v>46142</v>
      </c>
      <c r="D2090" t="s">
        <v>2032</v>
      </c>
      <c r="E2090" s="11">
        <v>18473046</v>
      </c>
      <c r="F2090" t="s">
        <v>383</v>
      </c>
      <c r="G2090" t="s">
        <v>384</v>
      </c>
      <c r="H2090" s="10">
        <v>46187</v>
      </c>
      <c r="I2090">
        <v>49674.94</v>
      </c>
      <c r="J2090">
        <v>0</v>
      </c>
      <c r="K2090">
        <v>49674.94</v>
      </c>
    </row>
    <row r="2091" spans="1:11" x14ac:dyDescent="0.35">
      <c r="A2091">
        <v>2710000273</v>
      </c>
      <c r="B2091">
        <v>9400004412</v>
      </c>
      <c r="C2091" s="10">
        <v>46142</v>
      </c>
      <c r="D2091" t="s">
        <v>2032</v>
      </c>
      <c r="E2091" s="11">
        <v>18494058</v>
      </c>
      <c r="F2091" t="s">
        <v>687</v>
      </c>
      <c r="G2091" t="s">
        <v>688</v>
      </c>
      <c r="H2091" s="10">
        <v>46187</v>
      </c>
      <c r="I2091">
        <v>15484.32</v>
      </c>
      <c r="J2091">
        <v>0</v>
      </c>
      <c r="K2091">
        <v>15484.32</v>
      </c>
    </row>
    <row r="2092" spans="1:11" x14ac:dyDescent="0.35">
      <c r="A2092">
        <v>7000000174</v>
      </c>
      <c r="B2092">
        <v>9400004408</v>
      </c>
      <c r="C2092" s="10">
        <v>46142</v>
      </c>
      <c r="D2092" t="s">
        <v>2032</v>
      </c>
      <c r="E2092" s="11">
        <v>18493643</v>
      </c>
      <c r="F2092" t="s">
        <v>341</v>
      </c>
      <c r="G2092" t="s">
        <v>342</v>
      </c>
      <c r="H2092" s="10">
        <v>46187</v>
      </c>
      <c r="I2092">
        <v>71811.740000000005</v>
      </c>
      <c r="J2092">
        <v>0</v>
      </c>
      <c r="K2092">
        <v>71811.740000000005</v>
      </c>
    </row>
    <row r="2093" spans="1:11" x14ac:dyDescent="0.35">
      <c r="A2093">
        <v>2730000153</v>
      </c>
      <c r="B2093">
        <v>9400004406</v>
      </c>
      <c r="C2093" s="10">
        <v>46142</v>
      </c>
      <c r="D2093" t="s">
        <v>2032</v>
      </c>
      <c r="E2093" s="11">
        <v>18473047</v>
      </c>
      <c r="F2093" t="s">
        <v>483</v>
      </c>
      <c r="G2093" t="s">
        <v>484</v>
      </c>
      <c r="H2093" s="10">
        <v>46187</v>
      </c>
      <c r="I2093">
        <v>46416.480000000003</v>
      </c>
      <c r="J2093">
        <v>0</v>
      </c>
      <c r="K2093">
        <v>46416.480000000003</v>
      </c>
    </row>
    <row r="2094" spans="1:11" x14ac:dyDescent="0.35">
      <c r="A2094">
        <v>7000000173</v>
      </c>
      <c r="B2094">
        <v>9400004399</v>
      </c>
      <c r="C2094" s="10">
        <v>46142</v>
      </c>
      <c r="D2094" t="s">
        <v>2032</v>
      </c>
      <c r="E2094" s="11">
        <v>18493652</v>
      </c>
      <c r="F2094" t="s">
        <v>543</v>
      </c>
      <c r="G2094" t="s">
        <v>544</v>
      </c>
      <c r="H2094" s="10">
        <v>46187</v>
      </c>
      <c r="I2094">
        <v>57661.22</v>
      </c>
      <c r="J2094">
        <v>0</v>
      </c>
      <c r="K2094">
        <v>57661.22</v>
      </c>
    </row>
    <row r="2095" spans="1:11" x14ac:dyDescent="0.35">
      <c r="A2095">
        <v>2730000152</v>
      </c>
      <c r="B2095">
        <v>9400004394</v>
      </c>
      <c r="C2095" s="10">
        <v>46142</v>
      </c>
      <c r="D2095" t="s">
        <v>2032</v>
      </c>
      <c r="E2095" s="11">
        <v>18473063</v>
      </c>
      <c r="F2095" t="s">
        <v>47</v>
      </c>
      <c r="G2095" t="s">
        <v>48</v>
      </c>
      <c r="H2095" s="10">
        <v>46187</v>
      </c>
      <c r="I2095">
        <v>34806</v>
      </c>
      <c r="J2095">
        <v>0</v>
      </c>
      <c r="K2095">
        <v>34806</v>
      </c>
    </row>
    <row r="2096" spans="1:11" x14ac:dyDescent="0.35">
      <c r="A2096">
        <v>2710000269</v>
      </c>
      <c r="B2096">
        <v>9400004387</v>
      </c>
      <c r="C2096" s="10">
        <v>46142</v>
      </c>
      <c r="D2096" t="s">
        <v>2032</v>
      </c>
      <c r="E2096" s="11">
        <v>18493663</v>
      </c>
      <c r="F2096" t="s">
        <v>503</v>
      </c>
      <c r="G2096" t="s">
        <v>504</v>
      </c>
      <c r="H2096" s="10">
        <v>46156</v>
      </c>
      <c r="I2096">
        <v>250553.5</v>
      </c>
      <c r="J2096">
        <v>138321.45000000001</v>
      </c>
      <c r="K2096">
        <v>112232.04999999999</v>
      </c>
    </row>
    <row r="2097" spans="1:11" x14ac:dyDescent="0.35">
      <c r="A2097">
        <v>2710000268</v>
      </c>
      <c r="B2097">
        <v>9400004386</v>
      </c>
      <c r="C2097" s="10">
        <v>46142</v>
      </c>
      <c r="D2097" t="s">
        <v>2032</v>
      </c>
      <c r="E2097" s="11">
        <v>18493635</v>
      </c>
      <c r="F2097" t="s">
        <v>521</v>
      </c>
      <c r="G2097" t="s">
        <v>522</v>
      </c>
      <c r="H2097" s="10">
        <v>46187</v>
      </c>
      <c r="I2097">
        <v>19931.62</v>
      </c>
      <c r="J2097">
        <v>0</v>
      </c>
      <c r="K2097">
        <v>19931.62</v>
      </c>
    </row>
    <row r="2098" spans="1:11" x14ac:dyDescent="0.35">
      <c r="A2098">
        <v>2730000151</v>
      </c>
      <c r="B2098">
        <v>9400004355</v>
      </c>
      <c r="C2098" s="10">
        <v>46142</v>
      </c>
      <c r="D2098" t="s">
        <v>2032</v>
      </c>
      <c r="E2098" s="11">
        <v>411</v>
      </c>
      <c r="F2098" t="s">
        <v>273</v>
      </c>
      <c r="G2098" t="s">
        <v>274</v>
      </c>
      <c r="H2098" s="10">
        <v>46187</v>
      </c>
      <c r="I2098">
        <v>201504.84</v>
      </c>
      <c r="J2098">
        <v>0</v>
      </c>
      <c r="K2098">
        <v>201504.84</v>
      </c>
    </row>
    <row r="2099" spans="1:11" x14ac:dyDescent="0.35">
      <c r="B2099">
        <v>1400003550</v>
      </c>
      <c r="C2099" s="10">
        <v>46142</v>
      </c>
      <c r="D2099" t="s">
        <v>2037</v>
      </c>
      <c r="E2099" s="11">
        <v>120</v>
      </c>
      <c r="F2099" t="s">
        <v>101</v>
      </c>
      <c r="G2099" t="s">
        <v>102</v>
      </c>
      <c r="H2099" s="10">
        <v>46142</v>
      </c>
      <c r="I2099">
        <v>59</v>
      </c>
      <c r="J2099">
        <v>0</v>
      </c>
      <c r="K2099">
        <v>59</v>
      </c>
    </row>
    <row r="2100" spans="1:11" x14ac:dyDescent="0.35">
      <c r="B2100">
        <v>1400003519</v>
      </c>
      <c r="C2100" s="10">
        <v>46142</v>
      </c>
      <c r="D2100" t="s">
        <v>2037</v>
      </c>
      <c r="E2100" s="11">
        <v>483809</v>
      </c>
      <c r="F2100" t="s">
        <v>925</v>
      </c>
      <c r="G2100" t="s">
        <v>926</v>
      </c>
      <c r="H2100" s="10">
        <v>46142</v>
      </c>
      <c r="I2100">
        <v>97800</v>
      </c>
      <c r="J2100">
        <v>0</v>
      </c>
      <c r="K2100">
        <v>97800</v>
      </c>
    </row>
    <row r="2101" spans="1:11" x14ac:dyDescent="0.35">
      <c r="A2101">
        <v>2730000148</v>
      </c>
      <c r="B2101">
        <v>9400004327</v>
      </c>
      <c r="C2101" s="10">
        <v>46141</v>
      </c>
      <c r="D2101" t="s">
        <v>2032</v>
      </c>
      <c r="E2101" s="11">
        <v>18473028</v>
      </c>
      <c r="F2101" t="s">
        <v>120</v>
      </c>
      <c r="G2101" t="s">
        <v>121</v>
      </c>
      <c r="H2101" s="10">
        <v>46186</v>
      </c>
      <c r="I2101">
        <v>49608.14</v>
      </c>
      <c r="J2101">
        <v>0</v>
      </c>
      <c r="K2101">
        <v>49608.14</v>
      </c>
    </row>
    <row r="2102" spans="1:11" x14ac:dyDescent="0.35">
      <c r="A2102">
        <v>2730000144</v>
      </c>
      <c r="B2102">
        <v>9400004322</v>
      </c>
      <c r="C2102" s="10">
        <v>46141</v>
      </c>
      <c r="D2102" t="s">
        <v>2032</v>
      </c>
      <c r="E2102" s="11">
        <v>18472967</v>
      </c>
      <c r="F2102" t="s">
        <v>523</v>
      </c>
      <c r="G2102" t="s">
        <v>524</v>
      </c>
      <c r="H2102" s="10">
        <v>46186</v>
      </c>
      <c r="I2102">
        <v>228918.22</v>
      </c>
      <c r="J2102">
        <v>0</v>
      </c>
      <c r="K2102">
        <v>228918.22</v>
      </c>
    </row>
    <row r="2103" spans="1:11" x14ac:dyDescent="0.35">
      <c r="A2103">
        <v>5100000325</v>
      </c>
      <c r="B2103">
        <v>9400004313</v>
      </c>
      <c r="C2103" s="10">
        <v>46141</v>
      </c>
      <c r="D2103" t="s">
        <v>2032</v>
      </c>
      <c r="E2103" s="11">
        <v>18440359</v>
      </c>
      <c r="F2103" t="s">
        <v>927</v>
      </c>
      <c r="G2103" t="s">
        <v>928</v>
      </c>
      <c r="H2103" s="10">
        <v>46186</v>
      </c>
      <c r="I2103">
        <v>2896.76</v>
      </c>
      <c r="J2103">
        <v>0</v>
      </c>
      <c r="K2103">
        <v>2896.76</v>
      </c>
    </row>
    <row r="2104" spans="1:11" x14ac:dyDescent="0.35">
      <c r="A2104">
        <v>8000000244</v>
      </c>
      <c r="B2104">
        <v>9400004311</v>
      </c>
      <c r="C2104" s="10">
        <v>46141</v>
      </c>
      <c r="D2104" t="s">
        <v>2032</v>
      </c>
      <c r="E2104" s="11">
        <v>18483208</v>
      </c>
      <c r="F2104" t="s">
        <v>839</v>
      </c>
      <c r="G2104" t="s">
        <v>840</v>
      </c>
      <c r="H2104" s="10">
        <v>46186</v>
      </c>
      <c r="I2104">
        <v>95330.7</v>
      </c>
      <c r="J2104">
        <v>0</v>
      </c>
      <c r="K2104">
        <v>95330.7</v>
      </c>
    </row>
    <row r="2105" spans="1:11" x14ac:dyDescent="0.35">
      <c r="A2105">
        <v>5100000323</v>
      </c>
      <c r="B2105">
        <v>9400004309</v>
      </c>
      <c r="C2105" s="10">
        <v>46141</v>
      </c>
      <c r="D2105" t="s">
        <v>2032</v>
      </c>
      <c r="E2105" s="11">
        <v>18461829</v>
      </c>
      <c r="F2105" t="s">
        <v>333</v>
      </c>
      <c r="G2105" t="s">
        <v>334</v>
      </c>
      <c r="H2105" s="10">
        <v>46186</v>
      </c>
      <c r="I2105">
        <v>30139.56</v>
      </c>
      <c r="J2105">
        <v>0</v>
      </c>
      <c r="K2105">
        <v>30139.56</v>
      </c>
    </row>
    <row r="2106" spans="1:11" x14ac:dyDescent="0.35">
      <c r="A2106">
        <v>3000000349</v>
      </c>
      <c r="B2106">
        <v>9400004308</v>
      </c>
      <c r="C2106" s="10">
        <v>46141</v>
      </c>
      <c r="D2106" t="s">
        <v>2032</v>
      </c>
      <c r="E2106" s="11">
        <v>18473109</v>
      </c>
      <c r="F2106" t="s">
        <v>783</v>
      </c>
      <c r="G2106" t="s">
        <v>784</v>
      </c>
      <c r="H2106" s="10">
        <v>46186</v>
      </c>
      <c r="I2106">
        <v>103651.2</v>
      </c>
      <c r="J2106">
        <v>0</v>
      </c>
      <c r="K2106">
        <v>103651.2</v>
      </c>
    </row>
    <row r="2107" spans="1:11" x14ac:dyDescent="0.35">
      <c r="A2107">
        <v>5100000321</v>
      </c>
      <c r="B2107">
        <v>9400004306</v>
      </c>
      <c r="C2107" s="10">
        <v>46141</v>
      </c>
      <c r="D2107" t="s">
        <v>2032</v>
      </c>
      <c r="E2107" s="11">
        <v>18462075</v>
      </c>
      <c r="F2107" t="s">
        <v>331</v>
      </c>
      <c r="G2107" t="s">
        <v>332</v>
      </c>
      <c r="H2107" s="10">
        <v>46186</v>
      </c>
      <c r="I2107">
        <v>50232.6</v>
      </c>
      <c r="J2107">
        <v>0</v>
      </c>
      <c r="K2107">
        <v>50232.6</v>
      </c>
    </row>
    <row r="2108" spans="1:11" x14ac:dyDescent="0.35">
      <c r="A2108">
        <v>5100000320</v>
      </c>
      <c r="B2108">
        <v>9400004302</v>
      </c>
      <c r="C2108" s="10">
        <v>46141</v>
      </c>
      <c r="D2108" t="s">
        <v>2032</v>
      </c>
      <c r="E2108" s="11">
        <v>18461679</v>
      </c>
      <c r="F2108" t="s">
        <v>304</v>
      </c>
      <c r="G2108" t="s">
        <v>305</v>
      </c>
      <c r="H2108" s="10">
        <v>46186</v>
      </c>
      <c r="I2108">
        <v>150697.79999999999</v>
      </c>
      <c r="J2108">
        <v>0</v>
      </c>
      <c r="K2108">
        <v>150697.79999999999</v>
      </c>
    </row>
    <row r="2109" spans="1:11" x14ac:dyDescent="0.35">
      <c r="A2109">
        <v>8000000242</v>
      </c>
      <c r="B2109">
        <v>9400004299</v>
      </c>
      <c r="C2109" s="10">
        <v>46141</v>
      </c>
      <c r="D2109" t="s">
        <v>2032</v>
      </c>
      <c r="E2109" s="11">
        <v>18483226</v>
      </c>
      <c r="F2109" t="s">
        <v>817</v>
      </c>
      <c r="G2109" t="s">
        <v>818</v>
      </c>
      <c r="H2109" s="10">
        <v>46186</v>
      </c>
      <c r="I2109">
        <v>57868.38</v>
      </c>
      <c r="J2109">
        <v>0</v>
      </c>
      <c r="K2109">
        <v>57868.38</v>
      </c>
    </row>
    <row r="2110" spans="1:11" x14ac:dyDescent="0.35">
      <c r="A2110">
        <v>8000000238</v>
      </c>
      <c r="B2110">
        <v>9400004293</v>
      </c>
      <c r="C2110" s="10">
        <v>46141</v>
      </c>
      <c r="D2110" t="s">
        <v>2032</v>
      </c>
      <c r="E2110" s="11">
        <v>18473098</v>
      </c>
      <c r="F2110" t="s">
        <v>405</v>
      </c>
      <c r="G2110" t="s">
        <v>406</v>
      </c>
      <c r="H2110" s="10">
        <v>46186</v>
      </c>
      <c r="I2110">
        <v>81774</v>
      </c>
      <c r="J2110">
        <v>0</v>
      </c>
      <c r="K2110">
        <v>81774</v>
      </c>
    </row>
    <row r="2111" spans="1:11" x14ac:dyDescent="0.35">
      <c r="A2111">
        <v>5100000318</v>
      </c>
      <c r="B2111">
        <v>9400004292</v>
      </c>
      <c r="C2111" s="10">
        <v>46141</v>
      </c>
      <c r="D2111" t="s">
        <v>2032</v>
      </c>
      <c r="E2111" s="11">
        <v>18460895</v>
      </c>
      <c r="F2111" t="s">
        <v>931</v>
      </c>
      <c r="G2111" t="s">
        <v>932</v>
      </c>
      <c r="H2111" s="10">
        <v>46186</v>
      </c>
      <c r="I2111">
        <v>203827.16</v>
      </c>
      <c r="J2111">
        <v>0</v>
      </c>
      <c r="K2111">
        <v>203827.16</v>
      </c>
    </row>
    <row r="2112" spans="1:11" x14ac:dyDescent="0.35">
      <c r="A2112">
        <v>5100000317</v>
      </c>
      <c r="B2112">
        <v>9400004284</v>
      </c>
      <c r="C2112" s="10">
        <v>46141</v>
      </c>
      <c r="D2112" t="s">
        <v>2032</v>
      </c>
      <c r="E2112" s="11">
        <v>18473131</v>
      </c>
      <c r="F2112" t="s">
        <v>302</v>
      </c>
      <c r="G2112" t="s">
        <v>303</v>
      </c>
      <c r="H2112" s="10">
        <v>46186</v>
      </c>
      <c r="I2112">
        <v>14536.2</v>
      </c>
      <c r="J2112">
        <v>0</v>
      </c>
      <c r="K2112">
        <v>14536.2</v>
      </c>
    </row>
    <row r="2113" spans="1:11" x14ac:dyDescent="0.35">
      <c r="A2113">
        <v>5100000316</v>
      </c>
      <c r="B2113">
        <v>9400004282</v>
      </c>
      <c r="C2113" s="10">
        <v>46141</v>
      </c>
      <c r="D2113" t="s">
        <v>2032</v>
      </c>
      <c r="E2113" s="11">
        <v>18473085</v>
      </c>
      <c r="F2113" t="s">
        <v>473</v>
      </c>
      <c r="G2113" t="s">
        <v>474</v>
      </c>
      <c r="H2113" s="10">
        <v>46186</v>
      </c>
      <c r="I2113">
        <v>4978.66</v>
      </c>
      <c r="J2113">
        <v>0</v>
      </c>
      <c r="K2113">
        <v>4978.66</v>
      </c>
    </row>
    <row r="2114" spans="1:11" x14ac:dyDescent="0.35">
      <c r="A2114">
        <v>5100000314</v>
      </c>
      <c r="B2114">
        <v>9400004280</v>
      </c>
      <c r="C2114" s="10">
        <v>46141</v>
      </c>
      <c r="D2114" t="s">
        <v>2032</v>
      </c>
      <c r="E2114" s="11">
        <v>18460804</v>
      </c>
      <c r="F2114" t="s">
        <v>911</v>
      </c>
      <c r="G2114" t="s">
        <v>912</v>
      </c>
      <c r="H2114" s="10">
        <v>46186</v>
      </c>
      <c r="I2114">
        <v>60279.12</v>
      </c>
      <c r="J2114">
        <v>0</v>
      </c>
      <c r="K2114">
        <v>60279.12</v>
      </c>
    </row>
    <row r="2115" spans="1:11" x14ac:dyDescent="0.35">
      <c r="A2115">
        <v>9300000236</v>
      </c>
      <c r="B2115">
        <v>9400004271</v>
      </c>
      <c r="C2115" s="10">
        <v>46141</v>
      </c>
      <c r="D2115" t="s">
        <v>2032</v>
      </c>
      <c r="E2115" s="11">
        <v>18472781</v>
      </c>
      <c r="F2115" t="s">
        <v>937</v>
      </c>
      <c r="G2115" t="s">
        <v>938</v>
      </c>
      <c r="H2115" s="10">
        <v>46186</v>
      </c>
      <c r="I2115">
        <v>205293.46</v>
      </c>
      <c r="J2115">
        <v>0</v>
      </c>
      <c r="K2115">
        <v>205293.46</v>
      </c>
    </row>
    <row r="2116" spans="1:11" x14ac:dyDescent="0.35">
      <c r="A2116">
        <v>2720000118</v>
      </c>
      <c r="B2116">
        <v>9400004268</v>
      </c>
      <c r="C2116" s="10">
        <v>46141</v>
      </c>
      <c r="D2116" t="s">
        <v>2032</v>
      </c>
      <c r="E2116" s="11">
        <v>18473067</v>
      </c>
      <c r="F2116" t="s">
        <v>575</v>
      </c>
      <c r="G2116" t="s">
        <v>576</v>
      </c>
      <c r="H2116" s="10">
        <v>46186</v>
      </c>
      <c r="I2116">
        <v>76884.98</v>
      </c>
      <c r="J2116">
        <v>0</v>
      </c>
      <c r="K2116">
        <v>76884.98</v>
      </c>
    </row>
    <row r="2117" spans="1:11" x14ac:dyDescent="0.35">
      <c r="A2117">
        <v>5100000312</v>
      </c>
      <c r="B2117">
        <v>9400004265</v>
      </c>
      <c r="C2117" s="10">
        <v>46141</v>
      </c>
      <c r="D2117" t="s">
        <v>2032</v>
      </c>
      <c r="E2117" s="11">
        <v>18450503</v>
      </c>
      <c r="F2117" t="s">
        <v>715</v>
      </c>
      <c r="G2117" t="s">
        <v>716</v>
      </c>
      <c r="H2117" s="10">
        <v>46186</v>
      </c>
      <c r="I2117">
        <v>100465.2</v>
      </c>
      <c r="J2117">
        <v>0</v>
      </c>
      <c r="K2117">
        <v>100465.2</v>
      </c>
    </row>
    <row r="2118" spans="1:11" x14ac:dyDescent="0.35">
      <c r="A2118">
        <v>9300000235</v>
      </c>
      <c r="B2118">
        <v>9400004263</v>
      </c>
      <c r="C2118" s="10">
        <v>46141</v>
      </c>
      <c r="D2118" t="s">
        <v>2032</v>
      </c>
      <c r="E2118" s="11">
        <v>18473000</v>
      </c>
      <c r="F2118" t="s">
        <v>695</v>
      </c>
      <c r="G2118" t="s">
        <v>696</v>
      </c>
      <c r="H2118" s="10">
        <v>46186</v>
      </c>
      <c r="I2118">
        <v>30050.36</v>
      </c>
      <c r="J2118">
        <v>0</v>
      </c>
      <c r="K2118">
        <v>30050.36</v>
      </c>
    </row>
    <row r="2119" spans="1:11" x14ac:dyDescent="0.35">
      <c r="A2119">
        <v>9300000233</v>
      </c>
      <c r="B2119">
        <v>9400004253</v>
      </c>
      <c r="C2119" s="10">
        <v>46141</v>
      </c>
      <c r="D2119" t="s">
        <v>2032</v>
      </c>
      <c r="E2119" s="11">
        <v>18461999</v>
      </c>
      <c r="F2119" t="s">
        <v>939</v>
      </c>
      <c r="G2119" t="s">
        <v>940</v>
      </c>
      <c r="H2119" s="10">
        <v>46186</v>
      </c>
      <c r="I2119">
        <v>40587.279999999999</v>
      </c>
      <c r="J2119">
        <v>0</v>
      </c>
      <c r="K2119">
        <v>40587.279999999999</v>
      </c>
    </row>
    <row r="2120" spans="1:11" x14ac:dyDescent="0.35">
      <c r="A2120">
        <v>2720000116</v>
      </c>
      <c r="B2120">
        <v>9400004251</v>
      </c>
      <c r="C2120" s="10">
        <v>46141</v>
      </c>
      <c r="D2120" t="s">
        <v>2032</v>
      </c>
      <c r="E2120" s="11">
        <v>18472978</v>
      </c>
      <c r="F2120" t="s">
        <v>314</v>
      </c>
      <c r="G2120" t="s">
        <v>315</v>
      </c>
      <c r="H2120" s="10">
        <v>46186</v>
      </c>
      <c r="I2120">
        <v>60279.12</v>
      </c>
      <c r="J2120">
        <v>0</v>
      </c>
      <c r="K2120">
        <v>60279.12</v>
      </c>
    </row>
    <row r="2121" spans="1:11" x14ac:dyDescent="0.35">
      <c r="A2121">
        <v>5100000309</v>
      </c>
      <c r="B2121">
        <v>9400004249</v>
      </c>
      <c r="C2121" s="10">
        <v>46141</v>
      </c>
      <c r="D2121" t="s">
        <v>2032</v>
      </c>
      <c r="E2121" s="11">
        <v>18440359</v>
      </c>
      <c r="F2121" t="s">
        <v>927</v>
      </c>
      <c r="G2121" t="s">
        <v>928</v>
      </c>
      <c r="H2121" s="10">
        <v>46186</v>
      </c>
      <c r="I2121">
        <v>100465.2</v>
      </c>
      <c r="J2121">
        <v>0</v>
      </c>
      <c r="K2121">
        <v>100465.2</v>
      </c>
    </row>
    <row r="2122" spans="1:11" x14ac:dyDescent="0.35">
      <c r="A2122">
        <v>9300000232</v>
      </c>
      <c r="B2122">
        <v>9400004244</v>
      </c>
      <c r="C2122" s="10">
        <v>46141</v>
      </c>
      <c r="D2122" t="s">
        <v>2032</v>
      </c>
      <c r="E2122" s="11">
        <v>18473016</v>
      </c>
      <c r="F2122" t="s">
        <v>729</v>
      </c>
      <c r="G2122" t="s">
        <v>730</v>
      </c>
      <c r="H2122" s="10">
        <v>46186</v>
      </c>
      <c r="I2122">
        <v>50251.3</v>
      </c>
      <c r="J2122">
        <v>0</v>
      </c>
      <c r="K2122">
        <v>50251.3</v>
      </c>
    </row>
    <row r="2123" spans="1:11" x14ac:dyDescent="0.35">
      <c r="A2123">
        <v>9300000231</v>
      </c>
      <c r="B2123">
        <v>9400004242</v>
      </c>
      <c r="C2123" s="10">
        <v>46141</v>
      </c>
      <c r="D2123" t="s">
        <v>2032</v>
      </c>
      <c r="E2123" s="11">
        <v>18462148</v>
      </c>
      <c r="F2123" t="s">
        <v>611</v>
      </c>
      <c r="G2123" t="s">
        <v>612</v>
      </c>
      <c r="H2123" s="10">
        <v>46186</v>
      </c>
      <c r="I2123">
        <v>70217.179999999993</v>
      </c>
      <c r="J2123">
        <v>0</v>
      </c>
      <c r="K2123">
        <v>70217.179999999993</v>
      </c>
    </row>
    <row r="2124" spans="1:11" x14ac:dyDescent="0.35">
      <c r="A2124">
        <v>8000000233</v>
      </c>
      <c r="B2124">
        <v>9400004237</v>
      </c>
      <c r="C2124" s="10">
        <v>46141</v>
      </c>
      <c r="D2124" t="s">
        <v>2032</v>
      </c>
      <c r="E2124" s="11">
        <v>18462301</v>
      </c>
      <c r="F2124" t="s">
        <v>817</v>
      </c>
      <c r="G2124" t="s">
        <v>818</v>
      </c>
      <c r="H2124" s="10">
        <v>46186</v>
      </c>
      <c r="I2124">
        <v>79848.5</v>
      </c>
      <c r="J2124">
        <v>0</v>
      </c>
      <c r="K2124">
        <v>79848.5</v>
      </c>
    </row>
    <row r="2125" spans="1:11" x14ac:dyDescent="0.35">
      <c r="A2125">
        <v>2000000075</v>
      </c>
      <c r="B2125">
        <v>9400004226</v>
      </c>
      <c r="C2125" s="10">
        <v>46141</v>
      </c>
      <c r="D2125" t="s">
        <v>2032</v>
      </c>
      <c r="E2125" s="11">
        <v>18472935</v>
      </c>
      <c r="F2125" t="s">
        <v>96</v>
      </c>
      <c r="G2125" t="s">
        <v>97</v>
      </c>
      <c r="H2125" s="10">
        <v>46186</v>
      </c>
      <c r="I2125">
        <v>338140.8</v>
      </c>
      <c r="J2125">
        <v>0</v>
      </c>
      <c r="K2125">
        <v>338140.8</v>
      </c>
    </row>
    <row r="2126" spans="1:11" x14ac:dyDescent="0.35">
      <c r="A2126">
        <v>2720000114</v>
      </c>
      <c r="B2126">
        <v>9400004225</v>
      </c>
      <c r="C2126" s="10">
        <v>46141</v>
      </c>
      <c r="D2126" t="s">
        <v>2032</v>
      </c>
      <c r="E2126" s="11">
        <v>18473039</v>
      </c>
      <c r="F2126" t="s">
        <v>245</v>
      </c>
      <c r="G2126" t="s">
        <v>246</v>
      </c>
      <c r="H2126" s="10">
        <v>46186</v>
      </c>
      <c r="I2126">
        <v>52205.56</v>
      </c>
      <c r="J2126">
        <v>0</v>
      </c>
      <c r="K2126">
        <v>52205.56</v>
      </c>
    </row>
    <row r="2127" spans="1:11" x14ac:dyDescent="0.35">
      <c r="A2127">
        <v>3000000333</v>
      </c>
      <c r="B2127">
        <v>9400004224</v>
      </c>
      <c r="C2127" s="10">
        <v>46141</v>
      </c>
      <c r="D2127" t="s">
        <v>2032</v>
      </c>
      <c r="E2127" s="11">
        <v>18462377</v>
      </c>
      <c r="F2127" t="s">
        <v>365</v>
      </c>
      <c r="G2127" t="s">
        <v>366</v>
      </c>
      <c r="H2127" s="10">
        <v>46186</v>
      </c>
      <c r="I2127">
        <v>94390.38</v>
      </c>
      <c r="J2127">
        <v>0</v>
      </c>
      <c r="K2127">
        <v>94390.38</v>
      </c>
    </row>
    <row r="2128" spans="1:11" x14ac:dyDescent="0.35">
      <c r="A2128">
        <v>2000000074</v>
      </c>
      <c r="B2128">
        <v>9400004223</v>
      </c>
      <c r="C2128" s="10">
        <v>46141</v>
      </c>
      <c r="D2128" t="s">
        <v>2032</v>
      </c>
      <c r="E2128" s="11">
        <v>18472935</v>
      </c>
      <c r="F2128" t="s">
        <v>96</v>
      </c>
      <c r="G2128" t="s">
        <v>97</v>
      </c>
      <c r="H2128" s="10">
        <v>46186</v>
      </c>
      <c r="I2128">
        <v>359649.82</v>
      </c>
      <c r="J2128">
        <v>0</v>
      </c>
      <c r="K2128">
        <v>359649.82</v>
      </c>
    </row>
    <row r="2129" spans="1:11" x14ac:dyDescent="0.35">
      <c r="A2129">
        <v>9100000377</v>
      </c>
      <c r="B2129">
        <v>9400004221</v>
      </c>
      <c r="C2129" s="10">
        <v>46141</v>
      </c>
      <c r="D2129" t="s">
        <v>2032</v>
      </c>
      <c r="E2129" s="11">
        <v>18472625</v>
      </c>
      <c r="F2129" t="s">
        <v>731</v>
      </c>
      <c r="G2129" t="s">
        <v>732</v>
      </c>
      <c r="H2129" s="10">
        <v>46186</v>
      </c>
      <c r="I2129">
        <v>4754.92</v>
      </c>
      <c r="J2129">
        <v>0</v>
      </c>
      <c r="K2129">
        <v>4754.92</v>
      </c>
    </row>
    <row r="2130" spans="1:11" x14ac:dyDescent="0.35">
      <c r="A2130">
        <v>2300000146</v>
      </c>
      <c r="B2130">
        <v>9400004219</v>
      </c>
      <c r="C2130" s="10">
        <v>46141</v>
      </c>
      <c r="D2130" t="s">
        <v>2032</v>
      </c>
      <c r="E2130" s="11">
        <v>18462389</v>
      </c>
      <c r="F2130" t="s">
        <v>945</v>
      </c>
      <c r="G2130" t="s">
        <v>946</v>
      </c>
      <c r="H2130" s="10">
        <v>46186</v>
      </c>
      <c r="I2130">
        <v>9906.1</v>
      </c>
      <c r="J2130">
        <v>0</v>
      </c>
      <c r="K2130">
        <v>9906.1</v>
      </c>
    </row>
    <row r="2131" spans="1:11" x14ac:dyDescent="0.35">
      <c r="A2131">
        <v>5100000304</v>
      </c>
      <c r="B2131">
        <v>9400004218</v>
      </c>
      <c r="C2131" s="10">
        <v>46141</v>
      </c>
      <c r="D2131" t="s">
        <v>2032</v>
      </c>
      <c r="E2131" s="11">
        <v>18472453</v>
      </c>
      <c r="F2131" t="s">
        <v>475</v>
      </c>
      <c r="G2131" t="s">
        <v>476</v>
      </c>
      <c r="H2131" s="10">
        <v>46186</v>
      </c>
      <c r="I2131">
        <v>51961.54</v>
      </c>
      <c r="J2131">
        <v>0</v>
      </c>
      <c r="K2131">
        <v>51961.54</v>
      </c>
    </row>
    <row r="2132" spans="1:11" x14ac:dyDescent="0.35">
      <c r="A2132">
        <v>2300000145</v>
      </c>
      <c r="B2132">
        <v>9400004217</v>
      </c>
      <c r="C2132" s="10">
        <v>46141</v>
      </c>
      <c r="D2132" t="s">
        <v>2032</v>
      </c>
      <c r="E2132" s="11">
        <v>18462360</v>
      </c>
      <c r="F2132" t="s">
        <v>631</v>
      </c>
      <c r="G2132" t="s">
        <v>632</v>
      </c>
      <c r="H2132" s="10">
        <v>46186</v>
      </c>
      <c r="I2132">
        <v>10943.32</v>
      </c>
      <c r="J2132">
        <v>0</v>
      </c>
      <c r="K2132">
        <v>10943.32</v>
      </c>
    </row>
    <row r="2133" spans="1:11" x14ac:dyDescent="0.35">
      <c r="A2133">
        <v>2300000144</v>
      </c>
      <c r="B2133">
        <v>9400004214</v>
      </c>
      <c r="C2133" s="10">
        <v>46141</v>
      </c>
      <c r="D2133" t="s">
        <v>2032</v>
      </c>
      <c r="E2133" s="11">
        <v>18462360</v>
      </c>
      <c r="F2133" t="s">
        <v>631</v>
      </c>
      <c r="G2133" t="s">
        <v>632</v>
      </c>
      <c r="H2133" s="10">
        <v>46186</v>
      </c>
      <c r="I2133">
        <v>71961.119999999995</v>
      </c>
      <c r="J2133">
        <v>0</v>
      </c>
      <c r="K2133">
        <v>71961.119999999995</v>
      </c>
    </row>
    <row r="2134" spans="1:11" x14ac:dyDescent="0.35">
      <c r="A2134">
        <v>2300000143</v>
      </c>
      <c r="B2134">
        <v>9400004211</v>
      </c>
      <c r="C2134" s="10">
        <v>46141</v>
      </c>
      <c r="D2134" t="s">
        <v>2032</v>
      </c>
      <c r="E2134" s="11">
        <v>18472908</v>
      </c>
      <c r="F2134" t="s">
        <v>627</v>
      </c>
      <c r="G2134" t="s">
        <v>628</v>
      </c>
      <c r="H2134" s="10">
        <v>46186</v>
      </c>
      <c r="I2134">
        <v>60473.82</v>
      </c>
      <c r="J2134">
        <v>0</v>
      </c>
      <c r="K2134">
        <v>60473.82</v>
      </c>
    </row>
    <row r="2135" spans="1:11" x14ac:dyDescent="0.35">
      <c r="A2135">
        <v>3000000331</v>
      </c>
      <c r="B2135">
        <v>9400004210</v>
      </c>
      <c r="C2135" s="10">
        <v>46141</v>
      </c>
      <c r="D2135" t="s">
        <v>2032</v>
      </c>
      <c r="E2135" s="11">
        <v>18461708</v>
      </c>
      <c r="F2135" t="s">
        <v>947</v>
      </c>
      <c r="G2135" t="s">
        <v>948</v>
      </c>
      <c r="H2135" s="10">
        <v>46186</v>
      </c>
      <c r="I2135">
        <v>54905.4</v>
      </c>
      <c r="J2135">
        <v>0</v>
      </c>
      <c r="K2135">
        <v>54905.4</v>
      </c>
    </row>
    <row r="2136" spans="1:11" x14ac:dyDescent="0.35">
      <c r="A2136">
        <v>2710000259</v>
      </c>
      <c r="B2136">
        <v>9400004209</v>
      </c>
      <c r="C2136" s="10">
        <v>46141</v>
      </c>
      <c r="D2136" t="s">
        <v>2032</v>
      </c>
      <c r="E2136" s="11">
        <v>18473001</v>
      </c>
      <c r="F2136" t="s">
        <v>144</v>
      </c>
      <c r="G2136" t="s">
        <v>145</v>
      </c>
      <c r="H2136" s="10">
        <v>46186</v>
      </c>
      <c r="I2136">
        <v>7868.94</v>
      </c>
      <c r="J2136">
        <v>0</v>
      </c>
      <c r="K2136">
        <v>7868.94</v>
      </c>
    </row>
    <row r="2137" spans="1:11" x14ac:dyDescent="0.35">
      <c r="A2137">
        <v>2300000142</v>
      </c>
      <c r="B2137">
        <v>9400004207</v>
      </c>
      <c r="C2137" s="10">
        <v>46141</v>
      </c>
      <c r="D2137" t="s">
        <v>2032</v>
      </c>
      <c r="E2137" s="11">
        <v>18472908</v>
      </c>
      <c r="F2137" t="s">
        <v>627</v>
      </c>
      <c r="G2137" t="s">
        <v>628</v>
      </c>
      <c r="H2137" s="10">
        <v>46186</v>
      </c>
      <c r="I2137">
        <v>172426.32</v>
      </c>
      <c r="J2137">
        <v>0</v>
      </c>
      <c r="K2137">
        <v>172426.32</v>
      </c>
    </row>
    <row r="2138" spans="1:11" x14ac:dyDescent="0.35">
      <c r="A2138">
        <v>5100000301</v>
      </c>
      <c r="B2138">
        <v>9400004205</v>
      </c>
      <c r="C2138" s="10">
        <v>46141</v>
      </c>
      <c r="D2138" t="s">
        <v>2032</v>
      </c>
      <c r="E2138" s="11">
        <v>18462329</v>
      </c>
      <c r="F2138" t="s">
        <v>221</v>
      </c>
      <c r="G2138" t="s">
        <v>222</v>
      </c>
      <c r="H2138" s="10">
        <v>46186</v>
      </c>
      <c r="I2138">
        <v>279909.84999999998</v>
      </c>
      <c r="J2138">
        <v>0</v>
      </c>
      <c r="K2138">
        <v>279909.84999999998</v>
      </c>
    </row>
    <row r="2139" spans="1:11" x14ac:dyDescent="0.35">
      <c r="A2139">
        <v>2710000257</v>
      </c>
      <c r="B2139">
        <v>9400004204</v>
      </c>
      <c r="C2139" s="10">
        <v>46141</v>
      </c>
      <c r="D2139" t="s">
        <v>2032</v>
      </c>
      <c r="E2139" s="11">
        <v>18472969</v>
      </c>
      <c r="F2139" t="s">
        <v>579</v>
      </c>
      <c r="G2139" t="s">
        <v>580</v>
      </c>
      <c r="H2139" s="10">
        <v>46186</v>
      </c>
      <c r="I2139">
        <v>59763.46</v>
      </c>
      <c r="J2139">
        <v>0</v>
      </c>
      <c r="K2139">
        <v>59763.46</v>
      </c>
    </row>
    <row r="2140" spans="1:11" x14ac:dyDescent="0.35">
      <c r="A2140">
        <v>2710000255</v>
      </c>
      <c r="B2140">
        <v>9400004200</v>
      </c>
      <c r="C2140" s="10">
        <v>46141</v>
      </c>
      <c r="D2140" t="s">
        <v>2032</v>
      </c>
      <c r="E2140" s="11">
        <v>18472882</v>
      </c>
      <c r="F2140" t="s">
        <v>679</v>
      </c>
      <c r="G2140" t="s">
        <v>680</v>
      </c>
      <c r="H2140" s="10">
        <v>46186</v>
      </c>
      <c r="I2140">
        <v>24838.06</v>
      </c>
      <c r="J2140">
        <v>0</v>
      </c>
      <c r="K2140">
        <v>24838.06</v>
      </c>
    </row>
    <row r="2141" spans="1:11" x14ac:dyDescent="0.35">
      <c r="A2141">
        <v>8000000229</v>
      </c>
      <c r="B2141">
        <v>9400004198</v>
      </c>
      <c r="C2141" s="10">
        <v>46141</v>
      </c>
      <c r="D2141" t="s">
        <v>2032</v>
      </c>
      <c r="E2141" s="11">
        <v>18472979</v>
      </c>
      <c r="F2141" t="s">
        <v>853</v>
      </c>
      <c r="G2141" t="s">
        <v>854</v>
      </c>
      <c r="H2141" s="10">
        <v>46186</v>
      </c>
      <c r="I2141">
        <v>98927.4</v>
      </c>
      <c r="J2141">
        <v>0</v>
      </c>
      <c r="K2141">
        <v>98927.4</v>
      </c>
    </row>
    <row r="2142" spans="1:11" x14ac:dyDescent="0.35">
      <c r="A2142">
        <v>9200000274</v>
      </c>
      <c r="B2142">
        <v>9400004196</v>
      </c>
      <c r="C2142" s="10">
        <v>46141</v>
      </c>
      <c r="D2142" t="s">
        <v>2032</v>
      </c>
      <c r="E2142" s="11">
        <v>18472866</v>
      </c>
      <c r="F2142" t="s">
        <v>184</v>
      </c>
      <c r="G2142" t="s">
        <v>185</v>
      </c>
      <c r="H2142" s="10">
        <v>46186</v>
      </c>
      <c r="I2142">
        <v>116569.36</v>
      </c>
      <c r="J2142">
        <v>0</v>
      </c>
      <c r="K2142">
        <v>116569.36</v>
      </c>
    </row>
    <row r="2143" spans="1:11" x14ac:dyDescent="0.35">
      <c r="A2143">
        <v>2710000253</v>
      </c>
      <c r="B2143">
        <v>9400004193</v>
      </c>
      <c r="C2143" s="10">
        <v>46141</v>
      </c>
      <c r="D2143" t="s">
        <v>2032</v>
      </c>
      <c r="E2143" s="11">
        <v>18472870</v>
      </c>
      <c r="F2143" t="s">
        <v>503</v>
      </c>
      <c r="G2143" t="s">
        <v>504</v>
      </c>
      <c r="H2143" s="10">
        <v>46186</v>
      </c>
      <c r="I2143">
        <v>17466.66</v>
      </c>
      <c r="J2143">
        <v>0</v>
      </c>
      <c r="K2143">
        <v>17466.66</v>
      </c>
    </row>
    <row r="2144" spans="1:11" x14ac:dyDescent="0.35">
      <c r="A2144">
        <v>2710000252</v>
      </c>
      <c r="B2144">
        <v>9400004191</v>
      </c>
      <c r="C2144" s="10">
        <v>46141</v>
      </c>
      <c r="D2144" t="s">
        <v>2032</v>
      </c>
      <c r="E2144" s="11">
        <v>18472752</v>
      </c>
      <c r="F2144" t="s">
        <v>491</v>
      </c>
      <c r="G2144" t="s">
        <v>492</v>
      </c>
      <c r="H2144" s="10">
        <v>46186</v>
      </c>
      <c r="I2144">
        <v>127202.5</v>
      </c>
      <c r="J2144">
        <v>0</v>
      </c>
      <c r="K2144">
        <v>127202.5</v>
      </c>
    </row>
    <row r="2145" spans="1:11" x14ac:dyDescent="0.35">
      <c r="A2145">
        <v>2710000251</v>
      </c>
      <c r="B2145">
        <v>9400004189</v>
      </c>
      <c r="C2145" s="10">
        <v>46141</v>
      </c>
      <c r="D2145" t="s">
        <v>2032</v>
      </c>
      <c r="E2145" s="11">
        <v>18472736</v>
      </c>
      <c r="F2145" t="s">
        <v>565</v>
      </c>
      <c r="G2145" t="s">
        <v>566</v>
      </c>
      <c r="H2145" s="10">
        <v>46186</v>
      </c>
      <c r="I2145">
        <v>23208.240000000002</v>
      </c>
      <c r="J2145">
        <v>0</v>
      </c>
      <c r="K2145">
        <v>23208.240000000002</v>
      </c>
    </row>
    <row r="2146" spans="1:11" x14ac:dyDescent="0.35">
      <c r="A2146">
        <v>2720000112</v>
      </c>
      <c r="B2146">
        <v>9400004188</v>
      </c>
      <c r="C2146" s="10">
        <v>46141</v>
      </c>
      <c r="D2146" t="s">
        <v>2032</v>
      </c>
      <c r="E2146" s="11">
        <v>18472632</v>
      </c>
      <c r="F2146" t="s">
        <v>827</v>
      </c>
      <c r="G2146" t="s">
        <v>828</v>
      </c>
      <c r="H2146" s="10">
        <v>46186</v>
      </c>
      <c r="I2146">
        <v>25051.38</v>
      </c>
      <c r="J2146">
        <v>0</v>
      </c>
      <c r="K2146">
        <v>25051.38</v>
      </c>
    </row>
    <row r="2147" spans="1:11" x14ac:dyDescent="0.35">
      <c r="A2147">
        <v>9200000273</v>
      </c>
      <c r="B2147">
        <v>9400004185</v>
      </c>
      <c r="C2147" s="10">
        <v>46141</v>
      </c>
      <c r="D2147" t="s">
        <v>2032</v>
      </c>
      <c r="E2147" s="11">
        <v>18462368</v>
      </c>
      <c r="F2147" t="s">
        <v>537</v>
      </c>
      <c r="G2147" t="s">
        <v>538</v>
      </c>
      <c r="H2147" s="10">
        <v>46186</v>
      </c>
      <c r="I2147">
        <v>11887.32</v>
      </c>
      <c r="J2147">
        <v>0</v>
      </c>
      <c r="K2147">
        <v>11887.32</v>
      </c>
    </row>
    <row r="2148" spans="1:11" x14ac:dyDescent="0.35">
      <c r="A2148">
        <v>2710000245</v>
      </c>
      <c r="B2148">
        <v>9400004175</v>
      </c>
      <c r="C2148" s="10">
        <v>46141</v>
      </c>
      <c r="D2148" t="s">
        <v>2032</v>
      </c>
      <c r="E2148" s="11">
        <v>18472601</v>
      </c>
      <c r="F2148" t="s">
        <v>623</v>
      </c>
      <c r="G2148" t="s">
        <v>624</v>
      </c>
      <c r="H2148" s="10">
        <v>46186</v>
      </c>
      <c r="I2148">
        <v>95863.62</v>
      </c>
      <c r="J2148">
        <v>0</v>
      </c>
      <c r="K2148">
        <v>95863.62</v>
      </c>
    </row>
    <row r="2149" spans="1:11" x14ac:dyDescent="0.35">
      <c r="A2149">
        <v>9200000271</v>
      </c>
      <c r="B2149">
        <v>9400004174</v>
      </c>
      <c r="C2149" s="10">
        <v>46141</v>
      </c>
      <c r="D2149" t="s">
        <v>2032</v>
      </c>
      <c r="E2149" s="11">
        <v>18472959</v>
      </c>
      <c r="F2149" t="s">
        <v>449</v>
      </c>
      <c r="G2149" t="s">
        <v>450</v>
      </c>
      <c r="H2149" s="10">
        <v>46186</v>
      </c>
      <c r="I2149">
        <v>65419.199999999997</v>
      </c>
      <c r="J2149">
        <v>0</v>
      </c>
      <c r="K2149">
        <v>65419.199999999997</v>
      </c>
    </row>
    <row r="2150" spans="1:11" x14ac:dyDescent="0.35">
      <c r="A2150">
        <v>2710000243</v>
      </c>
      <c r="B2150">
        <v>9400004172</v>
      </c>
      <c r="C2150" s="10">
        <v>46141</v>
      </c>
      <c r="D2150" t="s">
        <v>2032</v>
      </c>
      <c r="E2150" s="11">
        <v>18472532</v>
      </c>
      <c r="F2150" t="s">
        <v>28</v>
      </c>
      <c r="G2150" t="s">
        <v>29</v>
      </c>
      <c r="H2150" s="10">
        <v>46186</v>
      </c>
      <c r="I2150">
        <v>4978.66</v>
      </c>
      <c r="J2150">
        <v>0</v>
      </c>
      <c r="K2150">
        <v>4978.66</v>
      </c>
    </row>
    <row r="2151" spans="1:11" x14ac:dyDescent="0.35">
      <c r="A2151">
        <v>9200000270</v>
      </c>
      <c r="B2151">
        <v>9400004169</v>
      </c>
      <c r="C2151" s="10">
        <v>46141</v>
      </c>
      <c r="D2151" t="s">
        <v>2032</v>
      </c>
      <c r="E2151" s="11">
        <v>18462001</v>
      </c>
      <c r="F2151" t="s">
        <v>949</v>
      </c>
      <c r="G2151" t="s">
        <v>950</v>
      </c>
      <c r="H2151" s="10">
        <v>46186</v>
      </c>
      <c r="I2151">
        <v>199411.16</v>
      </c>
      <c r="J2151">
        <v>0</v>
      </c>
      <c r="K2151">
        <v>199411.16</v>
      </c>
    </row>
    <row r="2152" spans="1:11" x14ac:dyDescent="0.35">
      <c r="A2152">
        <v>2710000239</v>
      </c>
      <c r="B2152">
        <v>9400004165</v>
      </c>
      <c r="C2152" s="10">
        <v>46141</v>
      </c>
      <c r="D2152" t="s">
        <v>2032</v>
      </c>
      <c r="E2152" s="11">
        <v>18462264</v>
      </c>
      <c r="F2152" t="s">
        <v>595</v>
      </c>
      <c r="G2152" t="s">
        <v>596</v>
      </c>
      <c r="H2152" s="10">
        <v>46186</v>
      </c>
      <c r="I2152">
        <v>8717.36</v>
      </c>
      <c r="J2152">
        <v>0</v>
      </c>
      <c r="K2152">
        <v>8717.36</v>
      </c>
    </row>
    <row r="2153" spans="1:11" x14ac:dyDescent="0.35">
      <c r="A2153">
        <v>9100000372</v>
      </c>
      <c r="B2153">
        <v>9400004163</v>
      </c>
      <c r="C2153" s="10">
        <v>46141</v>
      </c>
      <c r="D2153" t="s">
        <v>2032</v>
      </c>
      <c r="E2153" s="11">
        <v>18472625</v>
      </c>
      <c r="F2153" t="s">
        <v>731</v>
      </c>
      <c r="G2153" t="s">
        <v>732</v>
      </c>
      <c r="H2153" s="10">
        <v>46186</v>
      </c>
      <c r="I2153">
        <v>32590.9</v>
      </c>
      <c r="J2153">
        <v>0</v>
      </c>
      <c r="K2153">
        <v>32590.9</v>
      </c>
    </row>
    <row r="2154" spans="1:11" x14ac:dyDescent="0.35">
      <c r="A2154">
        <v>2710000237</v>
      </c>
      <c r="B2154">
        <v>9400004162</v>
      </c>
      <c r="C2154" s="10">
        <v>46141</v>
      </c>
      <c r="D2154" t="s">
        <v>2032</v>
      </c>
      <c r="E2154" s="11">
        <v>18462180</v>
      </c>
      <c r="F2154" t="s">
        <v>72</v>
      </c>
      <c r="G2154" t="s">
        <v>73</v>
      </c>
      <c r="H2154" s="10">
        <v>46186</v>
      </c>
      <c r="I2154">
        <v>3504.6</v>
      </c>
      <c r="J2154">
        <v>0</v>
      </c>
      <c r="K2154">
        <v>3504.6</v>
      </c>
    </row>
    <row r="2155" spans="1:11" x14ac:dyDescent="0.35">
      <c r="A2155">
        <v>2710000235</v>
      </c>
      <c r="B2155">
        <v>9400004158</v>
      </c>
      <c r="C2155" s="10">
        <v>46141</v>
      </c>
      <c r="D2155" t="s">
        <v>2032</v>
      </c>
      <c r="E2155" s="11">
        <v>18462180</v>
      </c>
      <c r="F2155" t="s">
        <v>72</v>
      </c>
      <c r="G2155" t="s">
        <v>73</v>
      </c>
      <c r="H2155" s="10">
        <v>46155</v>
      </c>
      <c r="I2155">
        <v>131256.12</v>
      </c>
      <c r="J2155">
        <v>125741.85</v>
      </c>
      <c r="K2155">
        <v>5514.2699999999895</v>
      </c>
    </row>
    <row r="2156" spans="1:11" x14ac:dyDescent="0.35">
      <c r="A2156">
        <v>2710000232</v>
      </c>
      <c r="B2156">
        <v>9400004154</v>
      </c>
      <c r="C2156" s="10">
        <v>46141</v>
      </c>
      <c r="D2156" t="s">
        <v>2032</v>
      </c>
      <c r="E2156" s="11">
        <v>18461874</v>
      </c>
      <c r="F2156" t="s">
        <v>951</v>
      </c>
      <c r="G2156" t="s">
        <v>952</v>
      </c>
      <c r="H2156" s="10">
        <v>46186</v>
      </c>
      <c r="I2156">
        <v>30489.06</v>
      </c>
      <c r="J2156">
        <v>0</v>
      </c>
      <c r="K2156">
        <v>30489.06</v>
      </c>
    </row>
    <row r="2157" spans="1:11" x14ac:dyDescent="0.35">
      <c r="A2157">
        <v>2710000231</v>
      </c>
      <c r="B2157">
        <v>9400004153</v>
      </c>
      <c r="C2157" s="10">
        <v>46141</v>
      </c>
      <c r="D2157" t="s">
        <v>2032</v>
      </c>
      <c r="E2157" s="11" t="s">
        <v>2051</v>
      </c>
      <c r="F2157" t="s">
        <v>597</v>
      </c>
      <c r="G2157" t="s">
        <v>598</v>
      </c>
      <c r="H2157" s="10">
        <v>46186</v>
      </c>
      <c r="I2157">
        <v>20399.36</v>
      </c>
      <c r="J2157">
        <v>0</v>
      </c>
      <c r="K2157">
        <v>20399.36</v>
      </c>
    </row>
    <row r="2158" spans="1:11" x14ac:dyDescent="0.35">
      <c r="A2158">
        <v>2300000141</v>
      </c>
      <c r="B2158">
        <v>9400004152</v>
      </c>
      <c r="C2158" s="10">
        <v>46141</v>
      </c>
      <c r="D2158" t="s">
        <v>2032</v>
      </c>
      <c r="E2158" s="11">
        <v>18472782</v>
      </c>
      <c r="F2158" t="s">
        <v>619</v>
      </c>
      <c r="G2158" t="s">
        <v>620</v>
      </c>
      <c r="H2158" s="10">
        <v>46186</v>
      </c>
      <c r="I2158">
        <v>40793.54</v>
      </c>
      <c r="J2158">
        <v>0</v>
      </c>
      <c r="K2158">
        <v>40793.54</v>
      </c>
    </row>
    <row r="2159" spans="1:11" x14ac:dyDescent="0.35">
      <c r="A2159">
        <v>5100000297</v>
      </c>
      <c r="B2159">
        <v>9400004145</v>
      </c>
      <c r="C2159" s="10">
        <v>46141</v>
      </c>
      <c r="D2159" t="s">
        <v>2032</v>
      </c>
      <c r="E2159" s="11">
        <v>18462075</v>
      </c>
      <c r="F2159" t="s">
        <v>331</v>
      </c>
      <c r="G2159" t="s">
        <v>332</v>
      </c>
      <c r="H2159" s="10">
        <v>46186</v>
      </c>
      <c r="I2159">
        <v>16642.96</v>
      </c>
      <c r="J2159">
        <v>0</v>
      </c>
      <c r="K2159">
        <v>16642.96</v>
      </c>
    </row>
    <row r="2160" spans="1:11" x14ac:dyDescent="0.35">
      <c r="A2160">
        <v>9100000371</v>
      </c>
      <c r="B2160">
        <v>9400004142</v>
      </c>
      <c r="C2160" s="10">
        <v>46141</v>
      </c>
      <c r="D2160" t="s">
        <v>2032</v>
      </c>
      <c r="E2160" s="11">
        <v>18462102</v>
      </c>
      <c r="F2160" t="s">
        <v>953</v>
      </c>
      <c r="G2160" t="s">
        <v>954</v>
      </c>
      <c r="H2160" s="10">
        <v>46186</v>
      </c>
      <c r="I2160">
        <v>21251.919999999998</v>
      </c>
      <c r="J2160">
        <v>0</v>
      </c>
      <c r="K2160">
        <v>21251.919999999998</v>
      </c>
    </row>
    <row r="2161" spans="1:11" x14ac:dyDescent="0.35">
      <c r="A2161">
        <v>3000000325</v>
      </c>
      <c r="B2161">
        <v>9400004127</v>
      </c>
      <c r="C2161" s="10">
        <v>46141</v>
      </c>
      <c r="D2161" t="s">
        <v>2032</v>
      </c>
      <c r="E2161" s="11">
        <v>18472789</v>
      </c>
      <c r="F2161" t="s">
        <v>955</v>
      </c>
      <c r="G2161" t="s">
        <v>956</v>
      </c>
      <c r="H2161" s="10">
        <v>46186</v>
      </c>
      <c r="I2161">
        <v>46428.05</v>
      </c>
      <c r="J2161">
        <v>0</v>
      </c>
      <c r="K2161">
        <v>46428.05</v>
      </c>
    </row>
    <row r="2162" spans="1:11" x14ac:dyDescent="0.35">
      <c r="A2162">
        <v>2300000139</v>
      </c>
      <c r="B2162">
        <v>9400004126</v>
      </c>
      <c r="C2162" s="10">
        <v>46141</v>
      </c>
      <c r="D2162" t="s">
        <v>2032</v>
      </c>
      <c r="E2162" s="11">
        <v>18472792</v>
      </c>
      <c r="F2162" t="s">
        <v>176</v>
      </c>
      <c r="G2162" t="s">
        <v>177</v>
      </c>
      <c r="H2162" s="10">
        <v>46186</v>
      </c>
      <c r="I2162">
        <v>172426.32</v>
      </c>
      <c r="J2162">
        <v>0</v>
      </c>
      <c r="K2162">
        <v>172426.32</v>
      </c>
    </row>
    <row r="2163" spans="1:11" x14ac:dyDescent="0.35">
      <c r="A2163">
        <v>9100000370</v>
      </c>
      <c r="B2163">
        <v>9400004125</v>
      </c>
      <c r="C2163" s="10">
        <v>46141</v>
      </c>
      <c r="D2163" t="s">
        <v>2032</v>
      </c>
      <c r="E2163" s="11">
        <v>18462376</v>
      </c>
      <c r="F2163" t="s">
        <v>86</v>
      </c>
      <c r="G2163" t="s">
        <v>87</v>
      </c>
      <c r="H2163" s="10">
        <v>46186</v>
      </c>
      <c r="I2163">
        <v>52552.36</v>
      </c>
      <c r="J2163">
        <v>0</v>
      </c>
      <c r="K2163">
        <v>52552.36</v>
      </c>
    </row>
    <row r="2164" spans="1:11" x14ac:dyDescent="0.35">
      <c r="A2164">
        <v>8000000227</v>
      </c>
      <c r="B2164">
        <v>9400004122</v>
      </c>
      <c r="C2164" s="10">
        <v>46141</v>
      </c>
      <c r="D2164" t="s">
        <v>2032</v>
      </c>
      <c r="E2164" s="11">
        <v>18472879</v>
      </c>
      <c r="F2164" t="s">
        <v>819</v>
      </c>
      <c r="G2164" t="s">
        <v>820</v>
      </c>
      <c r="H2164" s="10">
        <v>46155</v>
      </c>
      <c r="I2164">
        <v>70516.800000000003</v>
      </c>
      <c r="J2164">
        <v>0</v>
      </c>
      <c r="K2164">
        <v>70516.800000000003</v>
      </c>
    </row>
    <row r="2165" spans="1:11" x14ac:dyDescent="0.35">
      <c r="A2165">
        <v>2300000138</v>
      </c>
      <c r="B2165">
        <v>9400004121</v>
      </c>
      <c r="C2165" s="10">
        <v>46141</v>
      </c>
      <c r="D2165" t="s">
        <v>2032</v>
      </c>
      <c r="E2165" s="11">
        <v>18472717</v>
      </c>
      <c r="F2165" t="s">
        <v>465</v>
      </c>
      <c r="G2165" t="s">
        <v>466</v>
      </c>
      <c r="H2165" s="10">
        <v>46186</v>
      </c>
      <c r="I2165">
        <v>65419.199999999997</v>
      </c>
      <c r="J2165">
        <v>0</v>
      </c>
      <c r="K2165">
        <v>65419.199999999997</v>
      </c>
    </row>
    <row r="2166" spans="1:11" x14ac:dyDescent="0.35">
      <c r="A2166">
        <v>8000000226</v>
      </c>
      <c r="B2166">
        <v>9400004119</v>
      </c>
      <c r="C2166" s="10">
        <v>46141</v>
      </c>
      <c r="D2166" t="s">
        <v>2032</v>
      </c>
      <c r="E2166" s="11">
        <v>18472851</v>
      </c>
      <c r="F2166" t="s">
        <v>745</v>
      </c>
      <c r="G2166" t="s">
        <v>746</v>
      </c>
      <c r="H2166" s="10">
        <v>46186</v>
      </c>
      <c r="I2166">
        <v>72895.679999999993</v>
      </c>
      <c r="J2166">
        <v>0</v>
      </c>
      <c r="K2166">
        <v>72895.679999999993</v>
      </c>
    </row>
    <row r="2167" spans="1:11" x14ac:dyDescent="0.35">
      <c r="A2167">
        <v>8000000224</v>
      </c>
      <c r="B2167">
        <v>9400004117</v>
      </c>
      <c r="C2167" s="10">
        <v>46141</v>
      </c>
      <c r="D2167" t="s">
        <v>2032</v>
      </c>
      <c r="E2167" s="11">
        <v>18472791</v>
      </c>
      <c r="F2167" t="s">
        <v>255</v>
      </c>
      <c r="G2167" t="s">
        <v>256</v>
      </c>
      <c r="H2167" s="10">
        <v>46186</v>
      </c>
      <c r="I2167">
        <v>26943.66</v>
      </c>
      <c r="J2167">
        <v>0</v>
      </c>
      <c r="K2167">
        <v>26943.66</v>
      </c>
    </row>
    <row r="2168" spans="1:11" x14ac:dyDescent="0.35">
      <c r="A2168">
        <v>9200000267</v>
      </c>
      <c r="B2168">
        <v>9400004116</v>
      </c>
      <c r="C2168" s="10">
        <v>46141</v>
      </c>
      <c r="D2168" t="s">
        <v>2032</v>
      </c>
      <c r="E2168" s="11">
        <v>18472623</v>
      </c>
      <c r="F2168" t="s">
        <v>208</v>
      </c>
      <c r="G2168" t="s">
        <v>209</v>
      </c>
      <c r="H2168" s="10">
        <v>46186</v>
      </c>
      <c r="I2168">
        <v>173921.62</v>
      </c>
      <c r="J2168">
        <v>0</v>
      </c>
      <c r="K2168">
        <v>173921.62</v>
      </c>
    </row>
    <row r="2169" spans="1:11" x14ac:dyDescent="0.35">
      <c r="A2169">
        <v>8000000222</v>
      </c>
      <c r="B2169">
        <v>9400004113</v>
      </c>
      <c r="C2169" s="10">
        <v>46141</v>
      </c>
      <c r="D2169" t="s">
        <v>2032</v>
      </c>
      <c r="E2169" s="11">
        <v>18472788</v>
      </c>
      <c r="F2169" t="s">
        <v>797</v>
      </c>
      <c r="G2169" t="s">
        <v>798</v>
      </c>
      <c r="H2169" s="10">
        <v>46186</v>
      </c>
      <c r="I2169">
        <v>5471.66</v>
      </c>
      <c r="J2169">
        <v>0</v>
      </c>
      <c r="K2169">
        <v>5471.66</v>
      </c>
    </row>
    <row r="2170" spans="1:11" x14ac:dyDescent="0.35">
      <c r="A2170">
        <v>8000000219</v>
      </c>
      <c r="B2170">
        <v>9400004108</v>
      </c>
      <c r="C2170" s="10">
        <v>46141</v>
      </c>
      <c r="D2170" t="s">
        <v>2032</v>
      </c>
      <c r="E2170" s="11">
        <v>18472760</v>
      </c>
      <c r="F2170" t="s">
        <v>663</v>
      </c>
      <c r="G2170" t="s">
        <v>664</v>
      </c>
      <c r="H2170" s="10">
        <v>46186</v>
      </c>
      <c r="I2170">
        <v>19824</v>
      </c>
      <c r="J2170">
        <v>0</v>
      </c>
      <c r="K2170">
        <v>19824</v>
      </c>
    </row>
    <row r="2171" spans="1:11" x14ac:dyDescent="0.35">
      <c r="A2171">
        <v>2300000137</v>
      </c>
      <c r="B2171">
        <v>9400004106</v>
      </c>
      <c r="C2171" s="10">
        <v>46141</v>
      </c>
      <c r="D2171" t="s">
        <v>2032</v>
      </c>
      <c r="E2171" s="11">
        <v>18472710</v>
      </c>
      <c r="F2171" t="s">
        <v>68</v>
      </c>
      <c r="G2171" t="s">
        <v>69</v>
      </c>
      <c r="H2171" s="10">
        <v>46186</v>
      </c>
      <c r="I2171">
        <v>55466.239999999998</v>
      </c>
      <c r="J2171">
        <v>0</v>
      </c>
      <c r="K2171">
        <v>55466.239999999998</v>
      </c>
    </row>
    <row r="2172" spans="1:11" x14ac:dyDescent="0.35">
      <c r="A2172">
        <v>8000000217</v>
      </c>
      <c r="B2172">
        <v>9400004103</v>
      </c>
      <c r="C2172" s="10">
        <v>46141</v>
      </c>
      <c r="D2172" t="s">
        <v>2032</v>
      </c>
      <c r="E2172" s="11">
        <v>18472559</v>
      </c>
      <c r="F2172" t="s">
        <v>745</v>
      </c>
      <c r="G2172" t="s">
        <v>746</v>
      </c>
      <c r="H2172" s="10">
        <v>46186</v>
      </c>
      <c r="I2172">
        <v>13539.34</v>
      </c>
      <c r="J2172">
        <v>0</v>
      </c>
      <c r="K2172">
        <v>13539.34</v>
      </c>
    </row>
    <row r="2173" spans="1:11" x14ac:dyDescent="0.35">
      <c r="A2173">
        <v>3000000322</v>
      </c>
      <c r="B2173">
        <v>9400004095</v>
      </c>
      <c r="C2173" s="10">
        <v>46141</v>
      </c>
      <c r="D2173" t="s">
        <v>2032</v>
      </c>
      <c r="E2173" s="11">
        <v>18462143</v>
      </c>
      <c r="F2173" t="s">
        <v>809</v>
      </c>
      <c r="G2173" t="s">
        <v>810</v>
      </c>
      <c r="H2173" s="10">
        <v>46186</v>
      </c>
      <c r="I2173">
        <v>163548</v>
      </c>
      <c r="J2173">
        <v>0</v>
      </c>
      <c r="K2173">
        <v>163548</v>
      </c>
    </row>
    <row r="2174" spans="1:11" x14ac:dyDescent="0.35">
      <c r="A2174">
        <v>8000000210</v>
      </c>
      <c r="B2174">
        <v>9400004088</v>
      </c>
      <c r="C2174" s="10">
        <v>46141</v>
      </c>
      <c r="D2174" t="s">
        <v>2032</v>
      </c>
      <c r="E2174" s="11">
        <v>18461883</v>
      </c>
      <c r="F2174" t="s">
        <v>397</v>
      </c>
      <c r="G2174" t="s">
        <v>398</v>
      </c>
      <c r="H2174" s="10">
        <v>46186</v>
      </c>
      <c r="I2174">
        <v>38679.78</v>
      </c>
      <c r="J2174">
        <v>0</v>
      </c>
      <c r="K2174">
        <v>38679.78</v>
      </c>
    </row>
    <row r="2175" spans="1:11" x14ac:dyDescent="0.35">
      <c r="A2175">
        <v>2720000109</v>
      </c>
      <c r="B2175">
        <v>9400004086</v>
      </c>
      <c r="C2175" s="10">
        <v>46141</v>
      </c>
      <c r="D2175" t="s">
        <v>2032</v>
      </c>
      <c r="E2175" s="11">
        <v>18462335</v>
      </c>
      <c r="F2175" t="s">
        <v>957</v>
      </c>
      <c r="G2175" t="s">
        <v>958</v>
      </c>
      <c r="H2175" s="10">
        <v>46186</v>
      </c>
      <c r="I2175">
        <v>40118.58</v>
      </c>
      <c r="J2175">
        <v>0</v>
      </c>
      <c r="K2175">
        <v>40118.58</v>
      </c>
    </row>
    <row r="2176" spans="1:11" x14ac:dyDescent="0.35">
      <c r="A2176">
        <v>9100000368</v>
      </c>
      <c r="B2176">
        <v>9400004081</v>
      </c>
      <c r="C2176" s="10">
        <v>46141</v>
      </c>
      <c r="D2176" t="s">
        <v>2032</v>
      </c>
      <c r="E2176" s="11">
        <v>18462213</v>
      </c>
      <c r="F2176" t="s">
        <v>959</v>
      </c>
      <c r="G2176" t="s">
        <v>960</v>
      </c>
      <c r="H2176" s="10">
        <v>46186</v>
      </c>
      <c r="I2176">
        <v>14744.44</v>
      </c>
      <c r="J2176">
        <v>0</v>
      </c>
      <c r="K2176">
        <v>14744.44</v>
      </c>
    </row>
    <row r="2177" spans="1:11" x14ac:dyDescent="0.35">
      <c r="A2177">
        <v>2000000073</v>
      </c>
      <c r="B2177">
        <v>9400004078</v>
      </c>
      <c r="C2177" s="10">
        <v>46141</v>
      </c>
      <c r="D2177" t="s">
        <v>2032</v>
      </c>
      <c r="E2177" s="11">
        <v>18472844</v>
      </c>
      <c r="F2177" t="s">
        <v>683</v>
      </c>
      <c r="G2177" t="s">
        <v>684</v>
      </c>
      <c r="H2177" s="10">
        <v>46186</v>
      </c>
      <c r="I2177">
        <v>1311216</v>
      </c>
      <c r="J2177">
        <v>0</v>
      </c>
      <c r="K2177">
        <v>1311216</v>
      </c>
    </row>
    <row r="2178" spans="1:11" x14ac:dyDescent="0.35">
      <c r="A2178">
        <v>9200000264</v>
      </c>
      <c r="B2178">
        <v>9400004077</v>
      </c>
      <c r="C2178" s="10">
        <v>46141</v>
      </c>
      <c r="D2178" t="s">
        <v>2032</v>
      </c>
      <c r="E2178" s="11">
        <v>18472701</v>
      </c>
      <c r="F2178" t="s">
        <v>725</v>
      </c>
      <c r="G2178" t="s">
        <v>726</v>
      </c>
      <c r="H2178" s="10">
        <v>46186</v>
      </c>
      <c r="I2178">
        <v>40776.76</v>
      </c>
      <c r="J2178">
        <v>0</v>
      </c>
      <c r="K2178">
        <v>40776.76</v>
      </c>
    </row>
    <row r="2179" spans="1:11" x14ac:dyDescent="0.35">
      <c r="A2179">
        <v>9200000263</v>
      </c>
      <c r="B2179">
        <v>9400004072</v>
      </c>
      <c r="C2179" s="10">
        <v>46141</v>
      </c>
      <c r="D2179" t="s">
        <v>2032</v>
      </c>
      <c r="E2179" s="11">
        <v>18472773</v>
      </c>
      <c r="F2179" t="s">
        <v>377</v>
      </c>
      <c r="G2179" t="s">
        <v>378</v>
      </c>
      <c r="H2179" s="10">
        <v>46186</v>
      </c>
      <c r="I2179">
        <v>126539.42</v>
      </c>
      <c r="J2179">
        <v>0</v>
      </c>
      <c r="K2179">
        <v>126539.42</v>
      </c>
    </row>
    <row r="2180" spans="1:11" x14ac:dyDescent="0.35">
      <c r="A2180">
        <v>9200000262</v>
      </c>
      <c r="B2180">
        <v>9400004066</v>
      </c>
      <c r="C2180" s="10">
        <v>46141</v>
      </c>
      <c r="D2180" t="s">
        <v>2032</v>
      </c>
      <c r="E2180" s="11">
        <v>18461851</v>
      </c>
      <c r="F2180" t="s">
        <v>541</v>
      </c>
      <c r="G2180" t="s">
        <v>542</v>
      </c>
      <c r="H2180" s="10">
        <v>46186</v>
      </c>
      <c r="I2180">
        <v>220816.7</v>
      </c>
      <c r="J2180">
        <v>0</v>
      </c>
      <c r="K2180">
        <v>220816.7</v>
      </c>
    </row>
    <row r="2181" spans="1:11" x14ac:dyDescent="0.35">
      <c r="A2181">
        <v>2000000072</v>
      </c>
      <c r="B2181">
        <v>9400004062</v>
      </c>
      <c r="C2181" s="10">
        <v>46141</v>
      </c>
      <c r="D2181" t="s">
        <v>2032</v>
      </c>
      <c r="E2181" s="11">
        <v>18472845</v>
      </c>
      <c r="F2181" t="s">
        <v>961</v>
      </c>
      <c r="G2181" t="s">
        <v>962</v>
      </c>
      <c r="H2181" s="10">
        <v>46156</v>
      </c>
      <c r="I2181">
        <v>178861.1</v>
      </c>
      <c r="J2181">
        <v>177422.73</v>
      </c>
      <c r="K2181">
        <v>1438.3699999999953</v>
      </c>
    </row>
    <row r="2182" spans="1:11" x14ac:dyDescent="0.35">
      <c r="A2182">
        <v>9200000259</v>
      </c>
      <c r="B2182">
        <v>9400004052</v>
      </c>
      <c r="C2182" s="10">
        <v>46141</v>
      </c>
      <c r="D2182" t="s">
        <v>2032</v>
      </c>
      <c r="E2182" s="11">
        <v>18462362</v>
      </c>
      <c r="F2182" t="s">
        <v>965</v>
      </c>
      <c r="G2182" t="s">
        <v>966</v>
      </c>
      <c r="H2182" s="10">
        <v>46186</v>
      </c>
      <c r="I2182">
        <v>138243.72</v>
      </c>
      <c r="J2182">
        <v>0</v>
      </c>
      <c r="K2182">
        <v>138243.72</v>
      </c>
    </row>
    <row r="2183" spans="1:11" x14ac:dyDescent="0.35">
      <c r="A2183">
        <v>3000000317</v>
      </c>
      <c r="B2183">
        <v>9400004049</v>
      </c>
      <c r="C2183" s="10">
        <v>46141</v>
      </c>
      <c r="D2183" t="s">
        <v>2032</v>
      </c>
      <c r="E2183" s="11">
        <v>18460764</v>
      </c>
      <c r="F2183" t="s">
        <v>237</v>
      </c>
      <c r="G2183" t="s">
        <v>238</v>
      </c>
      <c r="H2183" s="10">
        <v>46186</v>
      </c>
      <c r="I2183">
        <v>58499.199999999997</v>
      </c>
      <c r="J2183">
        <v>0</v>
      </c>
      <c r="K2183">
        <v>58499.199999999997</v>
      </c>
    </row>
    <row r="2184" spans="1:11" x14ac:dyDescent="0.35">
      <c r="A2184">
        <v>9200000258</v>
      </c>
      <c r="B2184">
        <v>9400004045</v>
      </c>
      <c r="C2184" s="10">
        <v>46141</v>
      </c>
      <c r="D2184" t="s">
        <v>2032</v>
      </c>
      <c r="E2184" s="11">
        <v>18462283</v>
      </c>
      <c r="F2184" t="s">
        <v>967</v>
      </c>
      <c r="G2184" t="s">
        <v>968</v>
      </c>
      <c r="H2184" s="10">
        <v>46186</v>
      </c>
      <c r="I2184">
        <v>89580.88</v>
      </c>
      <c r="J2184">
        <v>0</v>
      </c>
      <c r="K2184">
        <v>89580.88</v>
      </c>
    </row>
    <row r="2185" spans="1:11" x14ac:dyDescent="0.35">
      <c r="A2185">
        <v>9100000366</v>
      </c>
      <c r="B2185">
        <v>9400004044</v>
      </c>
      <c r="C2185" s="10">
        <v>46141</v>
      </c>
      <c r="D2185" t="s">
        <v>2032</v>
      </c>
      <c r="E2185" s="11">
        <v>18461872</v>
      </c>
      <c r="F2185" t="s">
        <v>969</v>
      </c>
      <c r="G2185" t="s">
        <v>970</v>
      </c>
      <c r="H2185" s="10">
        <v>46186</v>
      </c>
      <c r="I2185">
        <v>21169.9</v>
      </c>
      <c r="J2185">
        <v>0</v>
      </c>
      <c r="K2185">
        <v>21169.9</v>
      </c>
    </row>
    <row r="2186" spans="1:11" x14ac:dyDescent="0.35">
      <c r="A2186">
        <v>5100000285</v>
      </c>
      <c r="B2186">
        <v>9400004037</v>
      </c>
      <c r="C2186" s="10">
        <v>46141</v>
      </c>
      <c r="D2186" t="s">
        <v>2032</v>
      </c>
      <c r="E2186" s="11">
        <v>18461829</v>
      </c>
      <c r="F2186" t="s">
        <v>333</v>
      </c>
      <c r="G2186" t="s">
        <v>334</v>
      </c>
      <c r="H2186" s="10">
        <v>46186</v>
      </c>
      <c r="I2186">
        <v>32709.599999999999</v>
      </c>
      <c r="J2186">
        <v>0</v>
      </c>
      <c r="K2186">
        <v>32709.599999999999</v>
      </c>
    </row>
    <row r="2187" spans="1:11" x14ac:dyDescent="0.35">
      <c r="A2187">
        <v>9200000257</v>
      </c>
      <c r="B2187">
        <v>9400004036</v>
      </c>
      <c r="C2187" s="10">
        <v>46141</v>
      </c>
      <c r="D2187" t="s">
        <v>2032</v>
      </c>
      <c r="E2187" s="11">
        <v>18462012</v>
      </c>
      <c r="F2187" t="s">
        <v>971</v>
      </c>
      <c r="G2187" t="s">
        <v>972</v>
      </c>
      <c r="H2187" s="10">
        <v>46186</v>
      </c>
      <c r="I2187">
        <v>138768</v>
      </c>
      <c r="J2187">
        <v>0</v>
      </c>
      <c r="K2187">
        <v>138768</v>
      </c>
    </row>
    <row r="2188" spans="1:11" x14ac:dyDescent="0.35">
      <c r="A2188">
        <v>9200000256</v>
      </c>
      <c r="B2188">
        <v>9400004025</v>
      </c>
      <c r="C2188" s="10">
        <v>46141</v>
      </c>
      <c r="D2188" t="s">
        <v>2032</v>
      </c>
      <c r="E2188" s="11">
        <v>18462293</v>
      </c>
      <c r="F2188" t="s">
        <v>973</v>
      </c>
      <c r="G2188" t="s">
        <v>974</v>
      </c>
      <c r="H2188" s="10">
        <v>46186</v>
      </c>
      <c r="I2188">
        <v>321696.92</v>
      </c>
      <c r="J2188">
        <v>0</v>
      </c>
      <c r="K2188">
        <v>321696.92</v>
      </c>
    </row>
    <row r="2189" spans="1:11" x14ac:dyDescent="0.35">
      <c r="A2189">
        <v>9300000228</v>
      </c>
      <c r="B2189">
        <v>9400004022</v>
      </c>
      <c r="C2189" s="10">
        <v>46141</v>
      </c>
      <c r="D2189" t="s">
        <v>2032</v>
      </c>
      <c r="E2189" s="11">
        <v>18461625</v>
      </c>
      <c r="F2189" t="s">
        <v>975</v>
      </c>
      <c r="G2189" t="s">
        <v>976</v>
      </c>
      <c r="H2189" s="10">
        <v>46186</v>
      </c>
      <c r="I2189">
        <v>20093.04</v>
      </c>
      <c r="J2189">
        <v>0</v>
      </c>
      <c r="K2189">
        <v>20093.04</v>
      </c>
    </row>
    <row r="2190" spans="1:11" x14ac:dyDescent="0.35">
      <c r="A2190">
        <v>5100000281</v>
      </c>
      <c r="B2190">
        <v>9400004021</v>
      </c>
      <c r="C2190" s="10">
        <v>46141</v>
      </c>
      <c r="D2190" t="s">
        <v>2032</v>
      </c>
      <c r="E2190" s="11">
        <v>18461679</v>
      </c>
      <c r="F2190" t="s">
        <v>304</v>
      </c>
      <c r="G2190" t="s">
        <v>305</v>
      </c>
      <c r="H2190" s="10">
        <v>46186</v>
      </c>
      <c r="I2190">
        <v>47781.38</v>
      </c>
      <c r="J2190">
        <v>0</v>
      </c>
      <c r="K2190">
        <v>47781.38</v>
      </c>
    </row>
    <row r="2191" spans="1:11" x14ac:dyDescent="0.35">
      <c r="A2191">
        <v>9100000363</v>
      </c>
      <c r="B2191">
        <v>9400004017</v>
      </c>
      <c r="C2191" s="10">
        <v>46141</v>
      </c>
      <c r="D2191" t="s">
        <v>2032</v>
      </c>
      <c r="E2191" s="11">
        <v>18461541</v>
      </c>
      <c r="F2191" t="s">
        <v>793</v>
      </c>
      <c r="G2191" t="s">
        <v>794</v>
      </c>
      <c r="H2191" s="10">
        <v>46186</v>
      </c>
      <c r="I2191">
        <v>61124</v>
      </c>
      <c r="J2191">
        <v>0</v>
      </c>
      <c r="K2191">
        <v>61124</v>
      </c>
    </row>
    <row r="2192" spans="1:11" x14ac:dyDescent="0.35">
      <c r="A2192">
        <v>5100000280</v>
      </c>
      <c r="B2192">
        <v>9400004013</v>
      </c>
      <c r="C2192" s="10">
        <v>46141</v>
      </c>
      <c r="D2192" t="s">
        <v>2032</v>
      </c>
      <c r="E2192" s="11">
        <v>18461673</v>
      </c>
      <c r="F2192" t="s">
        <v>302</v>
      </c>
      <c r="G2192" t="s">
        <v>303</v>
      </c>
      <c r="H2192" s="10">
        <v>46186</v>
      </c>
      <c r="I2192">
        <v>25769.08</v>
      </c>
      <c r="J2192">
        <v>0</v>
      </c>
      <c r="K2192">
        <v>25769.08</v>
      </c>
    </row>
    <row r="2193" spans="1:11" x14ac:dyDescent="0.35">
      <c r="A2193">
        <v>9200000255</v>
      </c>
      <c r="B2193">
        <v>9400004009</v>
      </c>
      <c r="C2193" s="10">
        <v>46141</v>
      </c>
      <c r="D2193" t="s">
        <v>2032</v>
      </c>
      <c r="E2193" s="11">
        <v>18462258</v>
      </c>
      <c r="F2193" t="s">
        <v>124</v>
      </c>
      <c r="G2193" t="s">
        <v>125</v>
      </c>
      <c r="H2193" s="10">
        <v>46186</v>
      </c>
      <c r="I2193">
        <v>140370.56</v>
      </c>
      <c r="J2193">
        <v>0</v>
      </c>
      <c r="K2193">
        <v>140370.56</v>
      </c>
    </row>
    <row r="2194" spans="1:11" x14ac:dyDescent="0.35">
      <c r="A2194">
        <v>5100000279</v>
      </c>
      <c r="B2194">
        <v>9400004007</v>
      </c>
      <c r="C2194" s="10">
        <v>46141</v>
      </c>
      <c r="D2194" t="s">
        <v>2032</v>
      </c>
      <c r="E2194" s="11">
        <v>18461663</v>
      </c>
      <c r="F2194" t="s">
        <v>887</v>
      </c>
      <c r="G2194" t="s">
        <v>888</v>
      </c>
      <c r="H2194" s="10">
        <v>46186</v>
      </c>
      <c r="I2194">
        <v>16621.66</v>
      </c>
      <c r="J2194">
        <v>0</v>
      </c>
      <c r="K2194">
        <v>16621.66</v>
      </c>
    </row>
    <row r="2195" spans="1:11" x14ac:dyDescent="0.35">
      <c r="A2195">
        <v>9200000254</v>
      </c>
      <c r="B2195">
        <v>9400004005</v>
      </c>
      <c r="C2195" s="10">
        <v>46141</v>
      </c>
      <c r="D2195" t="s">
        <v>2032</v>
      </c>
      <c r="E2195" s="11">
        <v>18462004</v>
      </c>
      <c r="F2195" t="s">
        <v>977</v>
      </c>
      <c r="G2195" t="s">
        <v>978</v>
      </c>
      <c r="H2195" s="10">
        <v>46186</v>
      </c>
      <c r="I2195">
        <v>40682.5</v>
      </c>
      <c r="J2195">
        <v>0</v>
      </c>
      <c r="K2195">
        <v>40682.5</v>
      </c>
    </row>
    <row r="2196" spans="1:11" x14ac:dyDescent="0.35">
      <c r="A2196">
        <v>9300000226</v>
      </c>
      <c r="B2196">
        <v>9400004003</v>
      </c>
      <c r="C2196" s="10">
        <v>46141</v>
      </c>
      <c r="D2196" t="s">
        <v>2032</v>
      </c>
      <c r="E2196" s="11">
        <v>18461483</v>
      </c>
      <c r="F2196" t="s">
        <v>831</v>
      </c>
      <c r="G2196" t="s">
        <v>832</v>
      </c>
      <c r="H2196" s="10">
        <v>46186</v>
      </c>
      <c r="I2196">
        <v>100393.56</v>
      </c>
      <c r="J2196">
        <v>0</v>
      </c>
      <c r="K2196">
        <v>100393.56</v>
      </c>
    </row>
    <row r="2197" spans="1:11" x14ac:dyDescent="0.35">
      <c r="A2197">
        <v>5100000277</v>
      </c>
      <c r="B2197">
        <v>9400003997</v>
      </c>
      <c r="C2197" s="10">
        <v>46141</v>
      </c>
      <c r="D2197" t="s">
        <v>2032</v>
      </c>
      <c r="E2197" s="11">
        <v>18461647</v>
      </c>
      <c r="F2197" t="s">
        <v>335</v>
      </c>
      <c r="G2197" t="s">
        <v>336</v>
      </c>
      <c r="H2197" s="10">
        <v>46186</v>
      </c>
      <c r="I2197">
        <v>41788</v>
      </c>
      <c r="J2197">
        <v>0</v>
      </c>
      <c r="K2197">
        <v>41788</v>
      </c>
    </row>
    <row r="2198" spans="1:11" x14ac:dyDescent="0.35">
      <c r="A2198">
        <v>3000000313</v>
      </c>
      <c r="B2198">
        <v>9400003993</v>
      </c>
      <c r="C2198" s="10">
        <v>46141</v>
      </c>
      <c r="D2198" t="s">
        <v>2032</v>
      </c>
      <c r="E2198" s="11">
        <v>18461654</v>
      </c>
      <c r="F2198" t="s">
        <v>981</v>
      </c>
      <c r="G2198" t="s">
        <v>982</v>
      </c>
      <c r="H2198" s="10">
        <v>46186</v>
      </c>
      <c r="I2198">
        <v>31519.31</v>
      </c>
      <c r="J2198">
        <v>0</v>
      </c>
      <c r="K2198">
        <v>31519.31</v>
      </c>
    </row>
    <row r="2199" spans="1:11" x14ac:dyDescent="0.35">
      <c r="A2199">
        <v>8000000207</v>
      </c>
      <c r="B2199">
        <v>9400003990</v>
      </c>
      <c r="C2199" s="10">
        <v>46141</v>
      </c>
      <c r="D2199" t="s">
        <v>2032</v>
      </c>
      <c r="E2199" s="11">
        <v>18462265</v>
      </c>
      <c r="F2199" t="s">
        <v>721</v>
      </c>
      <c r="G2199" t="s">
        <v>722</v>
      </c>
      <c r="H2199" s="10">
        <v>46186</v>
      </c>
      <c r="I2199">
        <v>68908.06</v>
      </c>
      <c r="J2199">
        <v>0</v>
      </c>
      <c r="K2199">
        <v>68908.06</v>
      </c>
    </row>
    <row r="2200" spans="1:11" x14ac:dyDescent="0.35">
      <c r="A2200">
        <v>2300000132</v>
      </c>
      <c r="B2200">
        <v>9400003989</v>
      </c>
      <c r="C2200" s="10">
        <v>46141</v>
      </c>
      <c r="D2200" t="s">
        <v>2032</v>
      </c>
      <c r="E2200" s="11">
        <v>18462389</v>
      </c>
      <c r="F2200" t="s">
        <v>945</v>
      </c>
      <c r="G2200" t="s">
        <v>946</v>
      </c>
      <c r="H2200" s="10">
        <v>46186</v>
      </c>
      <c r="I2200">
        <v>158548.1</v>
      </c>
      <c r="J2200">
        <v>0</v>
      </c>
      <c r="K2200">
        <v>158548.1</v>
      </c>
    </row>
    <row r="2201" spans="1:11" x14ac:dyDescent="0.35">
      <c r="A2201">
        <v>9100000361</v>
      </c>
      <c r="B2201">
        <v>9400003986</v>
      </c>
      <c r="C2201" s="10">
        <v>46141</v>
      </c>
      <c r="D2201" t="s">
        <v>2032</v>
      </c>
      <c r="E2201" s="11">
        <v>18461672</v>
      </c>
      <c r="F2201" t="s">
        <v>983</v>
      </c>
      <c r="G2201" t="s">
        <v>984</v>
      </c>
      <c r="H2201" s="10">
        <v>46186</v>
      </c>
      <c r="I2201">
        <v>45787.78</v>
      </c>
      <c r="J2201">
        <v>0</v>
      </c>
      <c r="K2201">
        <v>45787.78</v>
      </c>
    </row>
    <row r="2202" spans="1:11" x14ac:dyDescent="0.35">
      <c r="A2202">
        <v>5100000276</v>
      </c>
      <c r="B2202">
        <v>9400003980</v>
      </c>
      <c r="C2202" s="10">
        <v>46141</v>
      </c>
      <c r="D2202" t="s">
        <v>2032</v>
      </c>
      <c r="E2202" s="11">
        <v>18461637</v>
      </c>
      <c r="F2202" t="s">
        <v>485</v>
      </c>
      <c r="G2202" t="s">
        <v>486</v>
      </c>
      <c r="H2202" s="10">
        <v>46186</v>
      </c>
      <c r="I2202">
        <v>136795.46</v>
      </c>
      <c r="J2202">
        <v>0</v>
      </c>
      <c r="K2202">
        <v>136795.46</v>
      </c>
    </row>
    <row r="2203" spans="1:11" x14ac:dyDescent="0.35">
      <c r="A2203">
        <v>2300000130</v>
      </c>
      <c r="B2203">
        <v>9400003978</v>
      </c>
      <c r="C2203" s="10">
        <v>46141</v>
      </c>
      <c r="D2203" t="s">
        <v>2032</v>
      </c>
      <c r="E2203" s="11">
        <v>18462400</v>
      </c>
      <c r="F2203" t="s">
        <v>675</v>
      </c>
      <c r="G2203" t="s">
        <v>676</v>
      </c>
      <c r="H2203" s="10">
        <v>46186</v>
      </c>
      <c r="I2203">
        <v>33040</v>
      </c>
      <c r="J2203">
        <v>0</v>
      </c>
      <c r="K2203">
        <v>33040</v>
      </c>
    </row>
    <row r="2204" spans="1:11" x14ac:dyDescent="0.35">
      <c r="A2204">
        <v>8000000203</v>
      </c>
      <c r="B2204">
        <v>9400003976</v>
      </c>
      <c r="C2204" s="10">
        <v>46141</v>
      </c>
      <c r="D2204" t="s">
        <v>2032</v>
      </c>
      <c r="E2204" s="11">
        <v>18461943</v>
      </c>
      <c r="F2204" t="s">
        <v>745</v>
      </c>
      <c r="G2204" t="s">
        <v>746</v>
      </c>
      <c r="H2204" s="10">
        <v>46186</v>
      </c>
      <c r="I2204">
        <v>10943.32</v>
      </c>
      <c r="J2204">
        <v>0</v>
      </c>
      <c r="K2204">
        <v>10943.32</v>
      </c>
    </row>
    <row r="2205" spans="1:11" x14ac:dyDescent="0.35">
      <c r="A2205">
        <v>3000000310</v>
      </c>
      <c r="B2205">
        <v>9400003973</v>
      </c>
      <c r="C2205" s="10">
        <v>46141</v>
      </c>
      <c r="D2205" t="s">
        <v>2032</v>
      </c>
      <c r="E2205" s="11">
        <v>18472644</v>
      </c>
      <c r="F2205" t="s">
        <v>985</v>
      </c>
      <c r="G2205" t="s">
        <v>986</v>
      </c>
      <c r="H2205" s="10">
        <v>46141</v>
      </c>
      <c r="I2205">
        <v>15142.9</v>
      </c>
      <c r="J2205">
        <v>14827.53</v>
      </c>
      <c r="K2205">
        <v>315.36999999999898</v>
      </c>
    </row>
    <row r="2206" spans="1:11" x14ac:dyDescent="0.35">
      <c r="A2206">
        <v>2710000225</v>
      </c>
      <c r="B2206">
        <v>9400003951</v>
      </c>
      <c r="C2206" s="10">
        <v>46141</v>
      </c>
      <c r="D2206" t="s">
        <v>2032</v>
      </c>
      <c r="E2206" s="11">
        <v>18429117</v>
      </c>
      <c r="F2206" t="s">
        <v>84</v>
      </c>
      <c r="G2206" t="s">
        <v>85</v>
      </c>
      <c r="H2206" s="10">
        <v>46186</v>
      </c>
      <c r="I2206">
        <v>58890.68</v>
      </c>
      <c r="J2206">
        <v>0</v>
      </c>
      <c r="K2206">
        <v>58890.68</v>
      </c>
    </row>
    <row r="2207" spans="1:11" x14ac:dyDescent="0.35">
      <c r="A2207">
        <v>9200000249</v>
      </c>
      <c r="B2207">
        <v>9400003940</v>
      </c>
      <c r="C2207" s="10">
        <v>46141</v>
      </c>
      <c r="D2207" t="s">
        <v>2032</v>
      </c>
      <c r="E2207" s="11">
        <v>18461461</v>
      </c>
      <c r="F2207" t="s">
        <v>635</v>
      </c>
      <c r="G2207" t="s">
        <v>636</v>
      </c>
      <c r="H2207" s="10">
        <v>46186</v>
      </c>
      <c r="I2207">
        <v>29199.02</v>
      </c>
      <c r="J2207">
        <v>0</v>
      </c>
      <c r="K2207">
        <v>29199.02</v>
      </c>
    </row>
    <row r="2208" spans="1:11" x14ac:dyDescent="0.35">
      <c r="A2208">
        <v>9300000225</v>
      </c>
      <c r="B2208">
        <v>9400003932</v>
      </c>
      <c r="C2208" s="10">
        <v>46141</v>
      </c>
      <c r="D2208" t="s">
        <v>2032</v>
      </c>
      <c r="E2208" s="11">
        <v>18461520</v>
      </c>
      <c r="F2208" t="s">
        <v>172</v>
      </c>
      <c r="G2208" t="s">
        <v>173</v>
      </c>
      <c r="H2208" s="10">
        <v>46186</v>
      </c>
      <c r="I2208">
        <v>29536.76</v>
      </c>
      <c r="J2208">
        <v>0</v>
      </c>
      <c r="K2208">
        <v>29536.76</v>
      </c>
    </row>
    <row r="2209" spans="1:11" x14ac:dyDescent="0.35">
      <c r="A2209">
        <v>5100000273</v>
      </c>
      <c r="B2209">
        <v>9400003927</v>
      </c>
      <c r="C2209" s="10">
        <v>46141</v>
      </c>
      <c r="D2209" t="s">
        <v>2032</v>
      </c>
      <c r="E2209" s="11">
        <v>18440321</v>
      </c>
      <c r="F2209" t="s">
        <v>298</v>
      </c>
      <c r="G2209" t="s">
        <v>299</v>
      </c>
      <c r="H2209" s="10">
        <v>46186</v>
      </c>
      <c r="I2209">
        <v>73.39</v>
      </c>
      <c r="J2209">
        <v>0</v>
      </c>
      <c r="K2209">
        <v>73.39</v>
      </c>
    </row>
    <row r="2210" spans="1:11" x14ac:dyDescent="0.35">
      <c r="A2210">
        <v>9200000247</v>
      </c>
      <c r="B2210">
        <v>9400003924</v>
      </c>
      <c r="C2210" s="10">
        <v>46141</v>
      </c>
      <c r="D2210" t="s">
        <v>2032</v>
      </c>
      <c r="E2210" s="11">
        <v>18462168</v>
      </c>
      <c r="F2210" t="s">
        <v>51</v>
      </c>
      <c r="G2210" t="s">
        <v>52</v>
      </c>
      <c r="H2210" s="10">
        <v>46186</v>
      </c>
      <c r="I2210">
        <v>17319.099999999999</v>
      </c>
      <c r="J2210">
        <v>0</v>
      </c>
      <c r="K2210">
        <v>17319.099999999999</v>
      </c>
    </row>
    <row r="2211" spans="1:11" x14ac:dyDescent="0.35">
      <c r="A2211">
        <v>2720000105</v>
      </c>
      <c r="B2211">
        <v>9400003913</v>
      </c>
      <c r="C2211" s="10">
        <v>46141</v>
      </c>
      <c r="D2211" t="s">
        <v>2032</v>
      </c>
      <c r="E2211" s="11">
        <v>18461575</v>
      </c>
      <c r="F2211" t="s">
        <v>162</v>
      </c>
      <c r="G2211" t="s">
        <v>163</v>
      </c>
      <c r="H2211" s="10">
        <v>46186</v>
      </c>
      <c r="I2211">
        <v>72175.179999999993</v>
      </c>
      <c r="J2211">
        <v>0</v>
      </c>
      <c r="K2211">
        <v>72175.179999999993</v>
      </c>
    </row>
    <row r="2212" spans="1:11" x14ac:dyDescent="0.35">
      <c r="A2212">
        <v>9100000357</v>
      </c>
      <c r="B2212">
        <v>9400003909</v>
      </c>
      <c r="C2212" s="10">
        <v>46141</v>
      </c>
      <c r="D2212" t="s">
        <v>2032</v>
      </c>
      <c r="E2212" s="11">
        <v>18461551</v>
      </c>
      <c r="F2212" t="s">
        <v>247</v>
      </c>
      <c r="G2212" t="s">
        <v>248</v>
      </c>
      <c r="H2212" s="10">
        <v>46186</v>
      </c>
      <c r="I2212">
        <v>90372.9</v>
      </c>
      <c r="J2212">
        <v>0</v>
      </c>
      <c r="K2212">
        <v>90372.9</v>
      </c>
    </row>
    <row r="2213" spans="1:11" x14ac:dyDescent="0.35">
      <c r="A2213">
        <v>3000000302</v>
      </c>
      <c r="B2213">
        <v>9400003908</v>
      </c>
      <c r="C2213" s="10">
        <v>46141</v>
      </c>
      <c r="D2213" t="s">
        <v>2032</v>
      </c>
      <c r="E2213" s="11">
        <v>18461759</v>
      </c>
      <c r="F2213" t="s">
        <v>511</v>
      </c>
      <c r="G2213" t="s">
        <v>512</v>
      </c>
      <c r="H2213" s="10">
        <v>46186</v>
      </c>
      <c r="I2213">
        <v>50513.64</v>
      </c>
      <c r="J2213">
        <v>0</v>
      </c>
      <c r="K2213">
        <v>50513.64</v>
      </c>
    </row>
    <row r="2214" spans="1:11" x14ac:dyDescent="0.35">
      <c r="A2214">
        <v>2710000224</v>
      </c>
      <c r="B2214">
        <v>9400003906</v>
      </c>
      <c r="C2214" s="10">
        <v>46141</v>
      </c>
      <c r="D2214" t="s">
        <v>2032</v>
      </c>
      <c r="E2214" s="11">
        <v>18461497</v>
      </c>
      <c r="F2214" t="s">
        <v>148</v>
      </c>
      <c r="G2214" t="s">
        <v>149</v>
      </c>
      <c r="H2214" s="10">
        <v>46186</v>
      </c>
      <c r="I2214">
        <v>18925.2</v>
      </c>
      <c r="J2214">
        <v>0</v>
      </c>
      <c r="K2214">
        <v>18925.2</v>
      </c>
    </row>
    <row r="2215" spans="1:11" x14ac:dyDescent="0.35">
      <c r="A2215">
        <v>2710000219</v>
      </c>
      <c r="B2215">
        <v>9400003898</v>
      </c>
      <c r="C2215" s="10">
        <v>46141</v>
      </c>
      <c r="D2215" t="s">
        <v>2032</v>
      </c>
      <c r="E2215" s="11">
        <v>18440366</v>
      </c>
      <c r="F2215" t="s">
        <v>66</v>
      </c>
      <c r="G2215" t="s">
        <v>67</v>
      </c>
      <c r="H2215" s="10">
        <v>46186</v>
      </c>
      <c r="I2215">
        <v>93180.59</v>
      </c>
      <c r="J2215">
        <v>0</v>
      </c>
      <c r="K2215">
        <v>93180.59</v>
      </c>
    </row>
    <row r="2216" spans="1:11" x14ac:dyDescent="0.35">
      <c r="A2216">
        <v>5100000271</v>
      </c>
      <c r="B2216">
        <v>9400003871</v>
      </c>
      <c r="C2216" s="10">
        <v>46141</v>
      </c>
      <c r="D2216" t="s">
        <v>2032</v>
      </c>
      <c r="E2216" s="11">
        <v>18461356</v>
      </c>
      <c r="F2216" t="s">
        <v>211</v>
      </c>
      <c r="G2216" t="s">
        <v>212</v>
      </c>
      <c r="H2216" s="10">
        <v>46186</v>
      </c>
      <c r="I2216">
        <v>134425.13</v>
      </c>
      <c r="J2216">
        <v>0</v>
      </c>
      <c r="K2216">
        <v>134425.13</v>
      </c>
    </row>
    <row r="2217" spans="1:11" x14ac:dyDescent="0.35">
      <c r="A2217">
        <v>8000000193</v>
      </c>
      <c r="B2217">
        <v>9400003869</v>
      </c>
      <c r="C2217" s="10">
        <v>46141</v>
      </c>
      <c r="D2217" t="s">
        <v>2032</v>
      </c>
      <c r="E2217" s="11">
        <v>18462058</v>
      </c>
      <c r="F2217" t="s">
        <v>991</v>
      </c>
      <c r="G2217" t="s">
        <v>992</v>
      </c>
      <c r="H2217" s="10">
        <v>46186</v>
      </c>
      <c r="I2217">
        <v>47815.74</v>
      </c>
      <c r="J2217">
        <v>0</v>
      </c>
      <c r="K2217">
        <v>47815.74</v>
      </c>
    </row>
    <row r="2218" spans="1:11" x14ac:dyDescent="0.35">
      <c r="A2218">
        <v>9200000244</v>
      </c>
      <c r="B2218">
        <v>9400003859</v>
      </c>
      <c r="C2218" s="10">
        <v>46141</v>
      </c>
      <c r="D2218" t="s">
        <v>2032</v>
      </c>
      <c r="E2218" s="11">
        <v>18460900</v>
      </c>
      <c r="F2218" t="s">
        <v>231</v>
      </c>
      <c r="G2218" t="s">
        <v>232</v>
      </c>
      <c r="H2218" s="10">
        <v>46186</v>
      </c>
      <c r="I2218">
        <v>93277.82</v>
      </c>
      <c r="J2218">
        <v>0</v>
      </c>
      <c r="K2218">
        <v>93277.82</v>
      </c>
    </row>
    <row r="2219" spans="1:11" x14ac:dyDescent="0.35">
      <c r="A2219">
        <v>8000000185</v>
      </c>
      <c r="B2219">
        <v>9400003858</v>
      </c>
      <c r="C2219" s="10">
        <v>46141</v>
      </c>
      <c r="D2219" t="s">
        <v>2032</v>
      </c>
      <c r="E2219" s="11">
        <v>18461848</v>
      </c>
      <c r="F2219" t="s">
        <v>403</v>
      </c>
      <c r="G2219" t="s">
        <v>404</v>
      </c>
      <c r="H2219" s="10">
        <v>46186</v>
      </c>
      <c r="I2219">
        <v>62238.92</v>
      </c>
      <c r="J2219">
        <v>0</v>
      </c>
      <c r="K2219">
        <v>62238.92</v>
      </c>
    </row>
    <row r="2220" spans="1:11" x14ac:dyDescent="0.35">
      <c r="A2220">
        <v>9200000240</v>
      </c>
      <c r="B2220">
        <v>9400003843</v>
      </c>
      <c r="C2220" s="10">
        <v>46141</v>
      </c>
      <c r="D2220" t="s">
        <v>2032</v>
      </c>
      <c r="E2220" s="11">
        <v>18461560</v>
      </c>
      <c r="F2220" t="s">
        <v>124</v>
      </c>
      <c r="G2220" t="s">
        <v>125</v>
      </c>
      <c r="H2220" s="10">
        <v>46186</v>
      </c>
      <c r="I2220">
        <v>12537.22</v>
      </c>
      <c r="J2220">
        <v>0</v>
      </c>
      <c r="K2220">
        <v>12537.22</v>
      </c>
    </row>
    <row r="2221" spans="1:11" x14ac:dyDescent="0.35">
      <c r="A2221">
        <v>9300000222</v>
      </c>
      <c r="B2221">
        <v>9400003839</v>
      </c>
      <c r="C2221" s="10">
        <v>46141</v>
      </c>
      <c r="D2221" t="s">
        <v>2032</v>
      </c>
      <c r="E2221" s="11">
        <v>18460770</v>
      </c>
      <c r="F2221" t="s">
        <v>539</v>
      </c>
      <c r="G2221" t="s">
        <v>540</v>
      </c>
      <c r="H2221" s="10">
        <v>46186</v>
      </c>
      <c r="I2221">
        <v>20093.04</v>
      </c>
      <c r="J2221">
        <v>0</v>
      </c>
      <c r="K2221">
        <v>20093.04</v>
      </c>
    </row>
    <row r="2222" spans="1:11" x14ac:dyDescent="0.35">
      <c r="A2222">
        <v>2300000125</v>
      </c>
      <c r="B2222">
        <v>9400003832</v>
      </c>
      <c r="C2222" s="10">
        <v>46141</v>
      </c>
      <c r="D2222" t="s">
        <v>2032</v>
      </c>
      <c r="E2222" s="11">
        <v>18461803</v>
      </c>
      <c r="F2222" t="s">
        <v>655</v>
      </c>
      <c r="G2222" t="s">
        <v>656</v>
      </c>
      <c r="H2222" s="10">
        <v>46186</v>
      </c>
      <c r="I2222">
        <v>168438.76</v>
      </c>
      <c r="J2222">
        <v>0</v>
      </c>
      <c r="K2222">
        <v>168438.76</v>
      </c>
    </row>
    <row r="2223" spans="1:11" x14ac:dyDescent="0.35">
      <c r="A2223">
        <v>2300000124</v>
      </c>
      <c r="B2223">
        <v>9400003830</v>
      </c>
      <c r="C2223" s="10">
        <v>46141</v>
      </c>
      <c r="D2223" t="s">
        <v>2032</v>
      </c>
      <c r="E2223" s="11">
        <v>18461777</v>
      </c>
      <c r="F2223" t="s">
        <v>463</v>
      </c>
      <c r="G2223" t="s">
        <v>464</v>
      </c>
      <c r="H2223" s="10">
        <v>46186</v>
      </c>
      <c r="I2223">
        <v>150927.20000000001</v>
      </c>
      <c r="J2223">
        <v>0</v>
      </c>
      <c r="K2223">
        <v>150927.20000000001</v>
      </c>
    </row>
    <row r="2224" spans="1:11" x14ac:dyDescent="0.35">
      <c r="A2224">
        <v>9300000220</v>
      </c>
      <c r="B2224">
        <v>9400003826</v>
      </c>
      <c r="C2224" s="10">
        <v>46141</v>
      </c>
      <c r="D2224" t="s">
        <v>2032</v>
      </c>
      <c r="E2224" s="11">
        <v>18440092</v>
      </c>
      <c r="F2224" t="s">
        <v>993</v>
      </c>
      <c r="G2224" t="s">
        <v>994</v>
      </c>
      <c r="H2224" s="10">
        <v>46186</v>
      </c>
      <c r="I2224">
        <v>24289.119999999999</v>
      </c>
      <c r="J2224">
        <v>0</v>
      </c>
      <c r="K2224">
        <v>24289.119999999999</v>
      </c>
    </row>
    <row r="2225" spans="1:11" x14ac:dyDescent="0.35">
      <c r="A2225">
        <v>9100000350</v>
      </c>
      <c r="B2225">
        <v>9400003825</v>
      </c>
      <c r="C2225" s="10">
        <v>46141</v>
      </c>
      <c r="D2225" t="s">
        <v>2032</v>
      </c>
      <c r="E2225" s="11">
        <v>18440362</v>
      </c>
      <c r="F2225" t="s">
        <v>200</v>
      </c>
      <c r="G2225" t="s">
        <v>201</v>
      </c>
      <c r="H2225" s="10">
        <v>46186</v>
      </c>
      <c r="I2225">
        <v>73472.94</v>
      </c>
      <c r="J2225">
        <v>0</v>
      </c>
      <c r="K2225">
        <v>73472.94</v>
      </c>
    </row>
    <row r="2226" spans="1:11" x14ac:dyDescent="0.35">
      <c r="A2226">
        <v>8000000181</v>
      </c>
      <c r="B2226">
        <v>9400003821</v>
      </c>
      <c r="C2226" s="10">
        <v>46141</v>
      </c>
      <c r="D2226" t="s">
        <v>2032</v>
      </c>
      <c r="E2226" s="11">
        <v>18461667</v>
      </c>
      <c r="F2226" t="s">
        <v>265</v>
      </c>
      <c r="G2226" t="s">
        <v>266</v>
      </c>
      <c r="H2226" s="10">
        <v>46186</v>
      </c>
      <c r="I2226">
        <v>45901.06</v>
      </c>
      <c r="J2226">
        <v>0</v>
      </c>
      <c r="K2226">
        <v>45901.06</v>
      </c>
    </row>
    <row r="2227" spans="1:11" x14ac:dyDescent="0.35">
      <c r="A2227">
        <v>9300000219</v>
      </c>
      <c r="B2227">
        <v>9400003820</v>
      </c>
      <c r="C2227" s="10">
        <v>46141</v>
      </c>
      <c r="D2227" t="s">
        <v>2032</v>
      </c>
      <c r="E2227" s="11">
        <v>18460667</v>
      </c>
      <c r="F2227" t="s">
        <v>555</v>
      </c>
      <c r="G2227" t="s">
        <v>556</v>
      </c>
      <c r="H2227" s="10">
        <v>46186</v>
      </c>
      <c r="I2227">
        <v>175845.56</v>
      </c>
      <c r="J2227">
        <v>0</v>
      </c>
      <c r="K2227">
        <v>175845.56</v>
      </c>
    </row>
    <row r="2228" spans="1:11" x14ac:dyDescent="0.35">
      <c r="A2228">
        <v>8000000178</v>
      </c>
      <c r="B2228">
        <v>9400003817</v>
      </c>
      <c r="C2228" s="10">
        <v>46141</v>
      </c>
      <c r="D2228" t="s">
        <v>2032</v>
      </c>
      <c r="E2228" s="11">
        <v>18461532</v>
      </c>
      <c r="F2228" t="s">
        <v>719</v>
      </c>
      <c r="G2228" t="s">
        <v>720</v>
      </c>
      <c r="H2228" s="10">
        <v>46186</v>
      </c>
      <c r="I2228">
        <v>13084.44</v>
      </c>
      <c r="J2228">
        <v>0</v>
      </c>
      <c r="K2228">
        <v>13084.44</v>
      </c>
    </row>
    <row r="2229" spans="1:11" x14ac:dyDescent="0.35">
      <c r="A2229">
        <v>9200000236</v>
      </c>
      <c r="B2229">
        <v>9400003814</v>
      </c>
      <c r="C2229" s="10">
        <v>46141</v>
      </c>
      <c r="D2229" t="s">
        <v>2032</v>
      </c>
      <c r="E2229" s="11">
        <v>18440295</v>
      </c>
      <c r="F2229" t="s">
        <v>51</v>
      </c>
      <c r="G2229" t="s">
        <v>52</v>
      </c>
      <c r="H2229" s="10">
        <v>46186</v>
      </c>
      <c r="I2229">
        <v>37778.42</v>
      </c>
      <c r="J2229">
        <v>0</v>
      </c>
      <c r="K2229">
        <v>37778.42</v>
      </c>
    </row>
    <row r="2230" spans="1:11" x14ac:dyDescent="0.35">
      <c r="A2230">
        <v>7000000148</v>
      </c>
      <c r="B2230">
        <v>9400003797</v>
      </c>
      <c r="C2230" s="10">
        <v>46141</v>
      </c>
      <c r="D2230" t="s">
        <v>2032</v>
      </c>
      <c r="E2230" s="11">
        <v>18461714</v>
      </c>
      <c r="F2230" t="s">
        <v>637</v>
      </c>
      <c r="G2230" t="s">
        <v>638</v>
      </c>
      <c r="H2230" s="10">
        <v>46186</v>
      </c>
      <c r="I2230">
        <v>6959.88</v>
      </c>
      <c r="J2230">
        <v>0</v>
      </c>
      <c r="K2230">
        <v>6959.88</v>
      </c>
    </row>
    <row r="2231" spans="1:11" x14ac:dyDescent="0.35">
      <c r="A2231">
        <v>9200000232</v>
      </c>
      <c r="B2231">
        <v>9400003796</v>
      </c>
      <c r="C2231" s="10">
        <v>46141</v>
      </c>
      <c r="D2231" t="s">
        <v>2032</v>
      </c>
      <c r="E2231" s="11">
        <v>18439996</v>
      </c>
      <c r="F2231" t="s">
        <v>158</v>
      </c>
      <c r="G2231" t="s">
        <v>159</v>
      </c>
      <c r="H2231" s="10">
        <v>46186</v>
      </c>
      <c r="I2231">
        <v>61354.58</v>
      </c>
      <c r="J2231">
        <v>0</v>
      </c>
      <c r="K2231">
        <v>61354.58</v>
      </c>
    </row>
    <row r="2232" spans="1:11" x14ac:dyDescent="0.35">
      <c r="B2232">
        <v>1400003284</v>
      </c>
      <c r="C2232" s="10">
        <v>46141</v>
      </c>
      <c r="D2232" t="s">
        <v>2037</v>
      </c>
      <c r="E2232" s="11">
        <v>152</v>
      </c>
      <c r="F2232" t="s">
        <v>101</v>
      </c>
      <c r="G2232" t="s">
        <v>102</v>
      </c>
      <c r="H2232" s="10">
        <v>46141</v>
      </c>
      <c r="I2232">
        <v>193700</v>
      </c>
      <c r="J2232">
        <v>0</v>
      </c>
      <c r="K2232">
        <v>193700</v>
      </c>
    </row>
    <row r="2233" spans="1:11" x14ac:dyDescent="0.35">
      <c r="A2233">
        <v>3000000293</v>
      </c>
      <c r="B2233">
        <v>9400003741</v>
      </c>
      <c r="C2233" s="10">
        <v>46140</v>
      </c>
      <c r="D2233" t="s">
        <v>2032</v>
      </c>
      <c r="E2233" s="11">
        <v>18460749</v>
      </c>
      <c r="F2233" t="s">
        <v>1001</v>
      </c>
      <c r="G2233" t="s">
        <v>1002</v>
      </c>
      <c r="H2233" s="10">
        <v>46185</v>
      </c>
      <c r="I2233">
        <v>192986.64</v>
      </c>
      <c r="J2233">
        <v>0</v>
      </c>
      <c r="K2233">
        <v>192986.64</v>
      </c>
    </row>
    <row r="2234" spans="1:11" x14ac:dyDescent="0.35">
      <c r="A2234">
        <v>5100000268</v>
      </c>
      <c r="B2234">
        <v>9400003738</v>
      </c>
      <c r="C2234" s="10">
        <v>46140</v>
      </c>
      <c r="D2234" t="s">
        <v>2032</v>
      </c>
      <c r="E2234" s="11">
        <v>18440321</v>
      </c>
      <c r="F2234" t="s">
        <v>298</v>
      </c>
      <c r="G2234" t="s">
        <v>299</v>
      </c>
      <c r="H2234" s="10">
        <v>46185</v>
      </c>
      <c r="I2234">
        <v>255076.52</v>
      </c>
      <c r="J2234">
        <v>0</v>
      </c>
      <c r="K2234">
        <v>255076.52</v>
      </c>
    </row>
    <row r="2235" spans="1:11" x14ac:dyDescent="0.35">
      <c r="A2235">
        <v>5100000266</v>
      </c>
      <c r="B2235">
        <v>9400003736</v>
      </c>
      <c r="C2235" s="10">
        <v>46140</v>
      </c>
      <c r="D2235" t="s">
        <v>2032</v>
      </c>
      <c r="E2235" s="11">
        <v>18460895</v>
      </c>
      <c r="F2235" t="s">
        <v>931</v>
      </c>
      <c r="G2235" t="s">
        <v>932</v>
      </c>
      <c r="H2235" s="10">
        <v>46185</v>
      </c>
      <c r="I2235">
        <v>68693.240000000005</v>
      </c>
      <c r="J2235">
        <v>0</v>
      </c>
      <c r="K2235">
        <v>68693.240000000005</v>
      </c>
    </row>
    <row r="2236" spans="1:11" x14ac:dyDescent="0.35">
      <c r="A2236">
        <v>5100000265</v>
      </c>
      <c r="B2236">
        <v>9400003735</v>
      </c>
      <c r="C2236" s="10">
        <v>46140</v>
      </c>
      <c r="D2236" t="s">
        <v>2032</v>
      </c>
      <c r="E2236" s="11">
        <v>18460804</v>
      </c>
      <c r="F2236" t="s">
        <v>911</v>
      </c>
      <c r="G2236" t="s">
        <v>912</v>
      </c>
      <c r="H2236" s="10">
        <v>46185</v>
      </c>
      <c r="I2236">
        <v>135329.62</v>
      </c>
      <c r="J2236">
        <v>0</v>
      </c>
      <c r="K2236">
        <v>135329.62</v>
      </c>
    </row>
    <row r="2237" spans="1:11" x14ac:dyDescent="0.35">
      <c r="A2237">
        <v>5100000264</v>
      </c>
      <c r="B2237">
        <v>9400003733</v>
      </c>
      <c r="C2237" s="10">
        <v>46140</v>
      </c>
      <c r="D2237" t="s">
        <v>2032</v>
      </c>
      <c r="E2237" s="11">
        <v>18450503</v>
      </c>
      <c r="F2237" t="s">
        <v>715</v>
      </c>
      <c r="G2237" t="s">
        <v>716</v>
      </c>
      <c r="H2237" s="10">
        <v>46185</v>
      </c>
      <c r="I2237">
        <v>78223.98</v>
      </c>
      <c r="J2237">
        <v>0</v>
      </c>
      <c r="K2237">
        <v>78223.98</v>
      </c>
    </row>
    <row r="2238" spans="1:11" x14ac:dyDescent="0.35">
      <c r="A2238">
        <v>5100000262</v>
      </c>
      <c r="B2238">
        <v>9400003731</v>
      </c>
      <c r="C2238" s="10">
        <v>46140</v>
      </c>
      <c r="D2238" t="s">
        <v>2032</v>
      </c>
      <c r="E2238" s="12">
        <v>184606991842897</v>
      </c>
      <c r="F2238" t="s">
        <v>455</v>
      </c>
      <c r="G2238" t="s">
        <v>456</v>
      </c>
      <c r="H2238" s="10">
        <v>46185</v>
      </c>
      <c r="I2238">
        <v>120360.7</v>
      </c>
      <c r="J2238">
        <v>0</v>
      </c>
      <c r="K2238">
        <v>120360.7</v>
      </c>
    </row>
    <row r="2239" spans="1:11" x14ac:dyDescent="0.35">
      <c r="A2239">
        <v>5200000095</v>
      </c>
      <c r="B2239">
        <v>9400003729</v>
      </c>
      <c r="C2239" s="10">
        <v>46140</v>
      </c>
      <c r="D2239" t="s">
        <v>2032</v>
      </c>
      <c r="E2239" s="11">
        <v>18460677</v>
      </c>
      <c r="F2239" t="s">
        <v>779</v>
      </c>
      <c r="G2239" t="s">
        <v>780</v>
      </c>
      <c r="H2239" s="10">
        <v>46185</v>
      </c>
      <c r="I2239">
        <v>47579.64</v>
      </c>
      <c r="J2239">
        <v>0</v>
      </c>
      <c r="K2239">
        <v>47579.64</v>
      </c>
    </row>
    <row r="2240" spans="1:11" x14ac:dyDescent="0.35">
      <c r="A2240">
        <v>2720000101</v>
      </c>
      <c r="B2240">
        <v>9400003728</v>
      </c>
      <c r="C2240" s="10">
        <v>46140</v>
      </c>
      <c r="D2240" t="s">
        <v>2032</v>
      </c>
      <c r="E2240" s="11">
        <v>18460756</v>
      </c>
      <c r="F2240" t="s">
        <v>58</v>
      </c>
      <c r="G2240" t="s">
        <v>59</v>
      </c>
      <c r="H2240" s="10">
        <v>46185</v>
      </c>
      <c r="I2240">
        <v>69241.460000000006</v>
      </c>
      <c r="J2240">
        <v>0</v>
      </c>
      <c r="K2240">
        <v>69241.460000000006</v>
      </c>
    </row>
    <row r="2241" spans="1:11" x14ac:dyDescent="0.35">
      <c r="A2241">
        <v>5100000258</v>
      </c>
      <c r="B2241">
        <v>9400003714</v>
      </c>
      <c r="C2241" s="10">
        <v>46140</v>
      </c>
      <c r="D2241" t="s">
        <v>2032</v>
      </c>
      <c r="E2241" s="11">
        <v>18450562</v>
      </c>
      <c r="F2241" t="s">
        <v>987</v>
      </c>
      <c r="G2241" t="s">
        <v>988</v>
      </c>
      <c r="H2241" s="10">
        <v>46185</v>
      </c>
      <c r="I2241">
        <v>5663.44</v>
      </c>
      <c r="J2241">
        <v>0</v>
      </c>
      <c r="K2241">
        <v>5663.44</v>
      </c>
    </row>
    <row r="2242" spans="1:11" x14ac:dyDescent="0.35">
      <c r="A2242">
        <v>2720000099</v>
      </c>
      <c r="B2242">
        <v>9400003708</v>
      </c>
      <c r="C2242" s="10">
        <v>46140</v>
      </c>
      <c r="D2242" t="s">
        <v>2032</v>
      </c>
      <c r="E2242" s="11">
        <v>18440338</v>
      </c>
      <c r="F2242" t="s">
        <v>547</v>
      </c>
      <c r="G2242" t="s">
        <v>548</v>
      </c>
      <c r="H2242" s="10">
        <v>46185</v>
      </c>
      <c r="I2242">
        <v>134268.9</v>
      </c>
      <c r="J2242">
        <v>0</v>
      </c>
      <c r="K2242">
        <v>134268.9</v>
      </c>
    </row>
    <row r="2243" spans="1:11" x14ac:dyDescent="0.35">
      <c r="A2243">
        <v>9300000215</v>
      </c>
      <c r="B2243">
        <v>9400003700</v>
      </c>
      <c r="C2243" s="10">
        <v>46140</v>
      </c>
      <c r="D2243" t="s">
        <v>2032</v>
      </c>
      <c r="E2243" s="11">
        <v>18440308</v>
      </c>
      <c r="F2243" t="s">
        <v>1003</v>
      </c>
      <c r="G2243" t="s">
        <v>1004</v>
      </c>
      <c r="H2243" s="10">
        <v>46185</v>
      </c>
      <c r="I2243">
        <v>20236.91</v>
      </c>
      <c r="J2243">
        <v>0</v>
      </c>
      <c r="K2243">
        <v>20236.91</v>
      </c>
    </row>
    <row r="2244" spans="1:11" x14ac:dyDescent="0.35">
      <c r="A2244">
        <v>3000000288</v>
      </c>
      <c r="B2244">
        <v>9400003698</v>
      </c>
      <c r="C2244" s="10">
        <v>46140</v>
      </c>
      <c r="D2244" t="s">
        <v>2032</v>
      </c>
      <c r="E2244" s="11">
        <v>18460849</v>
      </c>
      <c r="F2244" t="s">
        <v>94</v>
      </c>
      <c r="G2244" t="s">
        <v>95</v>
      </c>
      <c r="H2244" s="10">
        <v>46185</v>
      </c>
      <c r="I2244">
        <v>62566.5</v>
      </c>
      <c r="J2244">
        <v>0</v>
      </c>
      <c r="K2244">
        <v>62566.5</v>
      </c>
    </row>
    <row r="2245" spans="1:11" x14ac:dyDescent="0.35">
      <c r="A2245">
        <v>2720000097</v>
      </c>
      <c r="B2245">
        <v>9400003696</v>
      </c>
      <c r="C2245" s="10">
        <v>46140</v>
      </c>
      <c r="D2245" t="s">
        <v>2032</v>
      </c>
      <c r="E2245" s="11">
        <v>18440307</v>
      </c>
      <c r="F2245" t="s">
        <v>545</v>
      </c>
      <c r="G2245" t="s">
        <v>546</v>
      </c>
      <c r="H2245" s="10">
        <v>46185</v>
      </c>
      <c r="I2245">
        <v>66587.399999999994</v>
      </c>
      <c r="J2245">
        <v>0</v>
      </c>
      <c r="K2245">
        <v>66587.399999999994</v>
      </c>
    </row>
    <row r="2246" spans="1:11" x14ac:dyDescent="0.35">
      <c r="A2246">
        <v>5200000091</v>
      </c>
      <c r="B2246">
        <v>9400003689</v>
      </c>
      <c r="C2246" s="10">
        <v>46140</v>
      </c>
      <c r="D2246" t="s">
        <v>2032</v>
      </c>
      <c r="E2246" s="11">
        <v>18338437</v>
      </c>
      <c r="F2246" t="s">
        <v>326</v>
      </c>
      <c r="G2246" t="s">
        <v>327</v>
      </c>
      <c r="H2246" s="10">
        <v>46185</v>
      </c>
      <c r="I2246">
        <v>96494.5</v>
      </c>
      <c r="J2246">
        <v>0</v>
      </c>
      <c r="K2246">
        <v>96494.5</v>
      </c>
    </row>
    <row r="2247" spans="1:11" x14ac:dyDescent="0.35">
      <c r="A2247">
        <v>2720000093</v>
      </c>
      <c r="B2247">
        <v>9400003678</v>
      </c>
      <c r="C2247" s="10">
        <v>46140</v>
      </c>
      <c r="D2247" t="s">
        <v>2032</v>
      </c>
      <c r="E2247" s="11">
        <v>18428954</v>
      </c>
      <c r="F2247" t="s">
        <v>261</v>
      </c>
      <c r="G2247" t="s">
        <v>262</v>
      </c>
      <c r="H2247" s="10">
        <v>46185</v>
      </c>
      <c r="I2247">
        <v>10046.52</v>
      </c>
      <c r="J2247">
        <v>0</v>
      </c>
      <c r="K2247">
        <v>10046.52</v>
      </c>
    </row>
    <row r="2248" spans="1:11" x14ac:dyDescent="0.35">
      <c r="A2248">
        <v>9300000213</v>
      </c>
      <c r="B2248">
        <v>9400003673</v>
      </c>
      <c r="C2248" s="10">
        <v>46140</v>
      </c>
      <c r="D2248" t="s">
        <v>2032</v>
      </c>
      <c r="E2248" s="11">
        <v>18440331</v>
      </c>
      <c r="F2248" t="s">
        <v>251</v>
      </c>
      <c r="G2248" t="s">
        <v>252</v>
      </c>
      <c r="H2248" s="10">
        <v>46185</v>
      </c>
      <c r="I2248">
        <v>182642.76</v>
      </c>
      <c r="J2248">
        <v>0</v>
      </c>
      <c r="K2248">
        <v>182642.76</v>
      </c>
    </row>
    <row r="2249" spans="1:11" x14ac:dyDescent="0.35">
      <c r="A2249">
        <v>9100000328</v>
      </c>
      <c r="B2249">
        <v>9400003672</v>
      </c>
      <c r="C2249" s="10">
        <v>46140</v>
      </c>
      <c r="D2249" t="s">
        <v>2032</v>
      </c>
      <c r="E2249" s="11">
        <v>18440097</v>
      </c>
      <c r="F2249" t="s">
        <v>801</v>
      </c>
      <c r="G2249" t="s">
        <v>802</v>
      </c>
      <c r="H2249" s="10">
        <v>46185</v>
      </c>
      <c r="I2249">
        <v>49064.4</v>
      </c>
      <c r="J2249">
        <v>0</v>
      </c>
      <c r="K2249">
        <v>49064.4</v>
      </c>
    </row>
    <row r="2250" spans="1:11" x14ac:dyDescent="0.35">
      <c r="A2250">
        <v>9200000225</v>
      </c>
      <c r="B2250">
        <v>9400003669</v>
      </c>
      <c r="C2250" s="10">
        <v>46140</v>
      </c>
      <c r="D2250" t="s">
        <v>2032</v>
      </c>
      <c r="E2250" s="11">
        <v>18440261</v>
      </c>
      <c r="F2250" t="s">
        <v>725</v>
      </c>
      <c r="G2250" t="s">
        <v>726</v>
      </c>
      <c r="H2250" s="10">
        <v>46185</v>
      </c>
      <c r="I2250">
        <v>72688</v>
      </c>
      <c r="J2250">
        <v>0</v>
      </c>
      <c r="K2250">
        <v>72688</v>
      </c>
    </row>
    <row r="2251" spans="1:11" x14ac:dyDescent="0.35">
      <c r="A2251">
        <v>3000000284</v>
      </c>
      <c r="B2251">
        <v>9400003666</v>
      </c>
      <c r="C2251" s="10">
        <v>46140</v>
      </c>
      <c r="D2251" t="s">
        <v>2032</v>
      </c>
      <c r="E2251" s="11">
        <v>18460697</v>
      </c>
      <c r="F2251" t="s">
        <v>785</v>
      </c>
      <c r="G2251" t="s">
        <v>786</v>
      </c>
      <c r="H2251" s="10">
        <v>46185</v>
      </c>
      <c r="I2251">
        <v>73079.759999999995</v>
      </c>
      <c r="J2251">
        <v>0</v>
      </c>
      <c r="K2251">
        <v>73079.759999999995</v>
      </c>
    </row>
    <row r="2252" spans="1:11" x14ac:dyDescent="0.35">
      <c r="A2252">
        <v>9200000224</v>
      </c>
      <c r="B2252">
        <v>9400003664</v>
      </c>
      <c r="C2252" s="10">
        <v>46140</v>
      </c>
      <c r="D2252" t="s">
        <v>2032</v>
      </c>
      <c r="E2252" s="11">
        <v>18440298</v>
      </c>
      <c r="F2252" t="s">
        <v>229</v>
      </c>
      <c r="G2252" t="s">
        <v>230</v>
      </c>
      <c r="H2252" s="10">
        <v>46185</v>
      </c>
      <c r="I2252">
        <v>109153.9</v>
      </c>
      <c r="J2252">
        <v>0</v>
      </c>
      <c r="K2252">
        <v>109153.9</v>
      </c>
    </row>
    <row r="2253" spans="1:11" x14ac:dyDescent="0.35">
      <c r="A2253">
        <v>3000000283</v>
      </c>
      <c r="B2253">
        <v>9400003659</v>
      </c>
      <c r="C2253" s="10">
        <v>46140</v>
      </c>
      <c r="D2253" t="s">
        <v>2032</v>
      </c>
      <c r="E2253" s="11">
        <v>18460697</v>
      </c>
      <c r="F2253" t="s">
        <v>785</v>
      </c>
      <c r="G2253" t="s">
        <v>786</v>
      </c>
      <c r="H2253" s="10">
        <v>46185</v>
      </c>
      <c r="I2253">
        <v>32641.63</v>
      </c>
      <c r="J2253">
        <v>0</v>
      </c>
      <c r="K2253">
        <v>32641.63</v>
      </c>
    </row>
    <row r="2254" spans="1:11" x14ac:dyDescent="0.35">
      <c r="A2254">
        <v>3000000282</v>
      </c>
      <c r="B2254">
        <v>9400003650</v>
      </c>
      <c r="C2254" s="10">
        <v>46140</v>
      </c>
      <c r="D2254" t="s">
        <v>2032</v>
      </c>
      <c r="E2254" s="11">
        <v>18460697</v>
      </c>
      <c r="F2254" t="s">
        <v>785</v>
      </c>
      <c r="G2254" t="s">
        <v>786</v>
      </c>
      <c r="H2254" s="10">
        <v>46185</v>
      </c>
      <c r="I2254">
        <v>343580.6</v>
      </c>
      <c r="J2254">
        <v>0</v>
      </c>
      <c r="K2254">
        <v>343580.6</v>
      </c>
    </row>
    <row r="2255" spans="1:11" x14ac:dyDescent="0.35">
      <c r="A2255">
        <v>8000000170</v>
      </c>
      <c r="B2255">
        <v>9400003649</v>
      </c>
      <c r="C2255" s="10">
        <v>46140</v>
      </c>
      <c r="D2255" t="s">
        <v>2032</v>
      </c>
      <c r="E2255" s="11">
        <v>18460744</v>
      </c>
      <c r="F2255" t="s">
        <v>693</v>
      </c>
      <c r="G2255" t="s">
        <v>694</v>
      </c>
      <c r="H2255" s="10">
        <v>46185</v>
      </c>
      <c r="I2255">
        <v>78499.5</v>
      </c>
      <c r="J2255">
        <v>0</v>
      </c>
      <c r="K2255">
        <v>78499.5</v>
      </c>
    </row>
    <row r="2256" spans="1:11" x14ac:dyDescent="0.35">
      <c r="A2256">
        <v>9300000210</v>
      </c>
      <c r="B2256">
        <v>9400003641</v>
      </c>
      <c r="C2256" s="10">
        <v>46140</v>
      </c>
      <c r="D2256" t="s">
        <v>2032</v>
      </c>
      <c r="E2256" s="11">
        <v>18440100</v>
      </c>
      <c r="F2256" t="s">
        <v>1005</v>
      </c>
      <c r="G2256" t="s">
        <v>1006</v>
      </c>
      <c r="H2256" s="10">
        <v>46140</v>
      </c>
      <c r="I2256">
        <v>51210.7</v>
      </c>
      <c r="J2256">
        <v>48711.78</v>
      </c>
      <c r="K2256">
        <v>2498.9199999999983</v>
      </c>
    </row>
    <row r="2257" spans="1:11" x14ac:dyDescent="0.35">
      <c r="A2257">
        <v>2730000128</v>
      </c>
      <c r="B2257">
        <v>9400003639</v>
      </c>
      <c r="C2257" s="10">
        <v>46140</v>
      </c>
      <c r="D2257" t="s">
        <v>2032</v>
      </c>
      <c r="E2257" s="11">
        <v>18440319</v>
      </c>
      <c r="F2257" t="s">
        <v>128</v>
      </c>
      <c r="G2257" t="s">
        <v>129</v>
      </c>
      <c r="H2257" s="10">
        <v>46185</v>
      </c>
      <c r="I2257">
        <v>308484.14</v>
      </c>
      <c r="J2257">
        <v>0</v>
      </c>
      <c r="K2257">
        <v>308484.14</v>
      </c>
    </row>
    <row r="2258" spans="1:11" x14ac:dyDescent="0.35">
      <c r="A2258">
        <v>9200000219</v>
      </c>
      <c r="B2258">
        <v>9400003626</v>
      </c>
      <c r="C2258" s="10">
        <v>46140</v>
      </c>
      <c r="D2258" t="s">
        <v>2032</v>
      </c>
      <c r="E2258" s="11">
        <v>18440189</v>
      </c>
      <c r="F2258" t="s">
        <v>653</v>
      </c>
      <c r="G2258" t="s">
        <v>654</v>
      </c>
      <c r="H2258" s="10">
        <v>46185</v>
      </c>
      <c r="I2258">
        <v>57061.55</v>
      </c>
      <c r="J2258">
        <v>0</v>
      </c>
      <c r="K2258">
        <v>57061.55</v>
      </c>
    </row>
    <row r="2259" spans="1:11" x14ac:dyDescent="0.35">
      <c r="A2259">
        <v>5100000253</v>
      </c>
      <c r="B2259">
        <v>9400003624</v>
      </c>
      <c r="C2259" s="10">
        <v>46140</v>
      </c>
      <c r="D2259" t="s">
        <v>2032</v>
      </c>
      <c r="E2259" s="11">
        <v>18440359</v>
      </c>
      <c r="F2259" t="s">
        <v>927</v>
      </c>
      <c r="G2259" t="s">
        <v>928</v>
      </c>
      <c r="H2259" s="10">
        <v>46185</v>
      </c>
      <c r="I2259">
        <v>128411.2</v>
      </c>
      <c r="J2259">
        <v>0</v>
      </c>
      <c r="K2259">
        <v>128411.2</v>
      </c>
    </row>
    <row r="2260" spans="1:11" x14ac:dyDescent="0.35">
      <c r="A2260">
        <v>2710000206</v>
      </c>
      <c r="B2260">
        <v>9400003621</v>
      </c>
      <c r="C2260" s="10">
        <v>46140</v>
      </c>
      <c r="D2260" t="s">
        <v>2032</v>
      </c>
      <c r="E2260" s="11">
        <v>18429379</v>
      </c>
      <c r="F2260" t="s">
        <v>28</v>
      </c>
      <c r="G2260" t="s">
        <v>29</v>
      </c>
      <c r="H2260" s="10">
        <v>46185</v>
      </c>
      <c r="I2260">
        <v>122209.3</v>
      </c>
      <c r="J2260">
        <v>0</v>
      </c>
      <c r="K2260">
        <v>122209.3</v>
      </c>
    </row>
    <row r="2261" spans="1:11" x14ac:dyDescent="0.35">
      <c r="A2261">
        <v>5100000251</v>
      </c>
      <c r="B2261">
        <v>9400003612</v>
      </c>
      <c r="C2261" s="10">
        <v>46140</v>
      </c>
      <c r="D2261" t="s">
        <v>2032</v>
      </c>
      <c r="E2261" s="11">
        <v>18440304</v>
      </c>
      <c r="F2261" t="s">
        <v>1007</v>
      </c>
      <c r="G2261" t="s">
        <v>1008</v>
      </c>
      <c r="H2261" s="10">
        <v>46185</v>
      </c>
      <c r="I2261">
        <v>20014.599999999999</v>
      </c>
      <c r="J2261">
        <v>0</v>
      </c>
      <c r="K2261">
        <v>20014.599999999999</v>
      </c>
    </row>
    <row r="2262" spans="1:11" x14ac:dyDescent="0.35">
      <c r="A2262">
        <v>2710000205</v>
      </c>
      <c r="B2262">
        <v>9400003607</v>
      </c>
      <c r="C2262" s="10">
        <v>46140</v>
      </c>
      <c r="D2262" t="s">
        <v>2032</v>
      </c>
      <c r="E2262" s="11">
        <v>18428977</v>
      </c>
      <c r="F2262" t="s">
        <v>144</v>
      </c>
      <c r="G2262" t="s">
        <v>145</v>
      </c>
      <c r="H2262" s="10">
        <v>46185</v>
      </c>
      <c r="I2262">
        <v>23208.240000000002</v>
      </c>
      <c r="J2262">
        <v>0</v>
      </c>
      <c r="K2262">
        <v>23208.240000000002</v>
      </c>
    </row>
    <row r="2263" spans="1:11" x14ac:dyDescent="0.35">
      <c r="A2263">
        <v>2300000120</v>
      </c>
      <c r="B2263">
        <v>9400003604</v>
      </c>
      <c r="C2263" s="10">
        <v>46140</v>
      </c>
      <c r="D2263" t="s">
        <v>2032</v>
      </c>
      <c r="E2263" s="11">
        <v>18406854</v>
      </c>
      <c r="F2263" t="s">
        <v>709</v>
      </c>
      <c r="G2263" t="s">
        <v>710</v>
      </c>
      <c r="H2263" s="10">
        <v>46185</v>
      </c>
      <c r="I2263">
        <v>33040</v>
      </c>
      <c r="J2263">
        <v>0</v>
      </c>
      <c r="K2263">
        <v>33040</v>
      </c>
    </row>
    <row r="2264" spans="1:11" x14ac:dyDescent="0.35">
      <c r="A2264">
        <v>2300000119</v>
      </c>
      <c r="B2264">
        <v>9400003600</v>
      </c>
      <c r="C2264" s="10">
        <v>46140</v>
      </c>
      <c r="D2264" t="s">
        <v>2032</v>
      </c>
      <c r="E2264" s="11">
        <v>18406291</v>
      </c>
      <c r="F2264" t="s">
        <v>631</v>
      </c>
      <c r="G2264" t="s">
        <v>632</v>
      </c>
      <c r="H2264" s="10">
        <v>46185</v>
      </c>
      <c r="I2264">
        <v>38606.78</v>
      </c>
      <c r="J2264">
        <v>0</v>
      </c>
      <c r="K2264">
        <v>38606.78</v>
      </c>
    </row>
    <row r="2265" spans="1:11" x14ac:dyDescent="0.35">
      <c r="A2265">
        <v>9300000206</v>
      </c>
      <c r="B2265">
        <v>9400003599</v>
      </c>
      <c r="C2265" s="10">
        <v>46140</v>
      </c>
      <c r="D2265" t="s">
        <v>2032</v>
      </c>
      <c r="E2265" s="11">
        <v>18440110</v>
      </c>
      <c r="F2265" t="s">
        <v>1009</v>
      </c>
      <c r="G2265" t="s">
        <v>1010</v>
      </c>
      <c r="H2265" s="10">
        <v>46185</v>
      </c>
      <c r="I2265">
        <v>71685.14</v>
      </c>
      <c r="J2265">
        <v>0</v>
      </c>
      <c r="K2265">
        <v>71685.14</v>
      </c>
    </row>
    <row r="2266" spans="1:11" x14ac:dyDescent="0.35">
      <c r="A2266">
        <v>9100000316</v>
      </c>
      <c r="B2266">
        <v>9400003591</v>
      </c>
      <c r="C2266" s="10">
        <v>46140</v>
      </c>
      <c r="D2266" t="s">
        <v>2032</v>
      </c>
      <c r="E2266" s="11">
        <v>18428667</v>
      </c>
      <c r="F2266" t="s">
        <v>1013</v>
      </c>
      <c r="G2266" t="s">
        <v>1014</v>
      </c>
      <c r="H2266" s="10">
        <v>46185</v>
      </c>
      <c r="I2266">
        <v>31780.05</v>
      </c>
      <c r="J2266">
        <v>0</v>
      </c>
      <c r="K2266">
        <v>31780.05</v>
      </c>
    </row>
    <row r="2267" spans="1:11" x14ac:dyDescent="0.35">
      <c r="A2267">
        <v>9300000204</v>
      </c>
      <c r="B2267">
        <v>9400003587</v>
      </c>
      <c r="C2267" s="10">
        <v>46140</v>
      </c>
      <c r="D2267" t="s">
        <v>2032</v>
      </c>
      <c r="E2267" s="11">
        <v>18440185</v>
      </c>
      <c r="F2267" t="s">
        <v>609</v>
      </c>
      <c r="G2267" t="s">
        <v>610</v>
      </c>
      <c r="H2267" s="10">
        <v>46185</v>
      </c>
      <c r="I2267">
        <v>120815.6</v>
      </c>
      <c r="J2267">
        <v>0</v>
      </c>
      <c r="K2267">
        <v>120815.6</v>
      </c>
    </row>
    <row r="2268" spans="1:11" x14ac:dyDescent="0.35">
      <c r="A2268">
        <v>8000000166</v>
      </c>
      <c r="B2268">
        <v>9400003586</v>
      </c>
      <c r="C2268" s="10">
        <v>46140</v>
      </c>
      <c r="D2268" t="s">
        <v>2032</v>
      </c>
      <c r="E2268" s="11">
        <v>18440410</v>
      </c>
      <c r="F2268" t="s">
        <v>893</v>
      </c>
      <c r="G2268" t="s">
        <v>894</v>
      </c>
      <c r="H2268" s="10">
        <v>46185</v>
      </c>
      <c r="I2268">
        <v>36205.1</v>
      </c>
      <c r="J2268">
        <v>0</v>
      </c>
      <c r="K2268">
        <v>36205.1</v>
      </c>
    </row>
    <row r="2269" spans="1:11" x14ac:dyDescent="0.35">
      <c r="A2269">
        <v>8000000165</v>
      </c>
      <c r="B2269">
        <v>9400003585</v>
      </c>
      <c r="C2269" s="10">
        <v>46140</v>
      </c>
      <c r="D2269" t="s">
        <v>2032</v>
      </c>
      <c r="E2269" s="11">
        <v>18440410</v>
      </c>
      <c r="F2269" t="s">
        <v>893</v>
      </c>
      <c r="G2269" t="s">
        <v>894</v>
      </c>
      <c r="H2269" s="10">
        <v>46185</v>
      </c>
      <c r="I2269">
        <v>22896.720000000001</v>
      </c>
      <c r="J2269">
        <v>0</v>
      </c>
      <c r="K2269">
        <v>22896.720000000001</v>
      </c>
    </row>
    <row r="2270" spans="1:11" x14ac:dyDescent="0.35">
      <c r="A2270">
        <v>8000000162</v>
      </c>
      <c r="B2270">
        <v>9400003576</v>
      </c>
      <c r="C2270" s="10">
        <v>46140</v>
      </c>
      <c r="D2270" t="s">
        <v>2032</v>
      </c>
      <c r="E2270" s="11">
        <v>18440038</v>
      </c>
      <c r="F2270" t="s">
        <v>1017</v>
      </c>
      <c r="G2270" t="s">
        <v>1018</v>
      </c>
      <c r="H2270" s="10">
        <v>46185</v>
      </c>
      <c r="I2270">
        <v>30440.46</v>
      </c>
      <c r="J2270">
        <v>0</v>
      </c>
      <c r="K2270">
        <v>30440.46</v>
      </c>
    </row>
    <row r="2271" spans="1:11" x14ac:dyDescent="0.35">
      <c r="A2271">
        <v>9200000217</v>
      </c>
      <c r="B2271">
        <v>9400003568</v>
      </c>
      <c r="C2271" s="10">
        <v>46140</v>
      </c>
      <c r="D2271" t="s">
        <v>2032</v>
      </c>
      <c r="E2271" s="11">
        <v>18417801</v>
      </c>
      <c r="F2271" t="s">
        <v>823</v>
      </c>
      <c r="G2271" t="s">
        <v>824</v>
      </c>
      <c r="H2271" s="10">
        <v>46185</v>
      </c>
      <c r="I2271">
        <v>35064.699999999997</v>
      </c>
      <c r="J2271">
        <v>0</v>
      </c>
      <c r="K2271">
        <v>35064.699999999997</v>
      </c>
    </row>
    <row r="2272" spans="1:11" x14ac:dyDescent="0.35">
      <c r="A2272">
        <v>2710000203</v>
      </c>
      <c r="B2272">
        <v>9400003556</v>
      </c>
      <c r="C2272" s="10">
        <v>46140</v>
      </c>
      <c r="D2272" t="s">
        <v>2032</v>
      </c>
      <c r="E2272" s="11">
        <v>18439520</v>
      </c>
      <c r="F2272" t="s">
        <v>521</v>
      </c>
      <c r="G2272" t="s">
        <v>522</v>
      </c>
      <c r="H2272" s="10">
        <v>46185</v>
      </c>
      <c r="I2272">
        <v>100268.14</v>
      </c>
      <c r="J2272">
        <v>0</v>
      </c>
      <c r="K2272">
        <v>100268.14</v>
      </c>
    </row>
    <row r="2273" spans="1:11" x14ac:dyDescent="0.35">
      <c r="A2273">
        <v>3000000276</v>
      </c>
      <c r="B2273">
        <v>9400003548</v>
      </c>
      <c r="C2273" s="10">
        <v>46140</v>
      </c>
      <c r="D2273" t="s">
        <v>2032</v>
      </c>
      <c r="E2273" s="11">
        <v>18439607</v>
      </c>
      <c r="F2273" t="s">
        <v>343</v>
      </c>
      <c r="G2273" t="s">
        <v>344</v>
      </c>
      <c r="H2273" s="10">
        <v>46185</v>
      </c>
      <c r="I2273">
        <v>101400</v>
      </c>
      <c r="J2273">
        <v>0</v>
      </c>
      <c r="K2273">
        <v>101400</v>
      </c>
    </row>
    <row r="2274" spans="1:11" x14ac:dyDescent="0.35">
      <c r="A2274">
        <v>2710000200</v>
      </c>
      <c r="B2274">
        <v>9400003537</v>
      </c>
      <c r="C2274" s="10">
        <v>46140</v>
      </c>
      <c r="D2274" t="s">
        <v>2032</v>
      </c>
      <c r="E2274" s="11">
        <v>18439983</v>
      </c>
      <c r="F2274" t="s">
        <v>70</v>
      </c>
      <c r="G2274" t="s">
        <v>71</v>
      </c>
      <c r="H2274" s="10">
        <v>46185</v>
      </c>
      <c r="I2274">
        <v>5870.74</v>
      </c>
      <c r="J2274">
        <v>0</v>
      </c>
      <c r="K2274">
        <v>5870.74</v>
      </c>
    </row>
    <row r="2275" spans="1:11" x14ac:dyDescent="0.35">
      <c r="A2275">
        <v>5100000250</v>
      </c>
      <c r="B2275">
        <v>9400003534</v>
      </c>
      <c r="C2275" s="10">
        <v>46140</v>
      </c>
      <c r="D2275" t="s">
        <v>2032</v>
      </c>
      <c r="E2275" s="11">
        <v>18440147</v>
      </c>
      <c r="F2275" t="s">
        <v>379</v>
      </c>
      <c r="G2275" t="s">
        <v>380</v>
      </c>
      <c r="H2275" s="10">
        <v>46185</v>
      </c>
      <c r="I2275">
        <v>168520.7</v>
      </c>
      <c r="J2275">
        <v>0</v>
      </c>
      <c r="K2275">
        <v>168520.7</v>
      </c>
    </row>
    <row r="2276" spans="1:11" x14ac:dyDescent="0.35">
      <c r="A2276">
        <v>5100000249</v>
      </c>
      <c r="B2276">
        <v>9400003524</v>
      </c>
      <c r="C2276" s="10">
        <v>46140</v>
      </c>
      <c r="D2276" t="s">
        <v>2032</v>
      </c>
      <c r="E2276" s="11">
        <v>18440111</v>
      </c>
      <c r="F2276" t="s">
        <v>561</v>
      </c>
      <c r="G2276" t="s">
        <v>562</v>
      </c>
      <c r="H2276" s="10">
        <v>46185</v>
      </c>
      <c r="I2276">
        <v>66080</v>
      </c>
      <c r="J2276">
        <v>0</v>
      </c>
      <c r="K2276">
        <v>66080</v>
      </c>
    </row>
    <row r="2277" spans="1:11" x14ac:dyDescent="0.35">
      <c r="A2277">
        <v>5100000248</v>
      </c>
      <c r="B2277">
        <v>9400003523</v>
      </c>
      <c r="C2277" s="10">
        <v>46140</v>
      </c>
      <c r="D2277" t="s">
        <v>2032</v>
      </c>
      <c r="E2277" s="11">
        <v>18439850</v>
      </c>
      <c r="F2277" t="s">
        <v>296</v>
      </c>
      <c r="G2277" t="s">
        <v>297</v>
      </c>
      <c r="H2277" s="10">
        <v>46185</v>
      </c>
      <c r="I2277">
        <v>806489.96</v>
      </c>
      <c r="J2277">
        <v>0</v>
      </c>
      <c r="K2277">
        <v>806489.96</v>
      </c>
    </row>
    <row r="2278" spans="1:11" x14ac:dyDescent="0.35">
      <c r="A2278">
        <v>5100000247</v>
      </c>
      <c r="B2278">
        <v>9400003517</v>
      </c>
      <c r="C2278" s="10">
        <v>46140</v>
      </c>
      <c r="D2278" t="s">
        <v>2032</v>
      </c>
      <c r="E2278" s="11">
        <v>18439711</v>
      </c>
      <c r="F2278" t="s">
        <v>451</v>
      </c>
      <c r="G2278" t="s">
        <v>452</v>
      </c>
      <c r="H2278" s="10">
        <v>46185</v>
      </c>
      <c r="I2278">
        <v>21698.799999999999</v>
      </c>
      <c r="J2278">
        <v>0</v>
      </c>
      <c r="K2278">
        <v>21698.799999999999</v>
      </c>
    </row>
    <row r="2279" spans="1:11" x14ac:dyDescent="0.35">
      <c r="A2279">
        <v>2710000195</v>
      </c>
      <c r="B2279">
        <v>9400003515</v>
      </c>
      <c r="C2279" s="10">
        <v>46140</v>
      </c>
      <c r="D2279" t="s">
        <v>2032</v>
      </c>
      <c r="E2279" s="11">
        <v>18428620</v>
      </c>
      <c r="F2279" t="s">
        <v>755</v>
      </c>
      <c r="G2279" t="s">
        <v>756</v>
      </c>
      <c r="H2279" s="10">
        <v>46185</v>
      </c>
      <c r="I2279">
        <v>20093.04</v>
      </c>
      <c r="J2279">
        <v>0</v>
      </c>
      <c r="K2279">
        <v>20093.04</v>
      </c>
    </row>
    <row r="2280" spans="1:11" x14ac:dyDescent="0.35">
      <c r="A2280">
        <v>9100000312</v>
      </c>
      <c r="B2280">
        <v>9400003510</v>
      </c>
      <c r="C2280" s="10">
        <v>46140</v>
      </c>
      <c r="D2280" t="s">
        <v>2032</v>
      </c>
      <c r="E2280" s="11">
        <v>18429215</v>
      </c>
      <c r="F2280" t="s">
        <v>1019</v>
      </c>
      <c r="G2280" t="s">
        <v>1020</v>
      </c>
      <c r="H2280" s="10">
        <v>46185</v>
      </c>
      <c r="I2280">
        <v>22755.68</v>
      </c>
      <c r="J2280">
        <v>0</v>
      </c>
      <c r="K2280">
        <v>22755.68</v>
      </c>
    </row>
    <row r="2281" spans="1:11" x14ac:dyDescent="0.35">
      <c r="A2281">
        <v>8000000156</v>
      </c>
      <c r="B2281">
        <v>9400003508</v>
      </c>
      <c r="C2281" s="10">
        <v>46140</v>
      </c>
      <c r="D2281" t="s">
        <v>2032</v>
      </c>
      <c r="E2281" s="11">
        <v>18440040</v>
      </c>
      <c r="F2281" t="s">
        <v>819</v>
      </c>
      <c r="G2281" t="s">
        <v>820</v>
      </c>
      <c r="H2281" s="10">
        <v>46185</v>
      </c>
      <c r="I2281">
        <v>10943.32</v>
      </c>
      <c r="J2281">
        <v>0</v>
      </c>
      <c r="K2281">
        <v>10943.32</v>
      </c>
    </row>
    <row r="2282" spans="1:11" x14ac:dyDescent="0.35">
      <c r="A2282">
        <v>5100000245</v>
      </c>
      <c r="B2282">
        <v>9400003507</v>
      </c>
      <c r="C2282" s="10">
        <v>46140</v>
      </c>
      <c r="D2282" t="s">
        <v>2032</v>
      </c>
      <c r="E2282" s="11">
        <v>18439577</v>
      </c>
      <c r="F2282" t="s">
        <v>561</v>
      </c>
      <c r="G2282" t="s">
        <v>562</v>
      </c>
      <c r="H2282" s="10">
        <v>46185</v>
      </c>
      <c r="I2282">
        <v>14132.1</v>
      </c>
      <c r="J2282">
        <v>0</v>
      </c>
      <c r="K2282">
        <v>14132.1</v>
      </c>
    </row>
    <row r="2283" spans="1:11" x14ac:dyDescent="0.35">
      <c r="A2283">
        <v>8000000155</v>
      </c>
      <c r="B2283">
        <v>9400003506</v>
      </c>
      <c r="C2283" s="10">
        <v>46140</v>
      </c>
      <c r="D2283" t="s">
        <v>2032</v>
      </c>
      <c r="E2283" s="11">
        <v>18440040</v>
      </c>
      <c r="F2283" t="s">
        <v>819</v>
      </c>
      <c r="G2283" t="s">
        <v>820</v>
      </c>
      <c r="H2283" s="10">
        <v>46154</v>
      </c>
      <c r="I2283">
        <v>262243.20000000001</v>
      </c>
      <c r="J2283">
        <v>113480.53</v>
      </c>
      <c r="K2283">
        <v>148762.67000000001</v>
      </c>
    </row>
    <row r="2284" spans="1:11" x14ac:dyDescent="0.35">
      <c r="A2284">
        <v>9300000203</v>
      </c>
      <c r="B2284">
        <v>9400003497</v>
      </c>
      <c r="C2284" s="10">
        <v>46140</v>
      </c>
      <c r="D2284" t="s">
        <v>2032</v>
      </c>
      <c r="E2284" s="11">
        <v>18429092</v>
      </c>
      <c r="F2284" t="s">
        <v>1021</v>
      </c>
      <c r="G2284" t="s">
        <v>1022</v>
      </c>
      <c r="H2284" s="10">
        <v>46185</v>
      </c>
      <c r="I2284">
        <v>28226.74</v>
      </c>
      <c r="J2284">
        <v>0</v>
      </c>
      <c r="K2284">
        <v>28226.74</v>
      </c>
    </row>
    <row r="2285" spans="1:11" x14ac:dyDescent="0.35">
      <c r="A2285">
        <v>9100000308</v>
      </c>
      <c r="B2285">
        <v>9400003485</v>
      </c>
      <c r="C2285" s="10">
        <v>46140</v>
      </c>
      <c r="D2285" t="s">
        <v>2032</v>
      </c>
      <c r="E2285" s="11">
        <v>18417673</v>
      </c>
      <c r="F2285" t="s">
        <v>515</v>
      </c>
      <c r="G2285" t="s">
        <v>516</v>
      </c>
      <c r="H2285" s="10">
        <v>46185</v>
      </c>
      <c r="I2285">
        <v>85699.16</v>
      </c>
      <c r="J2285">
        <v>0</v>
      </c>
      <c r="K2285">
        <v>85699.16</v>
      </c>
    </row>
    <row r="2286" spans="1:11" x14ac:dyDescent="0.35">
      <c r="A2286">
        <v>9200000210</v>
      </c>
      <c r="B2286">
        <v>9400003476</v>
      </c>
      <c r="C2286" s="10">
        <v>46140</v>
      </c>
      <c r="D2286" t="s">
        <v>2032</v>
      </c>
      <c r="E2286" s="11">
        <v>18428999</v>
      </c>
      <c r="F2286" t="s">
        <v>737</v>
      </c>
      <c r="G2286" t="s">
        <v>738</v>
      </c>
      <c r="H2286" s="10">
        <v>46185</v>
      </c>
      <c r="I2286">
        <v>47194.32</v>
      </c>
      <c r="J2286">
        <v>0</v>
      </c>
      <c r="K2286">
        <v>47194.32</v>
      </c>
    </row>
    <row r="2287" spans="1:11" x14ac:dyDescent="0.35">
      <c r="A2287">
        <v>9100000306</v>
      </c>
      <c r="B2287">
        <v>9400003475</v>
      </c>
      <c r="C2287" s="10">
        <v>46140</v>
      </c>
      <c r="D2287" t="s">
        <v>2032</v>
      </c>
      <c r="E2287" s="11">
        <v>18429119</v>
      </c>
      <c r="F2287" t="s">
        <v>282</v>
      </c>
      <c r="G2287" t="s">
        <v>283</v>
      </c>
      <c r="H2287" s="10">
        <v>46185</v>
      </c>
      <c r="I2287">
        <v>105975.74</v>
      </c>
      <c r="J2287">
        <v>0</v>
      </c>
      <c r="K2287">
        <v>105975.74</v>
      </c>
    </row>
    <row r="2288" spans="1:11" x14ac:dyDescent="0.35">
      <c r="A2288">
        <v>2710000194</v>
      </c>
      <c r="B2288">
        <v>9400003472</v>
      </c>
      <c r="C2288" s="10">
        <v>46140</v>
      </c>
      <c r="D2288" t="s">
        <v>2032</v>
      </c>
      <c r="E2288" s="11">
        <v>18429049</v>
      </c>
      <c r="F2288" t="s">
        <v>565</v>
      </c>
      <c r="G2288" t="s">
        <v>566</v>
      </c>
      <c r="H2288" s="10">
        <v>46185</v>
      </c>
      <c r="I2288">
        <v>54152.56</v>
      </c>
      <c r="J2288">
        <v>0</v>
      </c>
      <c r="K2288">
        <v>54152.56</v>
      </c>
    </row>
    <row r="2289" spans="1:11" x14ac:dyDescent="0.35">
      <c r="A2289">
        <v>3000000273</v>
      </c>
      <c r="B2289">
        <v>9400003466</v>
      </c>
      <c r="C2289" s="10">
        <v>46140</v>
      </c>
      <c r="D2289" t="s">
        <v>2032</v>
      </c>
      <c r="E2289" s="11">
        <v>18429418</v>
      </c>
      <c r="F2289" t="s">
        <v>1023</v>
      </c>
      <c r="G2289" t="s">
        <v>1024</v>
      </c>
      <c r="H2289" s="10">
        <v>46185</v>
      </c>
      <c r="I2289">
        <v>379889.79</v>
      </c>
      <c r="J2289">
        <v>0</v>
      </c>
      <c r="K2289">
        <v>379889.79</v>
      </c>
    </row>
    <row r="2290" spans="1:11" x14ac:dyDescent="0.35">
      <c r="A2290">
        <v>2710000193</v>
      </c>
      <c r="B2290">
        <v>9400003461</v>
      </c>
      <c r="C2290" s="10">
        <v>46140</v>
      </c>
      <c r="D2290" t="s">
        <v>2032</v>
      </c>
      <c r="E2290" s="11">
        <v>18428926</v>
      </c>
      <c r="F2290" t="s">
        <v>687</v>
      </c>
      <c r="G2290" t="s">
        <v>688</v>
      </c>
      <c r="H2290" s="10">
        <v>46185</v>
      </c>
      <c r="I2290">
        <v>7736.08</v>
      </c>
      <c r="J2290">
        <v>0</v>
      </c>
      <c r="K2290">
        <v>7736.08</v>
      </c>
    </row>
    <row r="2291" spans="1:11" x14ac:dyDescent="0.35">
      <c r="A2291">
        <v>3000000271</v>
      </c>
      <c r="B2291">
        <v>9400003450</v>
      </c>
      <c r="C2291" s="10">
        <v>46140</v>
      </c>
      <c r="D2291" t="s">
        <v>2032</v>
      </c>
      <c r="E2291" s="11">
        <v>18429323</v>
      </c>
      <c r="F2291" t="s">
        <v>535</v>
      </c>
      <c r="G2291" t="s">
        <v>536</v>
      </c>
      <c r="H2291" s="10">
        <v>46185</v>
      </c>
      <c r="I2291">
        <v>110949.26</v>
      </c>
      <c r="J2291">
        <v>0</v>
      </c>
      <c r="K2291">
        <v>110949.26</v>
      </c>
    </row>
    <row r="2292" spans="1:11" x14ac:dyDescent="0.35">
      <c r="A2292">
        <v>7000000132</v>
      </c>
      <c r="B2292">
        <v>9400003442</v>
      </c>
      <c r="C2292" s="10">
        <v>46140</v>
      </c>
      <c r="D2292" t="s">
        <v>2032</v>
      </c>
      <c r="E2292" s="11">
        <v>18439888</v>
      </c>
      <c r="F2292" t="s">
        <v>190</v>
      </c>
      <c r="G2292" t="s">
        <v>191</v>
      </c>
      <c r="H2292" s="10">
        <v>46185</v>
      </c>
      <c r="I2292">
        <v>41309.17</v>
      </c>
      <c r="J2292">
        <v>0</v>
      </c>
      <c r="K2292">
        <v>41309.17</v>
      </c>
    </row>
    <row r="2293" spans="1:11" x14ac:dyDescent="0.35">
      <c r="A2293">
        <v>9200000206</v>
      </c>
      <c r="B2293">
        <v>9400003437</v>
      </c>
      <c r="C2293" s="10">
        <v>46140</v>
      </c>
      <c r="D2293" t="s">
        <v>2032</v>
      </c>
      <c r="E2293" s="11">
        <v>18428940</v>
      </c>
      <c r="F2293" t="s">
        <v>44</v>
      </c>
      <c r="G2293" t="s">
        <v>45</v>
      </c>
      <c r="H2293" s="10">
        <v>46185</v>
      </c>
      <c r="I2293">
        <v>16354.8</v>
      </c>
      <c r="J2293">
        <v>0</v>
      </c>
      <c r="K2293">
        <v>16354.8</v>
      </c>
    </row>
    <row r="2294" spans="1:11" x14ac:dyDescent="0.35">
      <c r="B2294">
        <v>1400003061</v>
      </c>
      <c r="C2294" s="10">
        <v>46140</v>
      </c>
      <c r="D2294" t="s">
        <v>2037</v>
      </c>
      <c r="E2294" s="11"/>
      <c r="F2294" t="s">
        <v>1027</v>
      </c>
      <c r="G2294" t="s">
        <v>1028</v>
      </c>
      <c r="H2294" s="10">
        <v>46140</v>
      </c>
      <c r="I2294">
        <v>54321.01</v>
      </c>
      <c r="J2294">
        <v>51004.01</v>
      </c>
      <c r="K2294">
        <v>3317</v>
      </c>
    </row>
    <row r="2295" spans="1:11" x14ac:dyDescent="0.35">
      <c r="A2295">
        <v>9300000202</v>
      </c>
      <c r="B2295">
        <v>9400003417</v>
      </c>
      <c r="C2295" s="10">
        <v>46139</v>
      </c>
      <c r="D2295" t="s">
        <v>2032</v>
      </c>
      <c r="E2295" s="11">
        <v>18429444</v>
      </c>
      <c r="F2295" t="s">
        <v>1029</v>
      </c>
      <c r="G2295" t="s">
        <v>1030</v>
      </c>
      <c r="H2295" s="10">
        <v>46184</v>
      </c>
      <c r="I2295">
        <v>27581.78</v>
      </c>
      <c r="J2295">
        <v>0</v>
      </c>
      <c r="K2295">
        <v>27581.78</v>
      </c>
    </row>
    <row r="2296" spans="1:11" x14ac:dyDescent="0.35">
      <c r="A2296">
        <v>9300000201</v>
      </c>
      <c r="B2296">
        <v>9400003416</v>
      </c>
      <c r="C2296" s="10">
        <v>46139</v>
      </c>
      <c r="D2296" t="s">
        <v>2032</v>
      </c>
      <c r="E2296" s="11">
        <v>18429092</v>
      </c>
      <c r="F2296" t="s">
        <v>435</v>
      </c>
      <c r="G2296" t="s">
        <v>436</v>
      </c>
      <c r="H2296" s="10">
        <v>46184</v>
      </c>
      <c r="I2296">
        <v>66260.3</v>
      </c>
      <c r="J2296">
        <v>0</v>
      </c>
      <c r="K2296">
        <v>66260.3</v>
      </c>
    </row>
    <row r="2297" spans="1:11" x14ac:dyDescent="0.35">
      <c r="A2297">
        <v>9300000197</v>
      </c>
      <c r="B2297">
        <v>9400003412</v>
      </c>
      <c r="C2297" s="10">
        <v>46139</v>
      </c>
      <c r="D2297" t="s">
        <v>2032</v>
      </c>
      <c r="E2297" s="11">
        <v>18429482</v>
      </c>
      <c r="F2297" t="s">
        <v>607</v>
      </c>
      <c r="G2297" t="s">
        <v>608</v>
      </c>
      <c r="H2297" s="10">
        <v>46184</v>
      </c>
      <c r="I2297">
        <v>138735.1</v>
      </c>
      <c r="J2297">
        <v>0</v>
      </c>
      <c r="K2297">
        <v>138735.1</v>
      </c>
    </row>
    <row r="2298" spans="1:11" x14ac:dyDescent="0.35">
      <c r="A2298">
        <v>9300000196</v>
      </c>
      <c r="B2298">
        <v>9400003411</v>
      </c>
      <c r="C2298" s="10">
        <v>46139</v>
      </c>
      <c r="D2298" t="s">
        <v>2032</v>
      </c>
      <c r="E2298" s="11">
        <v>18429101</v>
      </c>
      <c r="F2298" t="s">
        <v>20</v>
      </c>
      <c r="G2298" t="s">
        <v>21</v>
      </c>
      <c r="H2298" s="10">
        <v>46184</v>
      </c>
      <c r="I2298">
        <v>157241.5</v>
      </c>
      <c r="J2298">
        <v>0</v>
      </c>
      <c r="K2298">
        <v>157241.5</v>
      </c>
    </row>
    <row r="2299" spans="1:11" x14ac:dyDescent="0.35">
      <c r="A2299">
        <v>2730000126</v>
      </c>
      <c r="B2299">
        <v>9400003402</v>
      </c>
      <c r="C2299" s="10">
        <v>46139</v>
      </c>
      <c r="D2299" t="s">
        <v>2032</v>
      </c>
      <c r="E2299" s="11">
        <v>2847</v>
      </c>
      <c r="F2299" t="s">
        <v>120</v>
      </c>
      <c r="G2299" t="s">
        <v>121</v>
      </c>
      <c r="H2299" s="10">
        <v>46184</v>
      </c>
      <c r="I2299">
        <v>16354.8</v>
      </c>
      <c r="J2299">
        <v>0</v>
      </c>
      <c r="K2299">
        <v>16354.8</v>
      </c>
    </row>
    <row r="2300" spans="1:11" x14ac:dyDescent="0.35">
      <c r="A2300">
        <v>5100000244</v>
      </c>
      <c r="B2300">
        <v>9400003401</v>
      </c>
      <c r="C2300" s="10">
        <v>46139</v>
      </c>
      <c r="D2300" t="s">
        <v>2032</v>
      </c>
      <c r="E2300" s="11">
        <v>18439534</v>
      </c>
      <c r="F2300" t="s">
        <v>211</v>
      </c>
      <c r="G2300" t="s">
        <v>212</v>
      </c>
      <c r="H2300" s="10">
        <v>46184</v>
      </c>
      <c r="I2300">
        <v>11587.04</v>
      </c>
      <c r="J2300">
        <v>0</v>
      </c>
      <c r="K2300">
        <v>11587.04</v>
      </c>
    </row>
    <row r="2301" spans="1:11" x14ac:dyDescent="0.35">
      <c r="A2301">
        <v>2720000086</v>
      </c>
      <c r="B2301">
        <v>9400003398</v>
      </c>
      <c r="C2301" s="10">
        <v>46139</v>
      </c>
      <c r="D2301" t="s">
        <v>2032</v>
      </c>
      <c r="E2301" s="11">
        <v>18439522</v>
      </c>
      <c r="F2301" t="s">
        <v>154</v>
      </c>
      <c r="G2301" t="s">
        <v>155</v>
      </c>
      <c r="H2301" s="10">
        <v>46184</v>
      </c>
      <c r="I2301">
        <v>10053.6</v>
      </c>
      <c r="J2301">
        <v>0</v>
      </c>
      <c r="K2301">
        <v>10053.6</v>
      </c>
    </row>
    <row r="2302" spans="1:11" x14ac:dyDescent="0.35">
      <c r="A2302">
        <v>3000000264</v>
      </c>
      <c r="B2302">
        <v>9400003393</v>
      </c>
      <c r="C2302" s="10">
        <v>46139</v>
      </c>
      <c r="D2302" t="s">
        <v>2032</v>
      </c>
      <c r="E2302" s="11">
        <v>18429235</v>
      </c>
      <c r="F2302" t="s">
        <v>1031</v>
      </c>
      <c r="G2302" t="s">
        <v>1032</v>
      </c>
      <c r="H2302" s="10">
        <v>46184</v>
      </c>
      <c r="I2302">
        <v>35888.800000000003</v>
      </c>
      <c r="J2302">
        <v>0</v>
      </c>
      <c r="K2302">
        <v>35888.800000000003</v>
      </c>
    </row>
    <row r="2303" spans="1:11" x14ac:dyDescent="0.35">
      <c r="A2303">
        <v>2720000085</v>
      </c>
      <c r="B2303">
        <v>9400003392</v>
      </c>
      <c r="C2303" s="10">
        <v>46139</v>
      </c>
      <c r="D2303" t="s">
        <v>2032</v>
      </c>
      <c r="E2303" s="11">
        <v>18429378</v>
      </c>
      <c r="F2303" t="s">
        <v>154</v>
      </c>
      <c r="G2303" t="s">
        <v>155</v>
      </c>
      <c r="H2303" s="10">
        <v>46184</v>
      </c>
      <c r="I2303">
        <v>131984.22</v>
      </c>
      <c r="J2303">
        <v>0</v>
      </c>
      <c r="K2303">
        <v>131984.22</v>
      </c>
    </row>
    <row r="2304" spans="1:11" x14ac:dyDescent="0.35">
      <c r="A2304">
        <v>2300000114</v>
      </c>
      <c r="B2304">
        <v>9400003385</v>
      </c>
      <c r="C2304" s="10">
        <v>46139</v>
      </c>
      <c r="D2304" t="s">
        <v>2032</v>
      </c>
      <c r="E2304" s="11">
        <v>18429441</v>
      </c>
      <c r="F2304" t="s">
        <v>461</v>
      </c>
      <c r="G2304" t="s">
        <v>462</v>
      </c>
      <c r="H2304" s="10">
        <v>46184</v>
      </c>
      <c r="I2304">
        <v>57107.28</v>
      </c>
      <c r="J2304">
        <v>0</v>
      </c>
      <c r="K2304">
        <v>57107.28</v>
      </c>
    </row>
    <row r="2305" spans="1:11" x14ac:dyDescent="0.35">
      <c r="A2305">
        <v>9200000202</v>
      </c>
      <c r="B2305">
        <v>9400003375</v>
      </c>
      <c r="C2305" s="10">
        <v>46139</v>
      </c>
      <c r="D2305" t="s">
        <v>2032</v>
      </c>
      <c r="E2305" s="11">
        <v>18428728</v>
      </c>
      <c r="F2305" t="s">
        <v>1033</v>
      </c>
      <c r="G2305" t="s">
        <v>1034</v>
      </c>
      <c r="H2305" s="10">
        <v>46184</v>
      </c>
      <c r="I2305">
        <v>24109.279999999999</v>
      </c>
      <c r="J2305">
        <v>0</v>
      </c>
      <c r="K2305">
        <v>24109.279999999999</v>
      </c>
    </row>
    <row r="2306" spans="1:11" x14ac:dyDescent="0.35">
      <c r="A2306">
        <v>2300000113</v>
      </c>
      <c r="B2306">
        <v>9400003374</v>
      </c>
      <c r="C2306" s="10">
        <v>46139</v>
      </c>
      <c r="D2306" t="s">
        <v>2032</v>
      </c>
      <c r="E2306" s="11">
        <v>18429258</v>
      </c>
      <c r="F2306" t="s">
        <v>1035</v>
      </c>
      <c r="G2306" t="s">
        <v>1036</v>
      </c>
      <c r="H2306" s="10">
        <v>46184</v>
      </c>
      <c r="I2306">
        <v>37663.82</v>
      </c>
      <c r="J2306">
        <v>0</v>
      </c>
      <c r="K2306">
        <v>37663.82</v>
      </c>
    </row>
    <row r="2307" spans="1:11" x14ac:dyDescent="0.35">
      <c r="A2307">
        <v>9200000201</v>
      </c>
      <c r="B2307">
        <v>9400003369</v>
      </c>
      <c r="C2307" s="10">
        <v>46139</v>
      </c>
      <c r="D2307" t="s">
        <v>2032</v>
      </c>
      <c r="E2307" s="11">
        <v>18428754</v>
      </c>
      <c r="F2307" t="s">
        <v>439</v>
      </c>
      <c r="G2307" t="s">
        <v>440</v>
      </c>
      <c r="H2307" s="10">
        <v>46184</v>
      </c>
      <c r="I2307">
        <v>160933.46</v>
      </c>
      <c r="J2307">
        <v>0</v>
      </c>
      <c r="K2307">
        <v>160933.46</v>
      </c>
    </row>
    <row r="2308" spans="1:11" x14ac:dyDescent="0.35">
      <c r="A2308">
        <v>5100000240</v>
      </c>
      <c r="B2308">
        <v>9400003362</v>
      </c>
      <c r="C2308" s="10">
        <v>46139</v>
      </c>
      <c r="D2308" t="s">
        <v>2032</v>
      </c>
      <c r="E2308" s="11">
        <v>18429317</v>
      </c>
      <c r="F2308" t="s">
        <v>573</v>
      </c>
      <c r="G2308" t="s">
        <v>574</v>
      </c>
      <c r="H2308" s="10">
        <v>46184</v>
      </c>
      <c r="I2308">
        <v>242153.58</v>
      </c>
      <c r="J2308">
        <v>0</v>
      </c>
      <c r="K2308">
        <v>242153.58</v>
      </c>
    </row>
    <row r="2309" spans="1:11" x14ac:dyDescent="0.35">
      <c r="A2309">
        <v>5100000239</v>
      </c>
      <c r="B2309">
        <v>9400003352</v>
      </c>
      <c r="C2309" s="10">
        <v>46139</v>
      </c>
      <c r="D2309" t="s">
        <v>2032</v>
      </c>
      <c r="E2309" s="11">
        <v>5130000023</v>
      </c>
      <c r="F2309" t="s">
        <v>1037</v>
      </c>
      <c r="G2309" t="s">
        <v>1038</v>
      </c>
      <c r="H2309" s="10">
        <v>46139</v>
      </c>
      <c r="I2309">
        <v>5899.38</v>
      </c>
      <c r="J2309">
        <v>3688.16</v>
      </c>
      <c r="K2309">
        <v>2211.2200000000003</v>
      </c>
    </row>
    <row r="2310" spans="1:11" x14ac:dyDescent="0.35">
      <c r="A2310">
        <v>8000000133</v>
      </c>
      <c r="B2310">
        <v>9400003338</v>
      </c>
      <c r="C2310" s="10">
        <v>46139</v>
      </c>
      <c r="D2310" t="s">
        <v>2032</v>
      </c>
      <c r="E2310" s="11">
        <v>18429158</v>
      </c>
      <c r="F2310" t="s">
        <v>693</v>
      </c>
      <c r="G2310" t="s">
        <v>694</v>
      </c>
      <c r="H2310" s="10">
        <v>46184</v>
      </c>
      <c r="I2310">
        <v>185520.92</v>
      </c>
      <c r="J2310">
        <v>0</v>
      </c>
      <c r="K2310">
        <v>185520.92</v>
      </c>
    </row>
    <row r="2311" spans="1:11" x14ac:dyDescent="0.35">
      <c r="A2311">
        <v>8000000131</v>
      </c>
      <c r="B2311">
        <v>9400003334</v>
      </c>
      <c r="C2311" s="10">
        <v>46139</v>
      </c>
      <c r="D2311" t="s">
        <v>2032</v>
      </c>
      <c r="E2311" s="11">
        <v>18428759</v>
      </c>
      <c r="F2311" t="s">
        <v>1039</v>
      </c>
      <c r="G2311" t="s">
        <v>1040</v>
      </c>
      <c r="H2311" s="10">
        <v>46184</v>
      </c>
      <c r="I2311">
        <v>68035.259999999995</v>
      </c>
      <c r="J2311">
        <v>0</v>
      </c>
      <c r="K2311">
        <v>68035.259999999995</v>
      </c>
    </row>
    <row r="2312" spans="1:11" x14ac:dyDescent="0.35">
      <c r="A2312">
        <v>2730000122</v>
      </c>
      <c r="B2312">
        <v>9400003318</v>
      </c>
      <c r="C2312" s="10">
        <v>46139</v>
      </c>
      <c r="D2312" t="s">
        <v>2032</v>
      </c>
      <c r="E2312" s="11">
        <v>18428668</v>
      </c>
      <c r="F2312" t="s">
        <v>523</v>
      </c>
      <c r="G2312" t="s">
        <v>524</v>
      </c>
      <c r="H2312" s="10">
        <v>46184</v>
      </c>
      <c r="I2312">
        <v>59998.28</v>
      </c>
      <c r="J2312">
        <v>0</v>
      </c>
      <c r="K2312">
        <v>59998.28</v>
      </c>
    </row>
    <row r="2313" spans="1:11" x14ac:dyDescent="0.35">
      <c r="A2313">
        <v>9300000186</v>
      </c>
      <c r="B2313">
        <v>9400003303</v>
      </c>
      <c r="C2313" s="10">
        <v>46139</v>
      </c>
      <c r="D2313" t="s">
        <v>2032</v>
      </c>
      <c r="E2313" s="11">
        <v>18428096</v>
      </c>
      <c r="F2313" t="s">
        <v>621</v>
      </c>
      <c r="G2313" t="s">
        <v>622</v>
      </c>
      <c r="H2313" s="10">
        <v>46184</v>
      </c>
      <c r="I2313">
        <v>76068.62</v>
      </c>
      <c r="J2313">
        <v>0</v>
      </c>
      <c r="K2313">
        <v>76068.62</v>
      </c>
    </row>
    <row r="2314" spans="1:11" x14ac:dyDescent="0.35">
      <c r="A2314">
        <v>9300000185</v>
      </c>
      <c r="B2314">
        <v>9400003300</v>
      </c>
      <c r="C2314" s="10">
        <v>46139</v>
      </c>
      <c r="D2314" t="s">
        <v>2032</v>
      </c>
      <c r="E2314" s="11">
        <v>18417801</v>
      </c>
      <c r="F2314" t="s">
        <v>471</v>
      </c>
      <c r="G2314" t="s">
        <v>472</v>
      </c>
      <c r="H2314" s="10">
        <v>46184</v>
      </c>
      <c r="I2314">
        <v>3523.3</v>
      </c>
      <c r="J2314">
        <v>0</v>
      </c>
      <c r="K2314">
        <v>3523.3</v>
      </c>
    </row>
    <row r="2315" spans="1:11" x14ac:dyDescent="0.35">
      <c r="A2315">
        <v>2720000083</v>
      </c>
      <c r="B2315">
        <v>9400003297</v>
      </c>
      <c r="C2315" s="10">
        <v>46139</v>
      </c>
      <c r="D2315" t="s">
        <v>2032</v>
      </c>
      <c r="E2315" s="11">
        <v>18428627</v>
      </c>
      <c r="F2315" t="s">
        <v>1041</v>
      </c>
      <c r="G2315" t="s">
        <v>1042</v>
      </c>
      <c r="H2315" s="10">
        <v>46184</v>
      </c>
      <c r="I2315">
        <v>278064.18</v>
      </c>
      <c r="J2315">
        <v>0</v>
      </c>
      <c r="K2315">
        <v>278064.18</v>
      </c>
    </row>
    <row r="2316" spans="1:11" x14ac:dyDescent="0.35">
      <c r="A2316">
        <v>9300000184</v>
      </c>
      <c r="B2316">
        <v>9400003289</v>
      </c>
      <c r="C2316" s="10">
        <v>46139</v>
      </c>
      <c r="D2316" t="s">
        <v>2032</v>
      </c>
      <c r="E2316" s="11">
        <v>18417886</v>
      </c>
      <c r="F2316" t="s">
        <v>1043</v>
      </c>
      <c r="G2316" t="s">
        <v>1044</v>
      </c>
      <c r="H2316" s="10">
        <v>46184</v>
      </c>
      <c r="I2316">
        <v>8971.76</v>
      </c>
      <c r="J2316">
        <v>0</v>
      </c>
      <c r="K2316">
        <v>8971.76</v>
      </c>
    </row>
    <row r="2317" spans="1:11" x14ac:dyDescent="0.35">
      <c r="A2317">
        <v>9300000181</v>
      </c>
      <c r="B2317">
        <v>9400003279</v>
      </c>
      <c r="C2317" s="10">
        <v>46139</v>
      </c>
      <c r="D2317" t="s">
        <v>2032</v>
      </c>
      <c r="E2317" s="11">
        <v>18428154</v>
      </c>
      <c r="F2317" t="s">
        <v>1045</v>
      </c>
      <c r="G2317" t="s">
        <v>1046</v>
      </c>
      <c r="H2317" s="10">
        <v>46184</v>
      </c>
      <c r="I2317">
        <v>182642.76</v>
      </c>
      <c r="J2317">
        <v>0</v>
      </c>
      <c r="K2317">
        <v>182642.76</v>
      </c>
    </row>
    <row r="2318" spans="1:11" x14ac:dyDescent="0.35">
      <c r="A2318">
        <v>9300000180</v>
      </c>
      <c r="B2318">
        <v>9400003274</v>
      </c>
      <c r="C2318" s="10">
        <v>46139</v>
      </c>
      <c r="D2318" t="s">
        <v>2032</v>
      </c>
      <c r="E2318" s="11">
        <v>18428154</v>
      </c>
      <c r="F2318" t="s">
        <v>1045</v>
      </c>
      <c r="G2318" t="s">
        <v>1046</v>
      </c>
      <c r="H2318" s="10">
        <v>46184</v>
      </c>
      <c r="I2318">
        <v>39652.94</v>
      </c>
      <c r="J2318">
        <v>0</v>
      </c>
      <c r="K2318">
        <v>39652.94</v>
      </c>
    </row>
    <row r="2319" spans="1:11" x14ac:dyDescent="0.35">
      <c r="A2319">
        <v>2730000118</v>
      </c>
      <c r="B2319">
        <v>9400003250</v>
      </c>
      <c r="C2319" s="10">
        <v>46139</v>
      </c>
      <c r="D2319" t="s">
        <v>2032</v>
      </c>
      <c r="E2319" s="11">
        <v>3157</v>
      </c>
      <c r="F2319" t="s">
        <v>1047</v>
      </c>
      <c r="G2319" t="s">
        <v>1048</v>
      </c>
      <c r="H2319" s="10">
        <v>46184</v>
      </c>
      <c r="I2319">
        <v>15025.18</v>
      </c>
      <c r="J2319">
        <v>0</v>
      </c>
      <c r="K2319">
        <v>15025.18</v>
      </c>
    </row>
    <row r="2320" spans="1:11" x14ac:dyDescent="0.35">
      <c r="A2320">
        <v>2000000059</v>
      </c>
      <c r="B2320">
        <v>9400003247</v>
      </c>
      <c r="C2320" s="10">
        <v>46139</v>
      </c>
      <c r="D2320" t="s">
        <v>2032</v>
      </c>
      <c r="E2320" s="11">
        <v>18417874</v>
      </c>
      <c r="F2320" t="s">
        <v>1049</v>
      </c>
      <c r="G2320" t="s">
        <v>1050</v>
      </c>
      <c r="H2320" s="10">
        <v>46184</v>
      </c>
      <c r="I2320">
        <v>76085.22</v>
      </c>
      <c r="J2320">
        <v>0</v>
      </c>
      <c r="K2320">
        <v>76085.22</v>
      </c>
    </row>
    <row r="2321" spans="1:11" x14ac:dyDescent="0.35">
      <c r="A2321">
        <v>7000000126</v>
      </c>
      <c r="B2321">
        <v>9400003239</v>
      </c>
      <c r="C2321" s="10">
        <v>46139</v>
      </c>
      <c r="D2321" t="s">
        <v>2032</v>
      </c>
      <c r="E2321" s="11">
        <v>18428962</v>
      </c>
      <c r="F2321" t="s">
        <v>513</v>
      </c>
      <c r="G2321" t="s">
        <v>514</v>
      </c>
      <c r="H2321" s="10">
        <v>46184</v>
      </c>
      <c r="I2321">
        <v>17716.54</v>
      </c>
      <c r="J2321">
        <v>0</v>
      </c>
      <c r="K2321">
        <v>17716.54</v>
      </c>
    </row>
    <row r="2322" spans="1:11" x14ac:dyDescent="0.35">
      <c r="A2322">
        <v>2000000058</v>
      </c>
      <c r="B2322">
        <v>9400003237</v>
      </c>
      <c r="C2322" s="10">
        <v>46139</v>
      </c>
      <c r="D2322" t="s">
        <v>2032</v>
      </c>
      <c r="E2322" s="11">
        <v>18417869</v>
      </c>
      <c r="F2322" t="s">
        <v>1051</v>
      </c>
      <c r="G2322" t="s">
        <v>1052</v>
      </c>
      <c r="H2322" s="10">
        <v>46184</v>
      </c>
      <c r="I2322">
        <v>112004.8</v>
      </c>
      <c r="J2322">
        <v>0</v>
      </c>
      <c r="K2322">
        <v>112004.8</v>
      </c>
    </row>
    <row r="2323" spans="1:11" x14ac:dyDescent="0.35">
      <c r="B2323">
        <v>1800000514</v>
      </c>
      <c r="C2323" s="10">
        <v>46139</v>
      </c>
      <c r="D2323" t="s">
        <v>2052</v>
      </c>
      <c r="E2323" s="11" t="s">
        <v>2053</v>
      </c>
      <c r="F2323" t="s">
        <v>717</v>
      </c>
      <c r="G2323" t="s">
        <v>718</v>
      </c>
      <c r="H2323" s="10">
        <v>46169</v>
      </c>
      <c r="I2323">
        <v>3110</v>
      </c>
      <c r="J2323">
        <v>12.98</v>
      </c>
      <c r="K2323">
        <v>3097.02</v>
      </c>
    </row>
    <row r="2324" spans="1:11" x14ac:dyDescent="0.35">
      <c r="B2324">
        <v>1800000509</v>
      </c>
      <c r="C2324" s="10">
        <v>46139</v>
      </c>
      <c r="D2324" t="s">
        <v>2052</v>
      </c>
      <c r="E2324" s="11" t="s">
        <v>2053</v>
      </c>
      <c r="F2324" t="s">
        <v>1055</v>
      </c>
      <c r="G2324" t="s">
        <v>1056</v>
      </c>
      <c r="H2324" s="10">
        <v>46139</v>
      </c>
      <c r="I2324">
        <v>10724</v>
      </c>
      <c r="J2324">
        <v>0</v>
      </c>
      <c r="K2324">
        <v>10724</v>
      </c>
    </row>
    <row r="2325" spans="1:11" x14ac:dyDescent="0.35">
      <c r="B2325">
        <v>1800000505</v>
      </c>
      <c r="C2325" s="10">
        <v>46139</v>
      </c>
      <c r="D2325" t="s">
        <v>2052</v>
      </c>
      <c r="E2325" s="11" t="s">
        <v>2053</v>
      </c>
      <c r="F2325" t="s">
        <v>1057</v>
      </c>
      <c r="G2325" t="s">
        <v>1058</v>
      </c>
      <c r="H2325" s="10">
        <v>46139</v>
      </c>
      <c r="I2325">
        <v>2073</v>
      </c>
      <c r="J2325">
        <v>458.72</v>
      </c>
      <c r="K2325">
        <v>1614.28</v>
      </c>
    </row>
    <row r="2326" spans="1:11" x14ac:dyDescent="0.35">
      <c r="B2326">
        <v>1800000487</v>
      </c>
      <c r="C2326" s="10">
        <v>46139</v>
      </c>
      <c r="D2326" t="s">
        <v>2052</v>
      </c>
      <c r="E2326" s="11" t="s">
        <v>2053</v>
      </c>
      <c r="F2326" t="s">
        <v>1059</v>
      </c>
      <c r="G2326" t="s">
        <v>1060</v>
      </c>
      <c r="H2326" s="10">
        <v>46139</v>
      </c>
      <c r="I2326">
        <v>4975</v>
      </c>
      <c r="J2326">
        <v>0</v>
      </c>
      <c r="K2326">
        <v>4975</v>
      </c>
    </row>
    <row r="2327" spans="1:11" x14ac:dyDescent="0.35">
      <c r="B2327">
        <v>1800000456</v>
      </c>
      <c r="C2327" s="10">
        <v>46139</v>
      </c>
      <c r="D2327" t="s">
        <v>2052</v>
      </c>
      <c r="E2327" s="11" t="s">
        <v>2053</v>
      </c>
      <c r="F2327" t="s">
        <v>1063</v>
      </c>
      <c r="G2327" t="s">
        <v>1064</v>
      </c>
      <c r="H2327" s="10">
        <v>46169</v>
      </c>
      <c r="I2327">
        <v>6993</v>
      </c>
      <c r="J2327">
        <v>0</v>
      </c>
      <c r="K2327">
        <v>6993</v>
      </c>
    </row>
    <row r="2328" spans="1:11" x14ac:dyDescent="0.35">
      <c r="B2328">
        <v>1800000455</v>
      </c>
      <c r="C2328" s="10">
        <v>46139</v>
      </c>
      <c r="D2328" t="s">
        <v>2052</v>
      </c>
      <c r="E2328" s="11" t="s">
        <v>2053</v>
      </c>
      <c r="F2328" t="s">
        <v>929</v>
      </c>
      <c r="G2328" t="s">
        <v>930</v>
      </c>
      <c r="H2328" s="10">
        <v>46169</v>
      </c>
      <c r="I2328">
        <v>7739</v>
      </c>
      <c r="J2328">
        <v>6202.77</v>
      </c>
      <c r="K2328">
        <v>1536.2299999999996</v>
      </c>
    </row>
    <row r="2329" spans="1:11" x14ac:dyDescent="0.35">
      <c r="B2329">
        <v>1800000454</v>
      </c>
      <c r="C2329" s="10">
        <v>46139</v>
      </c>
      <c r="D2329" t="s">
        <v>2052</v>
      </c>
      <c r="E2329" s="11" t="s">
        <v>2053</v>
      </c>
      <c r="F2329" t="s">
        <v>331</v>
      </c>
      <c r="G2329" t="s">
        <v>332</v>
      </c>
      <c r="H2329" s="10">
        <v>46169</v>
      </c>
      <c r="I2329">
        <v>12272</v>
      </c>
      <c r="J2329">
        <v>0</v>
      </c>
      <c r="K2329">
        <v>12272</v>
      </c>
    </row>
    <row r="2330" spans="1:11" x14ac:dyDescent="0.35">
      <c r="B2330">
        <v>1800000450</v>
      </c>
      <c r="C2330" s="10">
        <v>46139</v>
      </c>
      <c r="D2330" t="s">
        <v>2052</v>
      </c>
      <c r="E2330" s="11" t="s">
        <v>2053</v>
      </c>
      <c r="F2330" t="s">
        <v>1065</v>
      </c>
      <c r="G2330" t="s">
        <v>1066</v>
      </c>
      <c r="H2330" s="10">
        <v>46154</v>
      </c>
      <c r="I2330">
        <v>1106</v>
      </c>
      <c r="J2330">
        <v>52.78</v>
      </c>
      <c r="K2330">
        <v>1053.22</v>
      </c>
    </row>
    <row r="2331" spans="1:11" x14ac:dyDescent="0.35">
      <c r="B2331">
        <v>1800000448</v>
      </c>
      <c r="C2331" s="10">
        <v>46139</v>
      </c>
      <c r="D2331" t="s">
        <v>2052</v>
      </c>
      <c r="E2331" s="11" t="s">
        <v>2053</v>
      </c>
      <c r="F2331" t="s">
        <v>1067</v>
      </c>
      <c r="G2331" t="s">
        <v>1068</v>
      </c>
      <c r="H2331" s="10">
        <v>46139</v>
      </c>
      <c r="I2331">
        <v>1741</v>
      </c>
      <c r="J2331">
        <v>0</v>
      </c>
      <c r="K2331">
        <v>1741</v>
      </c>
    </row>
    <row r="2332" spans="1:11" x14ac:dyDescent="0.35">
      <c r="B2332">
        <v>1800000447</v>
      </c>
      <c r="C2332" s="10">
        <v>46139</v>
      </c>
      <c r="D2332" t="s">
        <v>2052</v>
      </c>
      <c r="E2332" s="11" t="s">
        <v>2053</v>
      </c>
      <c r="F2332" t="s">
        <v>1069</v>
      </c>
      <c r="G2332" t="s">
        <v>1070</v>
      </c>
      <c r="H2332" s="10">
        <v>46169</v>
      </c>
      <c r="I2332">
        <v>2377</v>
      </c>
      <c r="J2332">
        <v>0</v>
      </c>
      <c r="K2332">
        <v>2377</v>
      </c>
    </row>
    <row r="2333" spans="1:11" x14ac:dyDescent="0.35">
      <c r="B2333">
        <v>1800000444</v>
      </c>
      <c r="C2333" s="10">
        <v>46139</v>
      </c>
      <c r="D2333" t="s">
        <v>2052</v>
      </c>
      <c r="E2333" s="11" t="s">
        <v>2053</v>
      </c>
      <c r="F2333" t="s">
        <v>1071</v>
      </c>
      <c r="G2333" t="s">
        <v>1072</v>
      </c>
      <c r="H2333" s="10">
        <v>46139</v>
      </c>
      <c r="I2333">
        <v>3317</v>
      </c>
      <c r="J2333">
        <v>874.25</v>
      </c>
      <c r="K2333">
        <v>2442.75</v>
      </c>
    </row>
    <row r="2334" spans="1:11" x14ac:dyDescent="0.35">
      <c r="B2334">
        <v>1800000431</v>
      </c>
      <c r="C2334" s="10">
        <v>46139</v>
      </c>
      <c r="D2334" t="s">
        <v>2052</v>
      </c>
      <c r="E2334" s="11" t="s">
        <v>2053</v>
      </c>
      <c r="F2334" t="s">
        <v>587</v>
      </c>
      <c r="G2334" t="s">
        <v>588</v>
      </c>
      <c r="H2334" s="10">
        <v>46169</v>
      </c>
      <c r="I2334">
        <v>2239</v>
      </c>
      <c r="J2334">
        <v>0</v>
      </c>
      <c r="K2334">
        <v>2239</v>
      </c>
    </row>
    <row r="2335" spans="1:11" x14ac:dyDescent="0.35">
      <c r="B2335">
        <v>1800000428</v>
      </c>
      <c r="C2335" s="10">
        <v>46139</v>
      </c>
      <c r="D2335" t="s">
        <v>2052</v>
      </c>
      <c r="E2335" s="11" t="s">
        <v>2053</v>
      </c>
      <c r="F2335" t="s">
        <v>1075</v>
      </c>
      <c r="G2335" t="s">
        <v>1076</v>
      </c>
      <c r="H2335" s="10">
        <v>46169</v>
      </c>
      <c r="I2335">
        <v>2474</v>
      </c>
      <c r="J2335">
        <v>1118.22</v>
      </c>
      <c r="K2335">
        <v>1355.78</v>
      </c>
    </row>
    <row r="2336" spans="1:11" x14ac:dyDescent="0.35">
      <c r="B2336">
        <v>1800000425</v>
      </c>
      <c r="C2336" s="10">
        <v>46139</v>
      </c>
      <c r="D2336" t="s">
        <v>2052</v>
      </c>
      <c r="E2336" s="11" t="s">
        <v>2053</v>
      </c>
      <c r="F2336" t="s">
        <v>1077</v>
      </c>
      <c r="G2336" t="s">
        <v>1078</v>
      </c>
      <c r="H2336" s="10">
        <v>46169</v>
      </c>
      <c r="I2336">
        <v>3331</v>
      </c>
      <c r="J2336">
        <v>678.38</v>
      </c>
      <c r="K2336">
        <v>2652.62</v>
      </c>
    </row>
    <row r="2337" spans="2:11" x14ac:dyDescent="0.35">
      <c r="B2337">
        <v>1800000419</v>
      </c>
      <c r="C2337" s="10">
        <v>46139</v>
      </c>
      <c r="D2337" t="s">
        <v>2052</v>
      </c>
      <c r="E2337" s="11" t="s">
        <v>2053</v>
      </c>
      <c r="F2337" t="s">
        <v>292</v>
      </c>
      <c r="G2337" t="s">
        <v>293</v>
      </c>
      <c r="H2337" s="10">
        <v>46169</v>
      </c>
      <c r="I2337">
        <v>5265</v>
      </c>
      <c r="J2337">
        <v>0</v>
      </c>
      <c r="K2337">
        <v>5265</v>
      </c>
    </row>
    <row r="2338" spans="2:11" x14ac:dyDescent="0.35">
      <c r="B2338">
        <v>1800000416</v>
      </c>
      <c r="C2338" s="10">
        <v>46139</v>
      </c>
      <c r="D2338" t="s">
        <v>2052</v>
      </c>
      <c r="E2338" s="11" t="s">
        <v>2053</v>
      </c>
      <c r="F2338" t="s">
        <v>1079</v>
      </c>
      <c r="G2338" t="s">
        <v>1080</v>
      </c>
      <c r="H2338" s="10">
        <v>46169</v>
      </c>
      <c r="I2338">
        <v>1078</v>
      </c>
      <c r="J2338">
        <v>0</v>
      </c>
      <c r="K2338">
        <v>1078</v>
      </c>
    </row>
    <row r="2339" spans="2:11" x14ac:dyDescent="0.35">
      <c r="B2339">
        <v>1800000413</v>
      </c>
      <c r="C2339" s="10">
        <v>46139</v>
      </c>
      <c r="D2339" t="s">
        <v>2052</v>
      </c>
      <c r="E2339" s="11" t="s">
        <v>2053</v>
      </c>
      <c r="F2339" t="s">
        <v>1081</v>
      </c>
      <c r="G2339" t="s">
        <v>1082</v>
      </c>
      <c r="H2339" s="10">
        <v>46169</v>
      </c>
      <c r="I2339">
        <v>1824</v>
      </c>
      <c r="J2339">
        <v>0</v>
      </c>
      <c r="K2339">
        <v>1824</v>
      </c>
    </row>
    <row r="2340" spans="2:11" x14ac:dyDescent="0.35">
      <c r="B2340">
        <v>1800000408</v>
      </c>
      <c r="C2340" s="10">
        <v>46139</v>
      </c>
      <c r="D2340" t="s">
        <v>2052</v>
      </c>
      <c r="E2340" s="11" t="s">
        <v>2053</v>
      </c>
      <c r="F2340" t="s">
        <v>1087</v>
      </c>
      <c r="G2340" t="s">
        <v>1088</v>
      </c>
      <c r="H2340" s="10">
        <v>46169</v>
      </c>
      <c r="I2340">
        <v>3317</v>
      </c>
      <c r="J2340">
        <v>0</v>
      </c>
      <c r="K2340">
        <v>3317</v>
      </c>
    </row>
    <row r="2341" spans="2:11" x14ac:dyDescent="0.35">
      <c r="B2341">
        <v>1800000407</v>
      </c>
      <c r="C2341" s="10">
        <v>46139</v>
      </c>
      <c r="D2341" t="s">
        <v>2052</v>
      </c>
      <c r="E2341" s="11" t="s">
        <v>2053</v>
      </c>
      <c r="F2341" t="s">
        <v>1089</v>
      </c>
      <c r="G2341" t="s">
        <v>1090</v>
      </c>
      <c r="H2341" s="10">
        <v>46169</v>
      </c>
      <c r="I2341">
        <v>3455</v>
      </c>
      <c r="J2341">
        <v>0</v>
      </c>
      <c r="K2341">
        <v>3455</v>
      </c>
    </row>
    <row r="2342" spans="2:11" x14ac:dyDescent="0.35">
      <c r="B2342">
        <v>1800000406</v>
      </c>
      <c r="C2342" s="10">
        <v>46139</v>
      </c>
      <c r="D2342" t="s">
        <v>2052</v>
      </c>
      <c r="E2342" s="11" t="s">
        <v>2053</v>
      </c>
      <c r="F2342" t="s">
        <v>1015</v>
      </c>
      <c r="G2342" t="s">
        <v>1016</v>
      </c>
      <c r="H2342" s="10">
        <v>46169</v>
      </c>
      <c r="I2342">
        <v>4602</v>
      </c>
      <c r="J2342">
        <v>1144.1099999999999</v>
      </c>
      <c r="K2342">
        <v>3457.8900000000003</v>
      </c>
    </row>
    <row r="2343" spans="2:11" x14ac:dyDescent="0.35">
      <c r="B2343">
        <v>1800000403</v>
      </c>
      <c r="C2343" s="10">
        <v>46139</v>
      </c>
      <c r="D2343" t="s">
        <v>2052</v>
      </c>
      <c r="E2343" s="11" t="s">
        <v>2053</v>
      </c>
      <c r="F2343" t="s">
        <v>1091</v>
      </c>
      <c r="G2343" t="s">
        <v>1092</v>
      </c>
      <c r="H2343" s="10">
        <v>46169</v>
      </c>
      <c r="I2343">
        <v>8292</v>
      </c>
      <c r="J2343">
        <v>0</v>
      </c>
      <c r="K2343">
        <v>8292</v>
      </c>
    </row>
    <row r="2344" spans="2:11" x14ac:dyDescent="0.35">
      <c r="B2344">
        <v>1800000399</v>
      </c>
      <c r="C2344" s="10">
        <v>46139</v>
      </c>
      <c r="D2344" t="s">
        <v>2052</v>
      </c>
      <c r="E2344" s="11" t="s">
        <v>2053</v>
      </c>
      <c r="F2344" t="s">
        <v>1093</v>
      </c>
      <c r="G2344" t="s">
        <v>1094</v>
      </c>
      <c r="H2344" s="10">
        <v>46169</v>
      </c>
      <c r="I2344">
        <v>1106</v>
      </c>
      <c r="J2344">
        <v>0</v>
      </c>
      <c r="K2344">
        <v>1106</v>
      </c>
    </row>
    <row r="2345" spans="2:11" x14ac:dyDescent="0.35">
      <c r="B2345">
        <v>1800000398</v>
      </c>
      <c r="C2345" s="10">
        <v>46139</v>
      </c>
      <c r="D2345" t="s">
        <v>2052</v>
      </c>
      <c r="E2345" s="11" t="s">
        <v>2053</v>
      </c>
      <c r="F2345" t="s">
        <v>1095</v>
      </c>
      <c r="G2345" t="s">
        <v>1096</v>
      </c>
      <c r="H2345" s="10">
        <v>46139</v>
      </c>
      <c r="I2345">
        <v>4533</v>
      </c>
      <c r="J2345">
        <v>0</v>
      </c>
      <c r="K2345">
        <v>4533</v>
      </c>
    </row>
    <row r="2346" spans="2:11" x14ac:dyDescent="0.35">
      <c r="B2346">
        <v>1800000397</v>
      </c>
      <c r="C2346" s="10">
        <v>46139</v>
      </c>
      <c r="D2346" t="s">
        <v>2052</v>
      </c>
      <c r="E2346" s="11" t="s">
        <v>2053</v>
      </c>
      <c r="F2346" t="s">
        <v>1097</v>
      </c>
      <c r="G2346" t="s">
        <v>1098</v>
      </c>
      <c r="H2346" s="10">
        <v>46169</v>
      </c>
      <c r="I2346">
        <v>7629</v>
      </c>
      <c r="J2346">
        <v>3692.05</v>
      </c>
      <c r="K2346">
        <v>3936.95</v>
      </c>
    </row>
    <row r="2347" spans="2:11" x14ac:dyDescent="0.35">
      <c r="B2347">
        <v>1800000395</v>
      </c>
      <c r="C2347" s="10">
        <v>46139</v>
      </c>
      <c r="D2347" t="s">
        <v>2052</v>
      </c>
      <c r="E2347" s="11" t="s">
        <v>2053</v>
      </c>
      <c r="F2347" t="s">
        <v>1099</v>
      </c>
      <c r="G2347" t="s">
        <v>1100</v>
      </c>
      <c r="H2347" s="10">
        <v>46169</v>
      </c>
      <c r="I2347">
        <v>11263</v>
      </c>
      <c r="J2347">
        <v>0</v>
      </c>
      <c r="K2347">
        <v>11263</v>
      </c>
    </row>
    <row r="2348" spans="2:11" x14ac:dyDescent="0.35">
      <c r="B2348">
        <v>1800000370</v>
      </c>
      <c r="C2348" s="10">
        <v>46139</v>
      </c>
      <c r="D2348" t="s">
        <v>2052</v>
      </c>
      <c r="E2348" s="11" t="s">
        <v>2053</v>
      </c>
      <c r="F2348" t="s">
        <v>1103</v>
      </c>
      <c r="G2348" t="s">
        <v>1104</v>
      </c>
      <c r="H2348" s="10">
        <v>46139</v>
      </c>
      <c r="I2348">
        <v>1493</v>
      </c>
      <c r="J2348">
        <v>0</v>
      </c>
      <c r="K2348">
        <v>1493</v>
      </c>
    </row>
    <row r="2349" spans="2:11" x14ac:dyDescent="0.35">
      <c r="B2349">
        <v>1800000339</v>
      </c>
      <c r="C2349" s="10">
        <v>46139</v>
      </c>
      <c r="D2349" t="s">
        <v>2052</v>
      </c>
      <c r="E2349" s="11" t="s">
        <v>2053</v>
      </c>
      <c r="F2349" t="s">
        <v>1107</v>
      </c>
      <c r="G2349" t="s">
        <v>1108</v>
      </c>
      <c r="H2349" s="10">
        <v>46139</v>
      </c>
      <c r="I2349">
        <v>1658</v>
      </c>
      <c r="J2349">
        <v>307.52</v>
      </c>
      <c r="K2349">
        <v>1350.48</v>
      </c>
    </row>
    <row r="2350" spans="2:11" x14ac:dyDescent="0.35">
      <c r="B2350">
        <v>1800000284</v>
      </c>
      <c r="C2350" s="10">
        <v>46139</v>
      </c>
      <c r="D2350" t="s">
        <v>2052</v>
      </c>
      <c r="E2350" s="11" t="s">
        <v>2053</v>
      </c>
      <c r="F2350" t="s">
        <v>1113</v>
      </c>
      <c r="G2350" t="s">
        <v>1114</v>
      </c>
      <c r="H2350" s="10">
        <v>46139</v>
      </c>
      <c r="I2350">
        <v>4975</v>
      </c>
      <c r="J2350">
        <v>0</v>
      </c>
      <c r="K2350">
        <v>4975</v>
      </c>
    </row>
    <row r="2351" spans="2:11" x14ac:dyDescent="0.35">
      <c r="B2351">
        <v>1800000277</v>
      </c>
      <c r="C2351" s="10">
        <v>46139</v>
      </c>
      <c r="D2351" t="s">
        <v>2052</v>
      </c>
      <c r="E2351" s="11" t="s">
        <v>2053</v>
      </c>
      <c r="F2351" t="s">
        <v>1115</v>
      </c>
      <c r="G2351" t="s">
        <v>1116</v>
      </c>
      <c r="H2351" s="10">
        <v>46139</v>
      </c>
      <c r="I2351">
        <v>2045</v>
      </c>
      <c r="J2351">
        <v>0</v>
      </c>
      <c r="K2351">
        <v>2045</v>
      </c>
    </row>
    <row r="2352" spans="2:11" x14ac:dyDescent="0.35">
      <c r="B2352">
        <v>1800000273</v>
      </c>
      <c r="C2352" s="10">
        <v>46139</v>
      </c>
      <c r="D2352" t="s">
        <v>2052</v>
      </c>
      <c r="E2352" s="11" t="s">
        <v>2053</v>
      </c>
      <c r="F2352" t="s">
        <v>1117</v>
      </c>
      <c r="G2352" t="s">
        <v>1118</v>
      </c>
      <c r="H2352" s="10">
        <v>46139</v>
      </c>
      <c r="I2352">
        <v>3427</v>
      </c>
      <c r="J2352">
        <v>0</v>
      </c>
      <c r="K2352">
        <v>3427</v>
      </c>
    </row>
    <row r="2353" spans="1:11" x14ac:dyDescent="0.35">
      <c r="B2353">
        <v>1800000263</v>
      </c>
      <c r="C2353" s="10">
        <v>46139</v>
      </c>
      <c r="D2353" t="s">
        <v>2052</v>
      </c>
      <c r="E2353" s="11" t="s">
        <v>2053</v>
      </c>
      <c r="F2353" t="s">
        <v>1119</v>
      </c>
      <c r="G2353" t="s">
        <v>1120</v>
      </c>
      <c r="H2353" s="10">
        <v>46139</v>
      </c>
      <c r="I2353">
        <v>1658</v>
      </c>
      <c r="J2353">
        <v>0</v>
      </c>
      <c r="K2353">
        <v>1658</v>
      </c>
    </row>
    <row r="2354" spans="1:11" x14ac:dyDescent="0.35">
      <c r="A2354">
        <v>9300000176</v>
      </c>
      <c r="B2354">
        <v>9400003178</v>
      </c>
      <c r="C2354" s="10">
        <v>46137</v>
      </c>
      <c r="D2354" t="s">
        <v>2032</v>
      </c>
      <c r="E2354" s="11">
        <v>18417886</v>
      </c>
      <c r="F2354" t="s">
        <v>1127</v>
      </c>
      <c r="G2354" t="s">
        <v>1128</v>
      </c>
      <c r="H2354" s="10">
        <v>46182</v>
      </c>
      <c r="I2354">
        <v>29380.58</v>
      </c>
      <c r="J2354">
        <v>0</v>
      </c>
      <c r="K2354">
        <v>29380.58</v>
      </c>
    </row>
    <row r="2355" spans="1:11" x14ac:dyDescent="0.35">
      <c r="A2355">
        <v>9300000174</v>
      </c>
      <c r="B2355">
        <v>9400003175</v>
      </c>
      <c r="C2355" s="10">
        <v>46137</v>
      </c>
      <c r="D2355" t="s">
        <v>2032</v>
      </c>
      <c r="E2355" s="11">
        <v>18417886</v>
      </c>
      <c r="F2355" t="s">
        <v>1129</v>
      </c>
      <c r="G2355" t="s">
        <v>1130</v>
      </c>
      <c r="H2355" s="10">
        <v>46182</v>
      </c>
      <c r="I2355">
        <v>160914.35999999999</v>
      </c>
      <c r="J2355">
        <v>0</v>
      </c>
      <c r="K2355">
        <v>160914.35999999999</v>
      </c>
    </row>
    <row r="2356" spans="1:11" x14ac:dyDescent="0.35">
      <c r="A2356">
        <v>2720000077</v>
      </c>
      <c r="B2356">
        <v>9400003173</v>
      </c>
      <c r="C2356" s="10">
        <v>46137</v>
      </c>
      <c r="D2356" t="s">
        <v>2032</v>
      </c>
      <c r="E2356" s="11">
        <v>18428153</v>
      </c>
      <c r="F2356" t="s">
        <v>314</v>
      </c>
      <c r="G2356" t="s">
        <v>315</v>
      </c>
      <c r="H2356" s="10">
        <v>46182</v>
      </c>
      <c r="I2356">
        <v>53270.51</v>
      </c>
      <c r="J2356">
        <v>0</v>
      </c>
      <c r="K2356">
        <v>53270.51</v>
      </c>
    </row>
    <row r="2357" spans="1:11" x14ac:dyDescent="0.35">
      <c r="A2357">
        <v>2720000076</v>
      </c>
      <c r="B2357">
        <v>9400003170</v>
      </c>
      <c r="C2357" s="10">
        <v>46137</v>
      </c>
      <c r="D2357" t="s">
        <v>2032</v>
      </c>
      <c r="E2357" s="11">
        <v>18428134</v>
      </c>
      <c r="F2357" t="s">
        <v>227</v>
      </c>
      <c r="G2357" t="s">
        <v>228</v>
      </c>
      <c r="H2357" s="10">
        <v>46182</v>
      </c>
      <c r="I2357">
        <v>90418.68</v>
      </c>
      <c r="J2357">
        <v>0</v>
      </c>
      <c r="K2357">
        <v>90418.68</v>
      </c>
    </row>
    <row r="2358" spans="1:11" x14ac:dyDescent="0.35">
      <c r="A2358">
        <v>9300000173</v>
      </c>
      <c r="B2358">
        <v>9400003167</v>
      </c>
      <c r="C2358" s="10">
        <v>46137</v>
      </c>
      <c r="D2358" t="s">
        <v>2032</v>
      </c>
      <c r="E2358" s="11">
        <v>18428154</v>
      </c>
      <c r="F2358" t="s">
        <v>611</v>
      </c>
      <c r="G2358" t="s">
        <v>612</v>
      </c>
      <c r="H2358" s="10">
        <v>46182</v>
      </c>
      <c r="I2358">
        <v>182642.76</v>
      </c>
      <c r="J2358">
        <v>0</v>
      </c>
      <c r="K2358">
        <v>182642.76</v>
      </c>
    </row>
    <row r="2359" spans="1:11" x14ac:dyDescent="0.35">
      <c r="A2359">
        <v>5100000222</v>
      </c>
      <c r="B2359">
        <v>9400003166</v>
      </c>
      <c r="C2359" s="10">
        <v>46137</v>
      </c>
      <c r="D2359" t="s">
        <v>2032</v>
      </c>
      <c r="E2359" s="11">
        <v>18428133</v>
      </c>
      <c r="F2359" t="s">
        <v>1073</v>
      </c>
      <c r="G2359" t="s">
        <v>1074</v>
      </c>
      <c r="H2359" s="10">
        <v>46182</v>
      </c>
      <c r="I2359">
        <v>83658.28</v>
      </c>
      <c r="J2359">
        <v>0</v>
      </c>
      <c r="K2359">
        <v>83658.28</v>
      </c>
    </row>
    <row r="2360" spans="1:11" x14ac:dyDescent="0.35">
      <c r="A2360">
        <v>9200000197</v>
      </c>
      <c r="B2360">
        <v>9400003165</v>
      </c>
      <c r="C2360" s="10">
        <v>46137</v>
      </c>
      <c r="D2360" t="s">
        <v>2032</v>
      </c>
      <c r="E2360" s="11">
        <v>18406807</v>
      </c>
      <c r="F2360" t="s">
        <v>537</v>
      </c>
      <c r="G2360" t="s">
        <v>538</v>
      </c>
      <c r="H2360" s="10">
        <v>46182</v>
      </c>
      <c r="I2360">
        <v>87219.94</v>
      </c>
      <c r="J2360">
        <v>0</v>
      </c>
      <c r="K2360">
        <v>87219.94</v>
      </c>
    </row>
    <row r="2361" spans="1:11" x14ac:dyDescent="0.35">
      <c r="A2361">
        <v>5100000220</v>
      </c>
      <c r="B2361">
        <v>9400003158</v>
      </c>
      <c r="C2361" s="10">
        <v>46137</v>
      </c>
      <c r="D2361" t="s">
        <v>2032</v>
      </c>
      <c r="E2361" s="11">
        <v>18428101</v>
      </c>
      <c r="F2361" t="s">
        <v>217</v>
      </c>
      <c r="G2361" t="s">
        <v>218</v>
      </c>
      <c r="H2361" s="10">
        <v>46182</v>
      </c>
      <c r="I2361">
        <v>95631.54</v>
      </c>
      <c r="J2361">
        <v>0</v>
      </c>
      <c r="K2361">
        <v>95631.54</v>
      </c>
    </row>
    <row r="2362" spans="1:11" x14ac:dyDescent="0.35">
      <c r="A2362">
        <v>9200000195</v>
      </c>
      <c r="B2362">
        <v>9400003157</v>
      </c>
      <c r="C2362" s="10">
        <v>46137</v>
      </c>
      <c r="D2362" t="s">
        <v>2032</v>
      </c>
      <c r="E2362" s="11">
        <v>18428096</v>
      </c>
      <c r="F2362" t="s">
        <v>429</v>
      </c>
      <c r="G2362" t="s">
        <v>430</v>
      </c>
      <c r="H2362" s="10">
        <v>46182</v>
      </c>
      <c r="I2362">
        <v>96188.64</v>
      </c>
      <c r="J2362">
        <v>0</v>
      </c>
      <c r="K2362">
        <v>96188.64</v>
      </c>
    </row>
    <row r="2363" spans="1:11" x14ac:dyDescent="0.35">
      <c r="A2363">
        <v>9300000172</v>
      </c>
      <c r="B2363">
        <v>9400003156</v>
      </c>
      <c r="C2363" s="10">
        <v>46137</v>
      </c>
      <c r="D2363" t="s">
        <v>2032</v>
      </c>
      <c r="E2363" s="11">
        <v>18428154</v>
      </c>
      <c r="F2363" t="s">
        <v>1131</v>
      </c>
      <c r="G2363" t="s">
        <v>1132</v>
      </c>
      <c r="H2363" s="10">
        <v>46182</v>
      </c>
      <c r="I2363">
        <v>39652.959999999999</v>
      </c>
      <c r="J2363">
        <v>0</v>
      </c>
      <c r="K2363">
        <v>39652.959999999999</v>
      </c>
    </row>
    <row r="2364" spans="1:11" x14ac:dyDescent="0.35">
      <c r="A2364">
        <v>9100000287</v>
      </c>
      <c r="B2364">
        <v>9400003152</v>
      </c>
      <c r="C2364" s="10">
        <v>46137</v>
      </c>
      <c r="D2364" t="s">
        <v>2032</v>
      </c>
      <c r="E2364" s="11">
        <v>124</v>
      </c>
      <c r="F2364" t="s">
        <v>489</v>
      </c>
      <c r="G2364" t="s">
        <v>490</v>
      </c>
      <c r="H2364" s="10">
        <v>46182</v>
      </c>
      <c r="I2364">
        <v>79390.86</v>
      </c>
      <c r="J2364">
        <v>0</v>
      </c>
      <c r="K2364">
        <v>79390.86</v>
      </c>
    </row>
    <row r="2365" spans="1:11" x14ac:dyDescent="0.35">
      <c r="A2365">
        <v>8000000126</v>
      </c>
      <c r="B2365">
        <v>9400003147</v>
      </c>
      <c r="C2365" s="10">
        <v>46137</v>
      </c>
      <c r="D2365" t="s">
        <v>2032</v>
      </c>
      <c r="E2365" s="11">
        <v>18428201</v>
      </c>
      <c r="F2365" t="s">
        <v>255</v>
      </c>
      <c r="G2365" t="s">
        <v>256</v>
      </c>
      <c r="H2365" s="10">
        <v>46182</v>
      </c>
      <c r="I2365">
        <v>93021.28</v>
      </c>
      <c r="J2365">
        <v>0</v>
      </c>
      <c r="K2365">
        <v>93021.28</v>
      </c>
    </row>
    <row r="2366" spans="1:11" x14ac:dyDescent="0.35">
      <c r="A2366">
        <v>2720000074</v>
      </c>
      <c r="B2366">
        <v>9400003146</v>
      </c>
      <c r="C2366" s="10">
        <v>46137</v>
      </c>
      <c r="D2366" t="s">
        <v>2032</v>
      </c>
      <c r="E2366" s="11">
        <v>18417759</v>
      </c>
      <c r="F2366" t="s">
        <v>225</v>
      </c>
      <c r="G2366" t="s">
        <v>226</v>
      </c>
      <c r="H2366" s="10">
        <v>46182</v>
      </c>
      <c r="I2366">
        <v>115571.55</v>
      </c>
      <c r="J2366">
        <v>0</v>
      </c>
      <c r="K2366">
        <v>115571.55</v>
      </c>
    </row>
    <row r="2367" spans="1:11" x14ac:dyDescent="0.35">
      <c r="A2367">
        <v>8000000124</v>
      </c>
      <c r="B2367">
        <v>9400003135</v>
      </c>
      <c r="C2367" s="10">
        <v>46137</v>
      </c>
      <c r="D2367" t="s">
        <v>2032</v>
      </c>
      <c r="E2367" s="11">
        <v>18428110</v>
      </c>
      <c r="F2367" t="s">
        <v>721</v>
      </c>
      <c r="G2367" t="s">
        <v>722</v>
      </c>
      <c r="H2367" s="10">
        <v>46182</v>
      </c>
      <c r="I2367">
        <v>8551.2199999999993</v>
      </c>
      <c r="J2367">
        <v>0</v>
      </c>
      <c r="K2367">
        <v>8551.2199999999993</v>
      </c>
    </row>
    <row r="2368" spans="1:11" x14ac:dyDescent="0.35">
      <c r="A2368">
        <v>9200000192</v>
      </c>
      <c r="B2368">
        <v>9400003106</v>
      </c>
      <c r="C2368" s="10">
        <v>46137</v>
      </c>
      <c r="D2368" t="s">
        <v>2032</v>
      </c>
      <c r="E2368" s="11">
        <v>18428060</v>
      </c>
      <c r="F2368" t="s">
        <v>103</v>
      </c>
      <c r="G2368" t="s">
        <v>104</v>
      </c>
      <c r="H2368" s="10">
        <v>46182</v>
      </c>
      <c r="I2368">
        <v>377292.02</v>
      </c>
      <c r="J2368">
        <v>0</v>
      </c>
      <c r="K2368">
        <v>377292.02</v>
      </c>
    </row>
    <row r="2369" spans="1:11" x14ac:dyDescent="0.35">
      <c r="A2369">
        <v>9200000191</v>
      </c>
      <c r="B2369">
        <v>9400003099</v>
      </c>
      <c r="C2369" s="10">
        <v>46137</v>
      </c>
      <c r="D2369" t="s">
        <v>2032</v>
      </c>
      <c r="E2369" s="11">
        <v>18417909</v>
      </c>
      <c r="F2369" t="s">
        <v>425</v>
      </c>
      <c r="G2369" t="s">
        <v>426</v>
      </c>
      <c r="H2369" s="10">
        <v>46182</v>
      </c>
      <c r="I2369">
        <v>94202.1</v>
      </c>
      <c r="J2369">
        <v>0</v>
      </c>
      <c r="K2369">
        <v>94202.1</v>
      </c>
    </row>
    <row r="2370" spans="1:11" x14ac:dyDescent="0.35">
      <c r="A2370">
        <v>3000000234</v>
      </c>
      <c r="B2370">
        <v>9400003096</v>
      </c>
      <c r="C2370" s="10">
        <v>46137</v>
      </c>
      <c r="D2370" t="s">
        <v>2032</v>
      </c>
      <c r="E2370" s="11">
        <v>18417896</v>
      </c>
      <c r="F2370" t="s">
        <v>1133</v>
      </c>
      <c r="G2370" t="s">
        <v>1134</v>
      </c>
      <c r="H2370" s="10">
        <v>46182</v>
      </c>
      <c r="I2370">
        <v>41317.89</v>
      </c>
      <c r="J2370">
        <v>0</v>
      </c>
      <c r="K2370">
        <v>41317.89</v>
      </c>
    </row>
    <row r="2371" spans="1:11" x14ac:dyDescent="0.35">
      <c r="A2371">
        <v>9200000190</v>
      </c>
      <c r="B2371">
        <v>9400003094</v>
      </c>
      <c r="C2371" s="10">
        <v>46137</v>
      </c>
      <c r="D2371" t="s">
        <v>2032</v>
      </c>
      <c r="E2371" s="11">
        <v>18417971</v>
      </c>
      <c r="F2371" t="s">
        <v>324</v>
      </c>
      <c r="G2371" t="s">
        <v>325</v>
      </c>
      <c r="H2371" s="10">
        <v>46182</v>
      </c>
      <c r="I2371">
        <v>121761.84</v>
      </c>
      <c r="J2371">
        <v>0</v>
      </c>
      <c r="K2371">
        <v>121761.84</v>
      </c>
    </row>
    <row r="2372" spans="1:11" x14ac:dyDescent="0.35">
      <c r="A2372">
        <v>9200000189</v>
      </c>
      <c r="B2372">
        <v>9400003090</v>
      </c>
      <c r="C2372" s="10">
        <v>46137</v>
      </c>
      <c r="D2372" t="s">
        <v>2032</v>
      </c>
      <c r="E2372" s="11">
        <v>18417231</v>
      </c>
      <c r="F2372" t="s">
        <v>373</v>
      </c>
      <c r="G2372" t="s">
        <v>374</v>
      </c>
      <c r="H2372" s="10">
        <v>46182</v>
      </c>
      <c r="I2372">
        <v>557367.1</v>
      </c>
      <c r="J2372">
        <v>0</v>
      </c>
      <c r="K2372">
        <v>557367.1</v>
      </c>
    </row>
    <row r="2373" spans="1:11" x14ac:dyDescent="0.35">
      <c r="A2373">
        <v>2710000178</v>
      </c>
      <c r="B2373">
        <v>9400003085</v>
      </c>
      <c r="C2373" s="10">
        <v>46137</v>
      </c>
      <c r="D2373" t="s">
        <v>2032</v>
      </c>
      <c r="E2373" s="11">
        <v>18417768</v>
      </c>
      <c r="F2373" t="s">
        <v>31</v>
      </c>
      <c r="G2373" t="s">
        <v>32</v>
      </c>
      <c r="H2373" s="10">
        <v>46182</v>
      </c>
      <c r="I2373">
        <v>33044.15</v>
      </c>
      <c r="J2373">
        <v>0</v>
      </c>
      <c r="K2373">
        <v>33044.15</v>
      </c>
    </row>
    <row r="2374" spans="1:11" x14ac:dyDescent="0.35">
      <c r="A2374">
        <v>9200000188</v>
      </c>
      <c r="B2374">
        <v>9400003083</v>
      </c>
      <c r="C2374" s="10">
        <v>46137</v>
      </c>
      <c r="D2374" t="s">
        <v>2032</v>
      </c>
      <c r="E2374" s="11">
        <v>18417795</v>
      </c>
      <c r="F2374" t="s">
        <v>617</v>
      </c>
      <c r="G2374" t="s">
        <v>618</v>
      </c>
      <c r="H2374" s="10">
        <v>46182</v>
      </c>
      <c r="I2374">
        <v>40974.080000000002</v>
      </c>
      <c r="J2374">
        <v>0</v>
      </c>
      <c r="K2374">
        <v>40974.080000000002</v>
      </c>
    </row>
    <row r="2375" spans="1:11" x14ac:dyDescent="0.35">
      <c r="A2375">
        <v>9200000186</v>
      </c>
      <c r="B2375">
        <v>9400003071</v>
      </c>
      <c r="C2375" s="10">
        <v>46137</v>
      </c>
      <c r="D2375" t="s">
        <v>2032</v>
      </c>
      <c r="E2375" s="11">
        <v>18417763</v>
      </c>
      <c r="F2375" t="s">
        <v>1135</v>
      </c>
      <c r="G2375" t="s">
        <v>1136</v>
      </c>
      <c r="H2375" s="10">
        <v>46182</v>
      </c>
      <c r="I2375">
        <v>35188.339999999997</v>
      </c>
      <c r="J2375">
        <v>0</v>
      </c>
      <c r="K2375">
        <v>35188.339999999997</v>
      </c>
    </row>
    <row r="2376" spans="1:11" x14ac:dyDescent="0.35">
      <c r="A2376">
        <v>9200000181</v>
      </c>
      <c r="B2376">
        <v>9400003058</v>
      </c>
      <c r="C2376" s="10">
        <v>46137</v>
      </c>
      <c r="D2376" t="s">
        <v>2032</v>
      </c>
      <c r="E2376" s="11">
        <v>18406648</v>
      </c>
      <c r="F2376" t="s">
        <v>44</v>
      </c>
      <c r="G2376" t="s">
        <v>45</v>
      </c>
      <c r="H2376" s="10">
        <v>46182</v>
      </c>
      <c r="I2376">
        <v>20094.22</v>
      </c>
      <c r="J2376">
        <v>0</v>
      </c>
      <c r="K2376">
        <v>20094.22</v>
      </c>
    </row>
    <row r="2377" spans="1:11" x14ac:dyDescent="0.35">
      <c r="A2377">
        <v>3000000228</v>
      </c>
      <c r="B2377">
        <v>9400003049</v>
      </c>
      <c r="C2377" s="10">
        <v>46137</v>
      </c>
      <c r="D2377" t="s">
        <v>2032</v>
      </c>
      <c r="E2377" s="11">
        <v>18417813</v>
      </c>
      <c r="F2377" t="s">
        <v>1137</v>
      </c>
      <c r="G2377" t="s">
        <v>1138</v>
      </c>
      <c r="H2377" s="10">
        <v>46137</v>
      </c>
      <c r="I2377">
        <v>17486.97</v>
      </c>
      <c r="J2377">
        <v>17443.46</v>
      </c>
      <c r="K2377">
        <v>43.510000000002037</v>
      </c>
    </row>
    <row r="2378" spans="1:11" x14ac:dyDescent="0.35">
      <c r="A2378">
        <v>3000000227</v>
      </c>
      <c r="B2378">
        <v>9400003048</v>
      </c>
      <c r="C2378" s="10">
        <v>46137</v>
      </c>
      <c r="D2378" t="s">
        <v>2032</v>
      </c>
      <c r="E2378" s="11">
        <v>18417810</v>
      </c>
      <c r="F2378" t="s">
        <v>1139</v>
      </c>
      <c r="G2378" t="s">
        <v>1140</v>
      </c>
      <c r="H2378" s="10">
        <v>46182</v>
      </c>
      <c r="I2378">
        <v>74263.12</v>
      </c>
      <c r="J2378">
        <v>0</v>
      </c>
      <c r="K2378">
        <v>74263.12</v>
      </c>
    </row>
    <row r="2379" spans="1:11" x14ac:dyDescent="0.35">
      <c r="A2379">
        <v>9300000170</v>
      </c>
      <c r="B2379">
        <v>9400003047</v>
      </c>
      <c r="C2379" s="10">
        <v>46137</v>
      </c>
      <c r="D2379" t="s">
        <v>2032</v>
      </c>
      <c r="E2379" s="11">
        <v>91300000010</v>
      </c>
      <c r="F2379" t="s">
        <v>417</v>
      </c>
      <c r="G2379" t="s">
        <v>418</v>
      </c>
      <c r="H2379" s="10">
        <v>46182</v>
      </c>
      <c r="I2379">
        <v>156820.57</v>
      </c>
      <c r="J2379">
        <v>0</v>
      </c>
      <c r="K2379">
        <v>156820.57</v>
      </c>
    </row>
    <row r="2380" spans="1:11" x14ac:dyDescent="0.35">
      <c r="A2380">
        <v>2730000106</v>
      </c>
      <c r="B2380">
        <v>9400003036</v>
      </c>
      <c r="C2380" s="10">
        <v>46137</v>
      </c>
      <c r="D2380" t="s">
        <v>2032</v>
      </c>
      <c r="E2380" s="11">
        <v>3164</v>
      </c>
      <c r="F2380" t="s">
        <v>483</v>
      </c>
      <c r="G2380" t="s">
        <v>484</v>
      </c>
      <c r="H2380" s="10">
        <v>46182</v>
      </c>
      <c r="I2380">
        <v>10849.4</v>
      </c>
      <c r="J2380">
        <v>0</v>
      </c>
      <c r="K2380">
        <v>10849.4</v>
      </c>
    </row>
    <row r="2381" spans="1:11" x14ac:dyDescent="0.35">
      <c r="A2381">
        <v>5100000210</v>
      </c>
      <c r="B2381">
        <v>9400003030</v>
      </c>
      <c r="C2381" s="10">
        <v>46137</v>
      </c>
      <c r="D2381" t="s">
        <v>2032</v>
      </c>
      <c r="E2381" s="11">
        <v>18407030</v>
      </c>
      <c r="F2381" t="s">
        <v>715</v>
      </c>
      <c r="G2381" t="s">
        <v>716</v>
      </c>
      <c r="H2381" s="10">
        <v>46182</v>
      </c>
      <c r="I2381">
        <v>427048.98</v>
      </c>
      <c r="J2381">
        <v>0</v>
      </c>
      <c r="K2381">
        <v>427048.98</v>
      </c>
    </row>
    <row r="2382" spans="1:11" x14ac:dyDescent="0.35">
      <c r="A2382">
        <v>9300000161</v>
      </c>
      <c r="B2382">
        <v>9400003012</v>
      </c>
      <c r="C2382" s="10">
        <v>46136</v>
      </c>
      <c r="D2382" t="s">
        <v>2032</v>
      </c>
      <c r="E2382" s="11">
        <v>18406845</v>
      </c>
      <c r="F2382" t="s">
        <v>1141</v>
      </c>
      <c r="G2382" t="s">
        <v>1142</v>
      </c>
      <c r="H2382" s="10">
        <v>46181</v>
      </c>
      <c r="I2382">
        <v>79384.14</v>
      </c>
      <c r="J2382">
        <v>0</v>
      </c>
      <c r="K2382">
        <v>79384.14</v>
      </c>
    </row>
    <row r="2383" spans="1:11" x14ac:dyDescent="0.35">
      <c r="A2383">
        <v>2000000057</v>
      </c>
      <c r="B2383">
        <v>9400003008</v>
      </c>
      <c r="C2383" s="10">
        <v>46136</v>
      </c>
      <c r="D2383" t="s">
        <v>2032</v>
      </c>
      <c r="E2383" s="11">
        <v>18406125</v>
      </c>
      <c r="F2383" t="s">
        <v>563</v>
      </c>
      <c r="G2383" t="s">
        <v>564</v>
      </c>
      <c r="H2383" s="10">
        <v>46181</v>
      </c>
      <c r="I2383">
        <v>518822.40000000002</v>
      </c>
      <c r="J2383">
        <v>0</v>
      </c>
      <c r="K2383">
        <v>518822.40000000002</v>
      </c>
    </row>
    <row r="2384" spans="1:11" x14ac:dyDescent="0.35">
      <c r="A2384">
        <v>9300000158</v>
      </c>
      <c r="B2384">
        <v>9400003006</v>
      </c>
      <c r="C2384" s="10">
        <v>46136</v>
      </c>
      <c r="D2384" t="s">
        <v>2032</v>
      </c>
      <c r="E2384" s="11">
        <v>18417132</v>
      </c>
      <c r="F2384" t="s">
        <v>1143</v>
      </c>
      <c r="G2384" t="s">
        <v>1144</v>
      </c>
      <c r="H2384" s="10">
        <v>46181</v>
      </c>
      <c r="I2384">
        <v>11989.9</v>
      </c>
      <c r="J2384">
        <v>0</v>
      </c>
      <c r="K2384">
        <v>11989.9</v>
      </c>
    </row>
    <row r="2385" spans="1:11" x14ac:dyDescent="0.35">
      <c r="A2385">
        <v>9300000157</v>
      </c>
      <c r="B2385">
        <v>9400003004</v>
      </c>
      <c r="C2385" s="10">
        <v>46136</v>
      </c>
      <c r="D2385" t="s">
        <v>2032</v>
      </c>
      <c r="E2385" s="11">
        <v>18406742</v>
      </c>
      <c r="F2385" t="s">
        <v>182</v>
      </c>
      <c r="G2385" t="s">
        <v>183</v>
      </c>
      <c r="H2385" s="10">
        <v>46181</v>
      </c>
      <c r="I2385">
        <v>136277.98000000001</v>
      </c>
      <c r="J2385">
        <v>0</v>
      </c>
      <c r="K2385">
        <v>136277.98000000001</v>
      </c>
    </row>
    <row r="2386" spans="1:11" x14ac:dyDescent="0.35">
      <c r="A2386">
        <v>2730000103</v>
      </c>
      <c r="B2386">
        <v>9400002995</v>
      </c>
      <c r="C2386" s="10">
        <v>46136</v>
      </c>
      <c r="D2386" t="s">
        <v>2032</v>
      </c>
      <c r="E2386" s="11">
        <v>1180</v>
      </c>
      <c r="F2386" t="s">
        <v>89</v>
      </c>
      <c r="G2386" t="s">
        <v>90</v>
      </c>
      <c r="H2386" s="10">
        <v>46181</v>
      </c>
      <c r="I2386">
        <v>276897.48</v>
      </c>
      <c r="J2386">
        <v>0</v>
      </c>
      <c r="K2386">
        <v>276897.48</v>
      </c>
    </row>
    <row r="2387" spans="1:11" x14ac:dyDescent="0.35">
      <c r="A2387">
        <v>9200000175</v>
      </c>
      <c r="B2387">
        <v>9400002989</v>
      </c>
      <c r="C2387" s="10">
        <v>46136</v>
      </c>
      <c r="D2387" t="s">
        <v>2032</v>
      </c>
      <c r="E2387" s="11">
        <v>18417216</v>
      </c>
      <c r="F2387" t="s">
        <v>967</v>
      </c>
      <c r="G2387" t="s">
        <v>968</v>
      </c>
      <c r="H2387" s="10">
        <v>46181</v>
      </c>
      <c r="I2387">
        <v>106100.88</v>
      </c>
      <c r="J2387">
        <v>0</v>
      </c>
      <c r="K2387">
        <v>106100.88</v>
      </c>
    </row>
    <row r="2388" spans="1:11" x14ac:dyDescent="0.35">
      <c r="A2388">
        <v>5100000201</v>
      </c>
      <c r="B2388">
        <v>9400002972</v>
      </c>
      <c r="C2388" s="10">
        <v>46136</v>
      </c>
      <c r="D2388" t="s">
        <v>2032</v>
      </c>
      <c r="E2388" s="11">
        <v>18407005</v>
      </c>
      <c r="F2388" t="s">
        <v>221</v>
      </c>
      <c r="G2388" t="s">
        <v>222</v>
      </c>
      <c r="H2388" s="10">
        <v>46181</v>
      </c>
      <c r="I2388">
        <v>23414.98</v>
      </c>
      <c r="J2388">
        <v>0</v>
      </c>
      <c r="K2388">
        <v>23414.98</v>
      </c>
    </row>
    <row r="2389" spans="1:11" x14ac:dyDescent="0.35">
      <c r="A2389">
        <v>3000000221</v>
      </c>
      <c r="B2389">
        <v>9400002968</v>
      </c>
      <c r="C2389" s="10">
        <v>46136</v>
      </c>
      <c r="D2389" t="s">
        <v>2032</v>
      </c>
      <c r="E2389" s="11">
        <v>18417164</v>
      </c>
      <c r="F2389" t="s">
        <v>1145</v>
      </c>
      <c r="G2389" t="s">
        <v>1146</v>
      </c>
      <c r="H2389" s="10">
        <v>46181</v>
      </c>
      <c r="I2389">
        <v>152087.84</v>
      </c>
      <c r="J2389">
        <v>0</v>
      </c>
      <c r="K2389">
        <v>152087.84</v>
      </c>
    </row>
    <row r="2390" spans="1:11" x14ac:dyDescent="0.35">
      <c r="A2390">
        <v>2710000170</v>
      </c>
      <c r="B2390">
        <v>9400002959</v>
      </c>
      <c r="C2390" s="10">
        <v>46136</v>
      </c>
      <c r="D2390" t="s">
        <v>2032</v>
      </c>
      <c r="E2390" s="11">
        <v>18406759</v>
      </c>
      <c r="F2390" t="s">
        <v>70</v>
      </c>
      <c r="G2390" t="s">
        <v>71</v>
      </c>
      <c r="H2390" s="10">
        <v>46181</v>
      </c>
      <c r="I2390">
        <v>8177.4</v>
      </c>
      <c r="J2390">
        <v>0</v>
      </c>
      <c r="K2390">
        <v>8177.4</v>
      </c>
    </row>
    <row r="2391" spans="1:11" x14ac:dyDescent="0.35">
      <c r="A2391">
        <v>2730000094</v>
      </c>
      <c r="B2391">
        <v>9400002944</v>
      </c>
      <c r="C2391" s="10">
        <v>46136</v>
      </c>
      <c r="D2391" t="s">
        <v>2032</v>
      </c>
      <c r="E2391" s="11">
        <v>18407031</v>
      </c>
      <c r="F2391" t="s">
        <v>84</v>
      </c>
      <c r="G2391" t="s">
        <v>85</v>
      </c>
      <c r="H2391" s="10">
        <v>46181</v>
      </c>
      <c r="I2391">
        <v>96494.5</v>
      </c>
      <c r="J2391">
        <v>0</v>
      </c>
      <c r="K2391">
        <v>96494.5</v>
      </c>
    </row>
    <row r="2392" spans="1:11" x14ac:dyDescent="0.35">
      <c r="A2392">
        <v>2730000093</v>
      </c>
      <c r="B2392">
        <v>9400002935</v>
      </c>
      <c r="C2392" s="10">
        <v>46136</v>
      </c>
      <c r="D2392" t="s">
        <v>2032</v>
      </c>
      <c r="E2392" s="11">
        <v>3168</v>
      </c>
      <c r="F2392" t="s">
        <v>357</v>
      </c>
      <c r="G2392" t="s">
        <v>358</v>
      </c>
      <c r="H2392" s="10">
        <v>46181</v>
      </c>
      <c r="I2392">
        <v>23535.34</v>
      </c>
      <c r="J2392">
        <v>0</v>
      </c>
      <c r="K2392">
        <v>23535.34</v>
      </c>
    </row>
    <row r="2393" spans="1:11" x14ac:dyDescent="0.35">
      <c r="A2393">
        <v>2720000072</v>
      </c>
      <c r="B2393">
        <v>9400002932</v>
      </c>
      <c r="C2393" s="10">
        <v>46136</v>
      </c>
      <c r="D2393" t="s">
        <v>2032</v>
      </c>
      <c r="E2393" s="11">
        <v>18406953</v>
      </c>
      <c r="F2393" t="s">
        <v>80</v>
      </c>
      <c r="G2393" t="s">
        <v>81</v>
      </c>
      <c r="H2393" s="10">
        <v>46181</v>
      </c>
      <c r="I2393">
        <v>6308.4</v>
      </c>
      <c r="J2393">
        <v>0</v>
      </c>
      <c r="K2393">
        <v>6308.4</v>
      </c>
    </row>
    <row r="2394" spans="1:11" x14ac:dyDescent="0.35">
      <c r="A2394">
        <v>2300000108</v>
      </c>
      <c r="B2394">
        <v>9400002920</v>
      </c>
      <c r="C2394" s="10">
        <v>46136</v>
      </c>
      <c r="D2394" t="s">
        <v>2032</v>
      </c>
      <c r="E2394" s="11">
        <v>18406942</v>
      </c>
      <c r="F2394" t="s">
        <v>37</v>
      </c>
      <c r="G2394" t="s">
        <v>38</v>
      </c>
      <c r="H2394" s="10">
        <v>46181</v>
      </c>
      <c r="I2394">
        <v>61307.14</v>
      </c>
      <c r="J2394">
        <v>0</v>
      </c>
      <c r="K2394">
        <v>61307.14</v>
      </c>
    </row>
    <row r="2395" spans="1:11" x14ac:dyDescent="0.35">
      <c r="A2395">
        <v>2300000107</v>
      </c>
      <c r="B2395">
        <v>9400002918</v>
      </c>
      <c r="C2395" s="10">
        <v>46136</v>
      </c>
      <c r="D2395" t="s">
        <v>2032</v>
      </c>
      <c r="E2395" s="11">
        <v>18406109</v>
      </c>
      <c r="F2395" t="s">
        <v>461</v>
      </c>
      <c r="G2395" t="s">
        <v>462</v>
      </c>
      <c r="H2395" s="10">
        <v>46181</v>
      </c>
      <c r="I2395">
        <v>40634.239999999998</v>
      </c>
      <c r="J2395">
        <v>0</v>
      </c>
      <c r="K2395">
        <v>40634.239999999998</v>
      </c>
    </row>
    <row r="2396" spans="1:11" x14ac:dyDescent="0.35">
      <c r="A2396">
        <v>9100000272</v>
      </c>
      <c r="B2396">
        <v>9400002907</v>
      </c>
      <c r="C2396" s="10">
        <v>46136</v>
      </c>
      <c r="D2396" t="s">
        <v>2032</v>
      </c>
      <c r="E2396" s="11">
        <v>9110000012</v>
      </c>
      <c r="F2396" t="s">
        <v>1147</v>
      </c>
      <c r="G2396" t="s">
        <v>1148</v>
      </c>
      <c r="H2396" s="10">
        <v>46136</v>
      </c>
      <c r="I2396">
        <v>5954.21</v>
      </c>
      <c r="J2396">
        <v>0</v>
      </c>
      <c r="K2396">
        <v>5954.21</v>
      </c>
    </row>
    <row r="2397" spans="1:11" x14ac:dyDescent="0.35">
      <c r="A2397">
        <v>2300000105</v>
      </c>
      <c r="B2397">
        <v>9400002903</v>
      </c>
      <c r="C2397" s="10">
        <v>46136</v>
      </c>
      <c r="D2397" t="s">
        <v>2032</v>
      </c>
      <c r="E2397" s="11">
        <v>18385938</v>
      </c>
      <c r="F2397" t="s">
        <v>659</v>
      </c>
      <c r="G2397" t="s">
        <v>660</v>
      </c>
      <c r="H2397" s="10">
        <v>46181</v>
      </c>
      <c r="I2397">
        <v>54716.6</v>
      </c>
      <c r="J2397">
        <v>0</v>
      </c>
      <c r="K2397">
        <v>54716.6</v>
      </c>
    </row>
    <row r="2398" spans="1:11" x14ac:dyDescent="0.35">
      <c r="A2398">
        <v>9100000271</v>
      </c>
      <c r="B2398">
        <v>9400002901</v>
      </c>
      <c r="C2398" s="10">
        <v>46136</v>
      </c>
      <c r="D2398" t="s">
        <v>2032</v>
      </c>
      <c r="E2398" s="11">
        <v>123</v>
      </c>
      <c r="F2398" t="s">
        <v>91</v>
      </c>
      <c r="G2398" t="s">
        <v>92</v>
      </c>
      <c r="H2398" s="10">
        <v>46181</v>
      </c>
      <c r="I2398">
        <v>35709.4</v>
      </c>
      <c r="J2398">
        <v>0</v>
      </c>
      <c r="K2398">
        <v>35709.4</v>
      </c>
    </row>
    <row r="2399" spans="1:11" x14ac:dyDescent="0.35">
      <c r="A2399">
        <v>3000000217</v>
      </c>
      <c r="B2399">
        <v>9400002898</v>
      </c>
      <c r="C2399" s="10">
        <v>46136</v>
      </c>
      <c r="D2399" t="s">
        <v>2032</v>
      </c>
      <c r="E2399" s="11">
        <v>18407004</v>
      </c>
      <c r="F2399" t="s">
        <v>809</v>
      </c>
      <c r="G2399" t="s">
        <v>810</v>
      </c>
      <c r="H2399" s="10">
        <v>46181</v>
      </c>
      <c r="I2399">
        <v>24754.799999999999</v>
      </c>
      <c r="J2399">
        <v>0</v>
      </c>
      <c r="K2399">
        <v>24754.799999999999</v>
      </c>
    </row>
    <row r="2400" spans="1:11" x14ac:dyDescent="0.35">
      <c r="A2400">
        <v>2300000103</v>
      </c>
      <c r="B2400">
        <v>9400002890</v>
      </c>
      <c r="C2400" s="10">
        <v>46136</v>
      </c>
      <c r="D2400" t="s">
        <v>2032</v>
      </c>
      <c r="E2400" s="11">
        <v>18385980</v>
      </c>
      <c r="F2400" t="s">
        <v>583</v>
      </c>
      <c r="G2400" t="s">
        <v>584</v>
      </c>
      <c r="H2400" s="10">
        <v>46181</v>
      </c>
      <c r="I2400">
        <v>38028.559999999998</v>
      </c>
      <c r="J2400">
        <v>0</v>
      </c>
      <c r="K2400">
        <v>38028.559999999998</v>
      </c>
    </row>
    <row r="2401" spans="1:11" x14ac:dyDescent="0.35">
      <c r="A2401">
        <v>2300000102</v>
      </c>
      <c r="B2401">
        <v>9400002888</v>
      </c>
      <c r="C2401" s="10">
        <v>46136</v>
      </c>
      <c r="D2401" t="s">
        <v>2032</v>
      </c>
      <c r="E2401" s="11">
        <v>18385937</v>
      </c>
      <c r="F2401" t="s">
        <v>1149</v>
      </c>
      <c r="G2401" t="s">
        <v>1150</v>
      </c>
      <c r="H2401" s="10">
        <v>46181</v>
      </c>
      <c r="I2401">
        <v>21886.639999999999</v>
      </c>
      <c r="J2401">
        <v>0</v>
      </c>
      <c r="K2401">
        <v>21886.639999999999</v>
      </c>
    </row>
    <row r="2402" spans="1:11" x14ac:dyDescent="0.35">
      <c r="A2402">
        <v>2300000101</v>
      </c>
      <c r="B2402">
        <v>9400002885</v>
      </c>
      <c r="C2402" s="10">
        <v>46136</v>
      </c>
      <c r="D2402" t="s">
        <v>2032</v>
      </c>
      <c r="E2402" s="11">
        <v>18385926</v>
      </c>
      <c r="F2402" t="s">
        <v>697</v>
      </c>
      <c r="G2402" t="s">
        <v>698</v>
      </c>
      <c r="H2402" s="10">
        <v>46181</v>
      </c>
      <c r="I2402">
        <v>152424.84</v>
      </c>
      <c r="J2402">
        <v>0</v>
      </c>
      <c r="K2402">
        <v>152424.84</v>
      </c>
    </row>
    <row r="2403" spans="1:11" x14ac:dyDescent="0.35">
      <c r="A2403">
        <v>9200000168</v>
      </c>
      <c r="B2403">
        <v>9400002850</v>
      </c>
      <c r="C2403" s="10">
        <v>46136</v>
      </c>
      <c r="D2403" t="s">
        <v>2032</v>
      </c>
      <c r="E2403" s="11">
        <v>18406687</v>
      </c>
      <c r="F2403" t="s">
        <v>591</v>
      </c>
      <c r="G2403" t="s">
        <v>592</v>
      </c>
      <c r="H2403" s="10">
        <v>46181</v>
      </c>
      <c r="I2403">
        <v>136340.51999999999</v>
      </c>
      <c r="J2403">
        <v>0</v>
      </c>
      <c r="K2403">
        <v>136340.51999999999</v>
      </c>
    </row>
    <row r="2404" spans="1:11" x14ac:dyDescent="0.35">
      <c r="A2404">
        <v>9100000264</v>
      </c>
      <c r="B2404">
        <v>9400002846</v>
      </c>
      <c r="C2404" s="10">
        <v>46136</v>
      </c>
      <c r="D2404" t="s">
        <v>2032</v>
      </c>
      <c r="E2404" s="11">
        <v>123</v>
      </c>
      <c r="F2404" t="s">
        <v>130</v>
      </c>
      <c r="G2404" t="s">
        <v>131</v>
      </c>
      <c r="H2404" s="10">
        <v>46181</v>
      </c>
      <c r="I2404">
        <v>38457.14</v>
      </c>
      <c r="J2404">
        <v>0</v>
      </c>
      <c r="K2404">
        <v>38457.14</v>
      </c>
    </row>
    <row r="2405" spans="1:11" x14ac:dyDescent="0.35">
      <c r="A2405">
        <v>2300000098</v>
      </c>
      <c r="B2405">
        <v>9400002842</v>
      </c>
      <c r="C2405" s="10">
        <v>46136</v>
      </c>
      <c r="D2405" t="s">
        <v>2032</v>
      </c>
      <c r="E2405" s="11">
        <v>18385956</v>
      </c>
      <c r="F2405" t="s">
        <v>310</v>
      </c>
      <c r="G2405" t="s">
        <v>311</v>
      </c>
      <c r="H2405" s="10">
        <v>46181</v>
      </c>
      <c r="I2405">
        <v>43773.279999999999</v>
      </c>
      <c r="J2405">
        <v>0</v>
      </c>
      <c r="K2405">
        <v>43773.279999999999</v>
      </c>
    </row>
    <row r="2406" spans="1:11" x14ac:dyDescent="0.35">
      <c r="A2406">
        <v>2300000097</v>
      </c>
      <c r="B2406">
        <v>9400002839</v>
      </c>
      <c r="C2406" s="10">
        <v>46136</v>
      </c>
      <c r="D2406" t="s">
        <v>2032</v>
      </c>
      <c r="E2406" s="11">
        <v>18385969</v>
      </c>
      <c r="F2406" t="s">
        <v>717</v>
      </c>
      <c r="G2406" t="s">
        <v>718</v>
      </c>
      <c r="H2406" s="10">
        <v>46181</v>
      </c>
      <c r="I2406">
        <v>16414.98</v>
      </c>
      <c r="J2406">
        <v>0</v>
      </c>
      <c r="K2406">
        <v>16414.98</v>
      </c>
    </row>
    <row r="2407" spans="1:11" x14ac:dyDescent="0.35">
      <c r="B2407">
        <v>1400002702</v>
      </c>
      <c r="C2407" s="10">
        <v>46136</v>
      </c>
      <c r="D2407" t="s">
        <v>2037</v>
      </c>
      <c r="E2407" s="11">
        <v>355513</v>
      </c>
      <c r="F2407" t="s">
        <v>1151</v>
      </c>
      <c r="G2407" t="s">
        <v>1152</v>
      </c>
      <c r="H2407" s="10">
        <v>46136</v>
      </c>
      <c r="I2407">
        <v>59</v>
      </c>
      <c r="J2407">
        <v>0</v>
      </c>
      <c r="K2407">
        <v>59</v>
      </c>
    </row>
    <row r="2408" spans="1:11" x14ac:dyDescent="0.35">
      <c r="B2408">
        <v>1400002697</v>
      </c>
      <c r="C2408" s="10">
        <v>46136</v>
      </c>
      <c r="D2408" t="s">
        <v>2037</v>
      </c>
      <c r="E2408" s="11">
        <v>619162</v>
      </c>
      <c r="F2408" t="s">
        <v>1067</v>
      </c>
      <c r="G2408" t="s">
        <v>1068</v>
      </c>
      <c r="H2408" s="10">
        <v>46136</v>
      </c>
      <c r="I2408">
        <v>59</v>
      </c>
      <c r="J2408">
        <v>0</v>
      </c>
      <c r="K2408">
        <v>59</v>
      </c>
    </row>
    <row r="2409" spans="1:11" x14ac:dyDescent="0.35">
      <c r="B2409">
        <v>1400002692</v>
      </c>
      <c r="C2409" s="10">
        <v>46136</v>
      </c>
      <c r="D2409" t="s">
        <v>2037</v>
      </c>
      <c r="E2409" s="11">
        <v>142514</v>
      </c>
      <c r="F2409" t="s">
        <v>1153</v>
      </c>
      <c r="G2409" t="s">
        <v>1154</v>
      </c>
      <c r="H2409" s="10">
        <v>46136</v>
      </c>
      <c r="I2409">
        <v>59</v>
      </c>
      <c r="J2409">
        <v>0</v>
      </c>
      <c r="K2409">
        <v>59</v>
      </c>
    </row>
    <row r="2410" spans="1:11" x14ac:dyDescent="0.35">
      <c r="B2410">
        <v>1400002685</v>
      </c>
      <c r="C2410" s="10">
        <v>46136</v>
      </c>
      <c r="D2410" t="s">
        <v>2037</v>
      </c>
      <c r="E2410" s="11">
        <v>31</v>
      </c>
      <c r="F2410" t="s">
        <v>1157</v>
      </c>
      <c r="G2410" t="s">
        <v>1158</v>
      </c>
      <c r="H2410" s="10">
        <v>46136</v>
      </c>
      <c r="I2410">
        <v>59</v>
      </c>
      <c r="J2410">
        <v>0</v>
      </c>
      <c r="K2410">
        <v>59</v>
      </c>
    </row>
    <row r="2411" spans="1:11" x14ac:dyDescent="0.35">
      <c r="B2411">
        <v>1400002684</v>
      </c>
      <c r="C2411" s="10">
        <v>46136</v>
      </c>
      <c r="D2411" t="s">
        <v>2037</v>
      </c>
      <c r="E2411" s="11">
        <v>62</v>
      </c>
      <c r="F2411" t="s">
        <v>1159</v>
      </c>
      <c r="G2411" t="s">
        <v>1160</v>
      </c>
      <c r="H2411" s="10">
        <v>46136</v>
      </c>
      <c r="I2411">
        <v>59</v>
      </c>
      <c r="J2411">
        <v>0</v>
      </c>
      <c r="K2411">
        <v>59</v>
      </c>
    </row>
    <row r="2412" spans="1:11" x14ac:dyDescent="0.35">
      <c r="B2412">
        <v>1400002683</v>
      </c>
      <c r="C2412" s="10">
        <v>46136</v>
      </c>
      <c r="D2412" t="s">
        <v>2037</v>
      </c>
      <c r="E2412" s="11">
        <v>866022</v>
      </c>
      <c r="F2412" t="s">
        <v>1161</v>
      </c>
      <c r="G2412" t="s">
        <v>1162</v>
      </c>
      <c r="H2412" s="10">
        <v>46136</v>
      </c>
      <c r="I2412">
        <v>59</v>
      </c>
      <c r="J2412">
        <v>0</v>
      </c>
      <c r="K2412">
        <v>59</v>
      </c>
    </row>
    <row r="2413" spans="1:11" x14ac:dyDescent="0.35">
      <c r="A2413">
        <v>9300000147</v>
      </c>
      <c r="B2413">
        <v>9400002784</v>
      </c>
      <c r="C2413" s="10">
        <v>46135</v>
      </c>
      <c r="D2413" t="s">
        <v>2032</v>
      </c>
      <c r="E2413" s="11">
        <v>18384957</v>
      </c>
      <c r="F2413" t="s">
        <v>611</v>
      </c>
      <c r="G2413" t="s">
        <v>612</v>
      </c>
      <c r="H2413" s="10">
        <v>46180</v>
      </c>
      <c r="I2413">
        <v>85301.82</v>
      </c>
      <c r="J2413">
        <v>0</v>
      </c>
      <c r="K2413">
        <v>85301.82</v>
      </c>
    </row>
    <row r="2414" spans="1:11" x14ac:dyDescent="0.35">
      <c r="A2414">
        <v>9300000144</v>
      </c>
      <c r="B2414">
        <v>9400002781</v>
      </c>
      <c r="C2414" s="10">
        <v>46135</v>
      </c>
      <c r="D2414" t="s">
        <v>2032</v>
      </c>
      <c r="E2414" s="11">
        <v>18385858</v>
      </c>
      <c r="F2414" t="s">
        <v>417</v>
      </c>
      <c r="G2414" t="s">
        <v>418</v>
      </c>
      <c r="H2414" s="10">
        <v>46180</v>
      </c>
      <c r="I2414">
        <v>253319.22</v>
      </c>
      <c r="J2414">
        <v>0</v>
      </c>
      <c r="K2414">
        <v>253319.22</v>
      </c>
    </row>
    <row r="2415" spans="1:11" x14ac:dyDescent="0.35">
      <c r="A2415">
        <v>2000000053</v>
      </c>
      <c r="B2415">
        <v>9400002774</v>
      </c>
      <c r="C2415" s="10">
        <v>46135</v>
      </c>
      <c r="D2415" t="s">
        <v>2032</v>
      </c>
      <c r="E2415" s="11">
        <v>18406125</v>
      </c>
      <c r="F2415" t="s">
        <v>563</v>
      </c>
      <c r="G2415" t="s">
        <v>564</v>
      </c>
      <c r="H2415" s="10">
        <v>46180</v>
      </c>
      <c r="I2415">
        <v>699504</v>
      </c>
      <c r="J2415">
        <v>0</v>
      </c>
      <c r="K2415">
        <v>699504</v>
      </c>
    </row>
    <row r="2416" spans="1:11" x14ac:dyDescent="0.35">
      <c r="A2416">
        <v>9200000165</v>
      </c>
      <c r="B2416">
        <v>9400002772</v>
      </c>
      <c r="C2416" s="10">
        <v>46135</v>
      </c>
      <c r="D2416" t="s">
        <v>2032</v>
      </c>
      <c r="E2416" s="11">
        <v>18374663</v>
      </c>
      <c r="F2416" t="s">
        <v>1165</v>
      </c>
      <c r="G2416" t="s">
        <v>1166</v>
      </c>
      <c r="H2416" s="10">
        <v>46180</v>
      </c>
      <c r="I2416">
        <v>389219.46</v>
      </c>
      <c r="J2416">
        <v>0</v>
      </c>
      <c r="K2416">
        <v>389219.46</v>
      </c>
    </row>
    <row r="2417" spans="1:11" x14ac:dyDescent="0.35">
      <c r="A2417">
        <v>2000000052</v>
      </c>
      <c r="B2417">
        <v>9400002771</v>
      </c>
      <c r="C2417" s="10">
        <v>46135</v>
      </c>
      <c r="D2417" t="s">
        <v>2032</v>
      </c>
      <c r="E2417" s="11">
        <v>18406185</v>
      </c>
      <c r="F2417" t="s">
        <v>683</v>
      </c>
      <c r="G2417" t="s">
        <v>684</v>
      </c>
      <c r="H2417" s="10">
        <v>46180</v>
      </c>
      <c r="I2417">
        <v>98899.94</v>
      </c>
      <c r="J2417">
        <v>0</v>
      </c>
      <c r="K2417">
        <v>98899.94</v>
      </c>
    </row>
    <row r="2418" spans="1:11" x14ac:dyDescent="0.35">
      <c r="A2418">
        <v>5100000191</v>
      </c>
      <c r="B2418">
        <v>9400002770</v>
      </c>
      <c r="C2418" s="10">
        <v>46135</v>
      </c>
      <c r="D2418" t="s">
        <v>2032</v>
      </c>
      <c r="E2418" s="11">
        <v>18406138</v>
      </c>
      <c r="F2418" t="s">
        <v>387</v>
      </c>
      <c r="G2418" t="s">
        <v>388</v>
      </c>
      <c r="H2418" s="10">
        <v>46180</v>
      </c>
      <c r="I2418">
        <v>4766.5</v>
      </c>
      <c r="J2418">
        <v>0</v>
      </c>
      <c r="K2418">
        <v>4766.5</v>
      </c>
    </row>
    <row r="2419" spans="1:11" x14ac:dyDescent="0.35">
      <c r="A2419">
        <v>2000000051</v>
      </c>
      <c r="B2419">
        <v>9400002766</v>
      </c>
      <c r="C2419" s="10">
        <v>46135</v>
      </c>
      <c r="D2419" t="s">
        <v>2032</v>
      </c>
      <c r="E2419" s="11">
        <v>18385338</v>
      </c>
      <c r="F2419" t="s">
        <v>1167</v>
      </c>
      <c r="G2419" t="s">
        <v>1168</v>
      </c>
      <c r="H2419" s="10">
        <v>46135</v>
      </c>
      <c r="I2419">
        <v>5523.5</v>
      </c>
      <c r="J2419">
        <v>0</v>
      </c>
      <c r="K2419">
        <v>5523.5</v>
      </c>
    </row>
    <row r="2420" spans="1:11" x14ac:dyDescent="0.35">
      <c r="A2420">
        <v>9200000164</v>
      </c>
      <c r="B2420">
        <v>9400002765</v>
      </c>
      <c r="C2420" s="10">
        <v>46135</v>
      </c>
      <c r="D2420" t="s">
        <v>2032</v>
      </c>
      <c r="E2420" s="11">
        <v>18385692</v>
      </c>
      <c r="F2420" t="s">
        <v>651</v>
      </c>
      <c r="G2420" t="s">
        <v>652</v>
      </c>
      <c r="H2420" s="10">
        <v>46180</v>
      </c>
      <c r="I2420">
        <v>89373.440000000002</v>
      </c>
      <c r="J2420">
        <v>0</v>
      </c>
      <c r="K2420">
        <v>89373.440000000002</v>
      </c>
    </row>
    <row r="2421" spans="1:11" x14ac:dyDescent="0.35">
      <c r="A2421">
        <v>2000000050</v>
      </c>
      <c r="B2421">
        <v>9400002763</v>
      </c>
      <c r="C2421" s="10">
        <v>46135</v>
      </c>
      <c r="D2421" t="s">
        <v>2032</v>
      </c>
      <c r="E2421" s="11">
        <v>18385338</v>
      </c>
      <c r="F2421" t="s">
        <v>1167</v>
      </c>
      <c r="G2421" t="s">
        <v>1168</v>
      </c>
      <c r="H2421" s="10">
        <v>46135</v>
      </c>
      <c r="I2421">
        <v>159426.60999999999</v>
      </c>
      <c r="J2421">
        <v>0</v>
      </c>
      <c r="K2421">
        <v>159426.60999999999</v>
      </c>
    </row>
    <row r="2422" spans="1:11" x14ac:dyDescent="0.35">
      <c r="A2422">
        <v>2000000049</v>
      </c>
      <c r="B2422">
        <v>9400002757</v>
      </c>
      <c r="C2422" s="10">
        <v>46135</v>
      </c>
      <c r="D2422" t="s">
        <v>2032</v>
      </c>
      <c r="E2422" s="11">
        <v>18385688</v>
      </c>
      <c r="F2422" t="s">
        <v>683</v>
      </c>
      <c r="G2422" t="s">
        <v>684</v>
      </c>
      <c r="H2422" s="10">
        <v>46180</v>
      </c>
      <c r="I2422">
        <v>191183.6</v>
      </c>
      <c r="J2422">
        <v>0</v>
      </c>
      <c r="K2422">
        <v>191183.6</v>
      </c>
    </row>
    <row r="2423" spans="1:11" x14ac:dyDescent="0.35">
      <c r="A2423">
        <v>9100000259</v>
      </c>
      <c r="B2423">
        <v>9400002753</v>
      </c>
      <c r="C2423" s="10">
        <v>46135</v>
      </c>
      <c r="D2423" t="s">
        <v>2032</v>
      </c>
      <c r="E2423" s="11">
        <v>18385758</v>
      </c>
      <c r="F2423" t="s">
        <v>419</v>
      </c>
      <c r="G2423" t="s">
        <v>420</v>
      </c>
      <c r="H2423" s="10">
        <v>46180</v>
      </c>
      <c r="I2423">
        <v>13228.27</v>
      </c>
      <c r="J2423">
        <v>0</v>
      </c>
      <c r="K2423">
        <v>13228.27</v>
      </c>
    </row>
    <row r="2424" spans="1:11" x14ac:dyDescent="0.35">
      <c r="A2424">
        <v>3000000206</v>
      </c>
      <c r="B2424">
        <v>9400002752</v>
      </c>
      <c r="C2424" s="10">
        <v>46135</v>
      </c>
      <c r="D2424" t="s">
        <v>2032</v>
      </c>
      <c r="E2424" s="11">
        <v>18406148</v>
      </c>
      <c r="F2424" t="s">
        <v>194</v>
      </c>
      <c r="G2424" t="s">
        <v>195</v>
      </c>
      <c r="H2424" s="10">
        <v>46180</v>
      </c>
      <c r="I2424">
        <v>349185.02</v>
      </c>
      <c r="J2424">
        <v>0</v>
      </c>
      <c r="K2424">
        <v>349185.02</v>
      </c>
    </row>
    <row r="2425" spans="1:11" x14ac:dyDescent="0.35">
      <c r="A2425">
        <v>2710000166</v>
      </c>
      <c r="B2425">
        <v>9400002746</v>
      </c>
      <c r="C2425" s="10">
        <v>46135</v>
      </c>
      <c r="D2425" t="s">
        <v>2032</v>
      </c>
      <c r="E2425" s="11">
        <v>18406067</v>
      </c>
      <c r="F2425" t="s">
        <v>773</v>
      </c>
      <c r="G2425" t="s">
        <v>774</v>
      </c>
      <c r="H2425" s="10">
        <v>46180</v>
      </c>
      <c r="I2425">
        <v>18358.68</v>
      </c>
      <c r="J2425">
        <v>0</v>
      </c>
      <c r="K2425">
        <v>18358.68</v>
      </c>
    </row>
    <row r="2426" spans="1:11" x14ac:dyDescent="0.35">
      <c r="A2426">
        <v>2710000165</v>
      </c>
      <c r="B2426">
        <v>9400002745</v>
      </c>
      <c r="C2426" s="10">
        <v>46135</v>
      </c>
      <c r="D2426" t="s">
        <v>2032</v>
      </c>
      <c r="E2426" s="11">
        <v>18385690</v>
      </c>
      <c r="F2426" t="s">
        <v>521</v>
      </c>
      <c r="G2426" t="s">
        <v>522</v>
      </c>
      <c r="H2426" s="10">
        <v>46180</v>
      </c>
      <c r="I2426">
        <v>19857.89</v>
      </c>
      <c r="J2426">
        <v>0</v>
      </c>
      <c r="K2426">
        <v>19857.89</v>
      </c>
    </row>
    <row r="2427" spans="1:11" x14ac:dyDescent="0.35">
      <c r="A2427">
        <v>2720000066</v>
      </c>
      <c r="B2427">
        <v>9400002744</v>
      </c>
      <c r="C2427" s="10">
        <v>46135</v>
      </c>
      <c r="D2427" t="s">
        <v>2032</v>
      </c>
      <c r="E2427" s="11">
        <v>18385208</v>
      </c>
      <c r="F2427" t="s">
        <v>22</v>
      </c>
      <c r="G2427" t="s">
        <v>23</v>
      </c>
      <c r="H2427" s="10">
        <v>46180</v>
      </c>
      <c r="I2427">
        <v>30139.56</v>
      </c>
      <c r="J2427">
        <v>0</v>
      </c>
      <c r="K2427">
        <v>30139.56</v>
      </c>
    </row>
    <row r="2428" spans="1:11" x14ac:dyDescent="0.35">
      <c r="A2428">
        <v>2720000065</v>
      </c>
      <c r="B2428">
        <v>9400002740</v>
      </c>
      <c r="C2428" s="10">
        <v>46135</v>
      </c>
      <c r="D2428" t="s">
        <v>2032</v>
      </c>
      <c r="E2428" s="11">
        <v>18363031</v>
      </c>
      <c r="F2428" t="s">
        <v>1169</v>
      </c>
      <c r="G2428" t="s">
        <v>1170</v>
      </c>
      <c r="H2428" s="10">
        <v>46180</v>
      </c>
      <c r="I2428">
        <v>10146.82</v>
      </c>
      <c r="J2428">
        <v>0</v>
      </c>
      <c r="K2428">
        <v>10146.82</v>
      </c>
    </row>
    <row r="2429" spans="1:11" x14ac:dyDescent="0.35">
      <c r="A2429">
        <v>2720000064</v>
      </c>
      <c r="B2429">
        <v>9400002739</v>
      </c>
      <c r="C2429" s="10">
        <v>46135</v>
      </c>
      <c r="D2429" t="s">
        <v>2032</v>
      </c>
      <c r="E2429" s="11">
        <v>18384856</v>
      </c>
      <c r="F2429" t="s">
        <v>58</v>
      </c>
      <c r="G2429" t="s">
        <v>59</v>
      </c>
      <c r="H2429" s="10">
        <v>46180</v>
      </c>
      <c r="I2429">
        <v>33924.54</v>
      </c>
      <c r="J2429">
        <v>0</v>
      </c>
      <c r="K2429">
        <v>33924.54</v>
      </c>
    </row>
    <row r="2430" spans="1:11" x14ac:dyDescent="0.35">
      <c r="A2430">
        <v>2000000048</v>
      </c>
      <c r="B2430">
        <v>9400002736</v>
      </c>
      <c r="C2430" s="10">
        <v>46135</v>
      </c>
      <c r="D2430" t="s">
        <v>2032</v>
      </c>
      <c r="E2430" s="11">
        <v>18385661</v>
      </c>
      <c r="F2430" t="s">
        <v>847</v>
      </c>
      <c r="G2430" t="s">
        <v>848</v>
      </c>
      <c r="H2430" s="10">
        <v>46180</v>
      </c>
      <c r="I2430">
        <v>49812.04</v>
      </c>
      <c r="J2430">
        <v>0</v>
      </c>
      <c r="K2430">
        <v>49812.04</v>
      </c>
    </row>
    <row r="2431" spans="1:11" x14ac:dyDescent="0.35">
      <c r="A2431">
        <v>2730000085</v>
      </c>
      <c r="B2431">
        <v>9400002734</v>
      </c>
      <c r="C2431" s="10">
        <v>46135</v>
      </c>
      <c r="D2431" t="s">
        <v>2032</v>
      </c>
      <c r="E2431" s="11">
        <v>18374667</v>
      </c>
      <c r="F2431" t="s">
        <v>437</v>
      </c>
      <c r="G2431" t="s">
        <v>438</v>
      </c>
      <c r="H2431" s="10">
        <v>46180</v>
      </c>
      <c r="I2431">
        <v>108924.26</v>
      </c>
      <c r="J2431">
        <v>0</v>
      </c>
      <c r="K2431">
        <v>108924.26</v>
      </c>
    </row>
    <row r="2432" spans="1:11" x14ac:dyDescent="0.35">
      <c r="A2432">
        <v>9100000255</v>
      </c>
      <c r="B2432">
        <v>9400002731</v>
      </c>
      <c r="C2432" s="10">
        <v>46135</v>
      </c>
      <c r="D2432" t="s">
        <v>2032</v>
      </c>
      <c r="E2432" s="11">
        <v>18406082</v>
      </c>
      <c r="F2432" t="s">
        <v>198</v>
      </c>
      <c r="G2432" t="s">
        <v>199</v>
      </c>
      <c r="H2432" s="10">
        <v>46180</v>
      </c>
      <c r="I2432">
        <v>20900.64</v>
      </c>
      <c r="J2432">
        <v>0</v>
      </c>
      <c r="K2432">
        <v>20900.64</v>
      </c>
    </row>
    <row r="2433" spans="1:11" x14ac:dyDescent="0.35">
      <c r="A2433">
        <v>8000000107</v>
      </c>
      <c r="B2433">
        <v>9400002730</v>
      </c>
      <c r="C2433" s="10">
        <v>46135</v>
      </c>
      <c r="D2433" t="s">
        <v>2032</v>
      </c>
      <c r="E2433" s="11">
        <v>18406070</v>
      </c>
      <c r="F2433" t="s">
        <v>853</v>
      </c>
      <c r="G2433" t="s">
        <v>854</v>
      </c>
      <c r="H2433" s="10">
        <v>46180</v>
      </c>
      <c r="I2433">
        <v>8224.36</v>
      </c>
      <c r="J2433">
        <v>0</v>
      </c>
      <c r="K2433">
        <v>8224.36</v>
      </c>
    </row>
    <row r="2434" spans="1:11" x14ac:dyDescent="0.35">
      <c r="A2434">
        <v>9100000253</v>
      </c>
      <c r="B2434">
        <v>9400002721</v>
      </c>
      <c r="C2434" s="10">
        <v>46135</v>
      </c>
      <c r="D2434" t="s">
        <v>2032</v>
      </c>
      <c r="E2434" s="11">
        <v>18406060</v>
      </c>
      <c r="F2434" t="s">
        <v>1171</v>
      </c>
      <c r="G2434" t="s">
        <v>1172</v>
      </c>
      <c r="H2434" s="10">
        <v>46135</v>
      </c>
      <c r="I2434">
        <v>98518.73</v>
      </c>
      <c r="J2434">
        <v>98486.84</v>
      </c>
      <c r="K2434">
        <v>31.889999999999418</v>
      </c>
    </row>
    <row r="2435" spans="1:11" x14ac:dyDescent="0.35">
      <c r="A2435">
        <v>8000000094</v>
      </c>
      <c r="B2435">
        <v>9400002674</v>
      </c>
      <c r="C2435" s="10">
        <v>46135</v>
      </c>
      <c r="D2435" t="s">
        <v>2032</v>
      </c>
      <c r="E2435" s="11" t="s">
        <v>2054</v>
      </c>
      <c r="F2435" t="s">
        <v>1173</v>
      </c>
      <c r="G2435" t="s">
        <v>1174</v>
      </c>
      <c r="H2435" s="10">
        <v>46135</v>
      </c>
      <c r="I2435">
        <v>5452.03</v>
      </c>
      <c r="J2435">
        <v>5451.43</v>
      </c>
      <c r="K2435">
        <v>0.5999999999994543</v>
      </c>
    </row>
    <row r="2436" spans="1:11" x14ac:dyDescent="0.35">
      <c r="A2436">
        <v>3000000192</v>
      </c>
      <c r="B2436">
        <v>9400002661</v>
      </c>
      <c r="C2436" s="10">
        <v>46135</v>
      </c>
      <c r="D2436" t="s">
        <v>2032</v>
      </c>
      <c r="E2436" s="11">
        <v>18385712</v>
      </c>
      <c r="F2436" t="s">
        <v>511</v>
      </c>
      <c r="G2436" t="s">
        <v>512</v>
      </c>
      <c r="H2436" s="10">
        <v>46180</v>
      </c>
      <c r="I2436">
        <v>105470.14</v>
      </c>
      <c r="J2436">
        <v>0</v>
      </c>
      <c r="K2436">
        <v>105470.14</v>
      </c>
    </row>
    <row r="2437" spans="1:11" x14ac:dyDescent="0.35">
      <c r="A2437">
        <v>5100000181</v>
      </c>
      <c r="B2437">
        <v>9400002652</v>
      </c>
      <c r="C2437" s="10">
        <v>46135</v>
      </c>
      <c r="D2437" t="s">
        <v>2032</v>
      </c>
      <c r="E2437" s="11">
        <v>18364025</v>
      </c>
      <c r="F2437" t="s">
        <v>1073</v>
      </c>
      <c r="G2437" t="s">
        <v>1074</v>
      </c>
      <c r="H2437" s="10">
        <v>46180</v>
      </c>
      <c r="I2437">
        <v>52930.68</v>
      </c>
      <c r="J2437">
        <v>0</v>
      </c>
      <c r="K2437">
        <v>52930.68</v>
      </c>
    </row>
    <row r="2438" spans="1:11" x14ac:dyDescent="0.35">
      <c r="A2438">
        <v>9100000236</v>
      </c>
      <c r="B2438">
        <v>9400002631</v>
      </c>
      <c r="C2438" s="10">
        <v>46135</v>
      </c>
      <c r="D2438" t="s">
        <v>2032</v>
      </c>
      <c r="E2438" s="11">
        <v>123</v>
      </c>
      <c r="F2438" t="s">
        <v>1175</v>
      </c>
      <c r="G2438" t="s">
        <v>1176</v>
      </c>
      <c r="H2438" s="10">
        <v>46180</v>
      </c>
      <c r="I2438">
        <v>40352.46</v>
      </c>
      <c r="J2438">
        <v>0</v>
      </c>
      <c r="K2438">
        <v>40352.46</v>
      </c>
    </row>
    <row r="2439" spans="1:11" x14ac:dyDescent="0.35">
      <c r="A2439">
        <v>2730000080</v>
      </c>
      <c r="B2439">
        <v>9400002611</v>
      </c>
      <c r="C2439" s="10">
        <v>46135</v>
      </c>
      <c r="D2439" t="s">
        <v>2032</v>
      </c>
      <c r="E2439" s="11">
        <v>747</v>
      </c>
      <c r="F2439" t="s">
        <v>483</v>
      </c>
      <c r="G2439" t="s">
        <v>484</v>
      </c>
      <c r="H2439" s="10">
        <v>46180</v>
      </c>
      <c r="I2439">
        <v>113.53</v>
      </c>
      <c r="J2439">
        <v>0</v>
      </c>
      <c r="K2439">
        <v>113.53</v>
      </c>
    </row>
    <row r="2440" spans="1:11" x14ac:dyDescent="0.35">
      <c r="A2440">
        <v>9100000221</v>
      </c>
      <c r="B2440">
        <v>9400002578</v>
      </c>
      <c r="C2440" s="10">
        <v>46135</v>
      </c>
      <c r="D2440" t="s">
        <v>2032</v>
      </c>
      <c r="E2440" s="11">
        <v>18385116</v>
      </c>
      <c r="F2440" t="s">
        <v>142</v>
      </c>
      <c r="G2440" t="s">
        <v>143</v>
      </c>
      <c r="H2440" s="10">
        <v>46180</v>
      </c>
      <c r="I2440">
        <v>42522.48</v>
      </c>
      <c r="J2440">
        <v>0</v>
      </c>
      <c r="K2440">
        <v>42522.48</v>
      </c>
    </row>
    <row r="2441" spans="1:11" x14ac:dyDescent="0.35">
      <c r="A2441">
        <v>5200000061</v>
      </c>
      <c r="B2441">
        <v>9400002576</v>
      </c>
      <c r="C2441" s="10">
        <v>46135</v>
      </c>
      <c r="D2441" t="s">
        <v>2032</v>
      </c>
      <c r="E2441" s="11" t="s">
        <v>2055</v>
      </c>
      <c r="F2441" t="s">
        <v>759</v>
      </c>
      <c r="G2441" t="s">
        <v>760</v>
      </c>
      <c r="H2441" s="10">
        <v>46180</v>
      </c>
      <c r="I2441">
        <v>4018.61</v>
      </c>
      <c r="J2441">
        <v>0</v>
      </c>
      <c r="K2441">
        <v>4018.61</v>
      </c>
    </row>
    <row r="2442" spans="1:11" x14ac:dyDescent="0.35">
      <c r="B2442">
        <v>1400002587</v>
      </c>
      <c r="C2442" s="10">
        <v>46135</v>
      </c>
      <c r="D2442" t="s">
        <v>2037</v>
      </c>
      <c r="E2442" s="11">
        <v>63552</v>
      </c>
      <c r="F2442" t="s">
        <v>1091</v>
      </c>
      <c r="G2442" t="s">
        <v>1092</v>
      </c>
      <c r="H2442" s="10">
        <v>46135</v>
      </c>
      <c r="I2442">
        <v>59</v>
      </c>
      <c r="J2442">
        <v>0</v>
      </c>
      <c r="K2442">
        <v>59</v>
      </c>
    </row>
    <row r="2443" spans="1:11" x14ac:dyDescent="0.35">
      <c r="A2443">
        <v>9200000154</v>
      </c>
      <c r="B2443">
        <v>9400002536</v>
      </c>
      <c r="C2443" s="10">
        <v>46134</v>
      </c>
      <c r="D2443" t="s">
        <v>2032</v>
      </c>
      <c r="E2443" s="11">
        <v>18384966</v>
      </c>
      <c r="F2443" t="s">
        <v>290</v>
      </c>
      <c r="G2443" t="s">
        <v>291</v>
      </c>
      <c r="H2443" s="10">
        <v>46179</v>
      </c>
      <c r="I2443">
        <v>76540.58</v>
      </c>
      <c r="J2443">
        <v>0</v>
      </c>
      <c r="K2443">
        <v>76540.58</v>
      </c>
    </row>
    <row r="2444" spans="1:11" x14ac:dyDescent="0.35">
      <c r="A2444">
        <v>5100000163</v>
      </c>
      <c r="B2444">
        <v>9400002522</v>
      </c>
      <c r="C2444" s="10">
        <v>46134</v>
      </c>
      <c r="D2444" t="s">
        <v>2032</v>
      </c>
      <c r="E2444" s="11">
        <v>18363044</v>
      </c>
      <c r="F2444" t="s">
        <v>927</v>
      </c>
      <c r="G2444" t="s">
        <v>928</v>
      </c>
      <c r="H2444" s="10">
        <v>46179</v>
      </c>
      <c r="I2444">
        <v>79248.800000000003</v>
      </c>
      <c r="J2444">
        <v>0</v>
      </c>
      <c r="K2444">
        <v>79248.800000000003</v>
      </c>
    </row>
    <row r="2445" spans="1:11" x14ac:dyDescent="0.35">
      <c r="A2445">
        <v>5100000162</v>
      </c>
      <c r="B2445">
        <v>9400002520</v>
      </c>
      <c r="C2445" s="10">
        <v>46134</v>
      </c>
      <c r="D2445" t="s">
        <v>2032</v>
      </c>
      <c r="E2445" s="11">
        <v>18362214</v>
      </c>
      <c r="F2445" t="s">
        <v>306</v>
      </c>
      <c r="G2445" t="s">
        <v>307</v>
      </c>
      <c r="H2445" s="10">
        <v>46179</v>
      </c>
      <c r="I2445">
        <v>19812.2</v>
      </c>
      <c r="J2445">
        <v>0</v>
      </c>
      <c r="K2445">
        <v>19812.2</v>
      </c>
    </row>
    <row r="2446" spans="1:11" x14ac:dyDescent="0.35">
      <c r="A2446">
        <v>3000000180</v>
      </c>
      <c r="B2446">
        <v>9400002513</v>
      </c>
      <c r="C2446" s="10">
        <v>46134</v>
      </c>
      <c r="D2446" t="s">
        <v>2032</v>
      </c>
      <c r="E2446" s="11">
        <v>18385289</v>
      </c>
      <c r="F2446" t="s">
        <v>178</v>
      </c>
      <c r="G2446" t="s">
        <v>179</v>
      </c>
      <c r="H2446" s="10">
        <v>46179</v>
      </c>
      <c r="I2446">
        <v>120024.53</v>
      </c>
      <c r="J2446">
        <v>8038.23</v>
      </c>
      <c r="K2446">
        <v>111986.3</v>
      </c>
    </row>
    <row r="2447" spans="1:11" x14ac:dyDescent="0.35">
      <c r="A2447">
        <v>5100000159</v>
      </c>
      <c r="B2447">
        <v>9400002512</v>
      </c>
      <c r="C2447" s="10">
        <v>46134</v>
      </c>
      <c r="D2447" t="s">
        <v>2032</v>
      </c>
      <c r="E2447" s="11">
        <v>18363281</v>
      </c>
      <c r="F2447" t="s">
        <v>931</v>
      </c>
      <c r="G2447" t="s">
        <v>932</v>
      </c>
      <c r="H2447" s="10">
        <v>46179</v>
      </c>
      <c r="I2447">
        <v>27358.3</v>
      </c>
      <c r="J2447">
        <v>198.1</v>
      </c>
      <c r="K2447">
        <v>27160.2</v>
      </c>
    </row>
    <row r="2448" spans="1:11" x14ac:dyDescent="0.35">
      <c r="A2448">
        <v>9200000144</v>
      </c>
      <c r="B2448">
        <v>9400002506</v>
      </c>
      <c r="C2448" s="10">
        <v>46134</v>
      </c>
      <c r="D2448" t="s">
        <v>2032</v>
      </c>
      <c r="E2448" s="11">
        <v>18384915</v>
      </c>
      <c r="F2448" t="s">
        <v>737</v>
      </c>
      <c r="G2448" t="s">
        <v>738</v>
      </c>
      <c r="H2448" s="10">
        <v>46179</v>
      </c>
      <c r="I2448">
        <v>138714.48000000001</v>
      </c>
      <c r="J2448">
        <v>0.99</v>
      </c>
      <c r="K2448">
        <v>138713.49000000002</v>
      </c>
    </row>
    <row r="2449" spans="1:11" x14ac:dyDescent="0.35">
      <c r="A2449">
        <v>5100000157</v>
      </c>
      <c r="B2449">
        <v>9400002505</v>
      </c>
      <c r="C2449" s="10">
        <v>46134</v>
      </c>
      <c r="D2449" t="s">
        <v>2032</v>
      </c>
      <c r="E2449" s="11">
        <v>18362698</v>
      </c>
      <c r="F2449" t="s">
        <v>211</v>
      </c>
      <c r="G2449" t="s">
        <v>212</v>
      </c>
      <c r="H2449" s="10">
        <v>46179</v>
      </c>
      <c r="I2449">
        <v>49244.94</v>
      </c>
      <c r="J2449">
        <v>20556.48</v>
      </c>
      <c r="K2449">
        <v>28688.460000000003</v>
      </c>
    </row>
    <row r="2450" spans="1:11" x14ac:dyDescent="0.35">
      <c r="A2450">
        <v>9200000143</v>
      </c>
      <c r="B2450">
        <v>9400002503</v>
      </c>
      <c r="C2450" s="10">
        <v>46134</v>
      </c>
      <c r="D2450" t="s">
        <v>2032</v>
      </c>
      <c r="E2450" s="11">
        <v>18384869</v>
      </c>
      <c r="F2450" t="s">
        <v>124</v>
      </c>
      <c r="G2450" t="s">
        <v>125</v>
      </c>
      <c r="H2450" s="10">
        <v>46179</v>
      </c>
      <c r="I2450">
        <v>162615.26</v>
      </c>
      <c r="J2450">
        <v>0.08</v>
      </c>
      <c r="K2450">
        <v>162615.18000000002</v>
      </c>
    </row>
    <row r="2451" spans="1:11" x14ac:dyDescent="0.35">
      <c r="A2451">
        <v>9200000141</v>
      </c>
      <c r="B2451">
        <v>9400002493</v>
      </c>
      <c r="C2451" s="10">
        <v>46134</v>
      </c>
      <c r="D2451" t="s">
        <v>2032</v>
      </c>
      <c r="E2451" s="11">
        <v>18363194</v>
      </c>
      <c r="F2451" t="s">
        <v>439</v>
      </c>
      <c r="G2451" t="s">
        <v>440</v>
      </c>
      <c r="H2451" s="10">
        <v>46179</v>
      </c>
      <c r="I2451">
        <v>50026.1</v>
      </c>
      <c r="J2451">
        <v>0</v>
      </c>
      <c r="K2451">
        <v>50026.1</v>
      </c>
    </row>
    <row r="2452" spans="1:11" x14ac:dyDescent="0.35">
      <c r="A2452">
        <v>9300000136</v>
      </c>
      <c r="B2452">
        <v>9400002492</v>
      </c>
      <c r="C2452" s="10">
        <v>46134</v>
      </c>
      <c r="D2452" t="s">
        <v>2032</v>
      </c>
      <c r="E2452" s="11">
        <v>18385047</v>
      </c>
      <c r="F2452" t="s">
        <v>699</v>
      </c>
      <c r="G2452" t="s">
        <v>700</v>
      </c>
      <c r="H2452" s="10">
        <v>46179</v>
      </c>
      <c r="I2452">
        <v>36634.76</v>
      </c>
      <c r="J2452">
        <v>352.09</v>
      </c>
      <c r="K2452">
        <v>36282.670000000006</v>
      </c>
    </row>
    <row r="2453" spans="1:11" x14ac:dyDescent="0.35">
      <c r="A2453">
        <v>3000000176</v>
      </c>
      <c r="B2453">
        <v>9400002486</v>
      </c>
      <c r="C2453" s="10">
        <v>46134</v>
      </c>
      <c r="D2453" t="s">
        <v>2032</v>
      </c>
      <c r="E2453" s="11">
        <v>18385255</v>
      </c>
      <c r="F2453" t="s">
        <v>1123</v>
      </c>
      <c r="G2453" t="s">
        <v>1124</v>
      </c>
      <c r="H2453" s="10">
        <v>46179</v>
      </c>
      <c r="I2453">
        <v>76362.52</v>
      </c>
      <c r="J2453">
        <v>50893.71</v>
      </c>
      <c r="K2453">
        <v>25468.810000000005</v>
      </c>
    </row>
    <row r="2454" spans="1:11" x14ac:dyDescent="0.35">
      <c r="A2454">
        <v>9200000137</v>
      </c>
      <c r="B2454">
        <v>9400002481</v>
      </c>
      <c r="C2454" s="10">
        <v>46134</v>
      </c>
      <c r="D2454" t="s">
        <v>2032</v>
      </c>
      <c r="E2454" s="11">
        <v>18364004</v>
      </c>
      <c r="F2454" t="s">
        <v>449</v>
      </c>
      <c r="G2454" t="s">
        <v>450</v>
      </c>
      <c r="H2454" s="10">
        <v>46179</v>
      </c>
      <c r="I2454">
        <v>68666.559999999998</v>
      </c>
      <c r="J2454">
        <v>29658.53</v>
      </c>
      <c r="K2454">
        <v>39008.03</v>
      </c>
    </row>
    <row r="2455" spans="1:11" x14ac:dyDescent="0.35">
      <c r="A2455">
        <v>5200000054</v>
      </c>
      <c r="B2455">
        <v>9400002479</v>
      </c>
      <c r="C2455" s="10">
        <v>46134</v>
      </c>
      <c r="D2455" t="s">
        <v>2032</v>
      </c>
      <c r="E2455" s="11">
        <v>18350317</v>
      </c>
      <c r="F2455" t="s">
        <v>759</v>
      </c>
      <c r="G2455" t="s">
        <v>760</v>
      </c>
      <c r="H2455" s="10">
        <v>46179</v>
      </c>
      <c r="I2455">
        <v>64578.400000000001</v>
      </c>
      <c r="J2455">
        <v>0</v>
      </c>
      <c r="K2455">
        <v>64578.400000000001</v>
      </c>
    </row>
    <row r="2456" spans="1:11" x14ac:dyDescent="0.35">
      <c r="A2456">
        <v>3000000174</v>
      </c>
      <c r="B2456">
        <v>9400002478</v>
      </c>
      <c r="C2456" s="10">
        <v>46134</v>
      </c>
      <c r="D2456" t="s">
        <v>2032</v>
      </c>
      <c r="E2456" s="11">
        <v>18385245</v>
      </c>
      <c r="F2456" t="s">
        <v>643</v>
      </c>
      <c r="G2456" t="s">
        <v>644</v>
      </c>
      <c r="H2456" s="10">
        <v>46179</v>
      </c>
      <c r="I2456">
        <v>29180.69</v>
      </c>
      <c r="J2456">
        <v>0</v>
      </c>
      <c r="K2456">
        <v>29180.69</v>
      </c>
    </row>
    <row r="2457" spans="1:11" x14ac:dyDescent="0.35">
      <c r="A2457">
        <v>2720000063</v>
      </c>
      <c r="B2457">
        <v>9400002475</v>
      </c>
      <c r="C2457" s="10">
        <v>46134</v>
      </c>
      <c r="D2457" t="s">
        <v>2032</v>
      </c>
      <c r="E2457" s="11">
        <v>18385208</v>
      </c>
      <c r="F2457" t="s">
        <v>22</v>
      </c>
      <c r="G2457" t="s">
        <v>23</v>
      </c>
      <c r="H2457" s="10">
        <v>46179</v>
      </c>
      <c r="I2457">
        <v>19906.12</v>
      </c>
      <c r="J2457">
        <v>1924.54</v>
      </c>
      <c r="K2457">
        <v>17981.579999999998</v>
      </c>
    </row>
    <row r="2458" spans="1:11" x14ac:dyDescent="0.35">
      <c r="A2458">
        <v>9200000136</v>
      </c>
      <c r="B2458">
        <v>9400002473</v>
      </c>
      <c r="C2458" s="10">
        <v>46134</v>
      </c>
      <c r="D2458" t="s">
        <v>2032</v>
      </c>
      <c r="E2458" s="11">
        <v>18385062</v>
      </c>
      <c r="F2458" t="s">
        <v>103</v>
      </c>
      <c r="G2458" t="s">
        <v>104</v>
      </c>
      <c r="H2458" s="10">
        <v>46179</v>
      </c>
      <c r="I2458">
        <v>388993.5</v>
      </c>
      <c r="J2458">
        <v>31415.119999999999</v>
      </c>
      <c r="K2458">
        <v>357578.38</v>
      </c>
    </row>
    <row r="2459" spans="1:11" x14ac:dyDescent="0.35">
      <c r="A2459">
        <v>9200000135</v>
      </c>
      <c r="B2459">
        <v>9400002472</v>
      </c>
      <c r="C2459" s="10">
        <v>46134</v>
      </c>
      <c r="D2459" t="s">
        <v>2032</v>
      </c>
      <c r="E2459" s="11">
        <v>91200000010</v>
      </c>
      <c r="F2459" t="s">
        <v>1187</v>
      </c>
      <c r="G2459" t="s">
        <v>1188</v>
      </c>
      <c r="H2459" s="10">
        <v>46134</v>
      </c>
      <c r="I2459">
        <v>100238.21</v>
      </c>
      <c r="J2459">
        <v>99302.31</v>
      </c>
      <c r="K2459">
        <v>935.90000000000873</v>
      </c>
    </row>
    <row r="2460" spans="1:11" x14ac:dyDescent="0.35">
      <c r="A2460">
        <v>9100000212</v>
      </c>
      <c r="B2460">
        <v>9400002470</v>
      </c>
      <c r="C2460" s="10">
        <v>46134</v>
      </c>
      <c r="D2460" t="s">
        <v>2032</v>
      </c>
      <c r="E2460" s="11">
        <v>18374702</v>
      </c>
      <c r="F2460" t="s">
        <v>665</v>
      </c>
      <c r="G2460" t="s">
        <v>666</v>
      </c>
      <c r="H2460" s="10">
        <v>46179</v>
      </c>
      <c r="I2460">
        <v>27574</v>
      </c>
      <c r="J2460">
        <v>20000.189999999999</v>
      </c>
      <c r="K2460">
        <v>7573.8100000000013</v>
      </c>
    </row>
    <row r="2461" spans="1:11" x14ac:dyDescent="0.35">
      <c r="A2461">
        <v>9300000133</v>
      </c>
      <c r="B2461">
        <v>9400002466</v>
      </c>
      <c r="C2461" s="10">
        <v>46134</v>
      </c>
      <c r="D2461" t="s">
        <v>2032</v>
      </c>
      <c r="E2461" s="11">
        <v>18384844</v>
      </c>
      <c r="F2461" t="s">
        <v>271</v>
      </c>
      <c r="G2461" t="s">
        <v>272</v>
      </c>
      <c r="H2461" s="10">
        <v>46179</v>
      </c>
      <c r="I2461">
        <v>70217.179999999993</v>
      </c>
      <c r="J2461">
        <v>16344.34</v>
      </c>
      <c r="K2461">
        <v>53872.84</v>
      </c>
    </row>
    <row r="2462" spans="1:11" x14ac:dyDescent="0.35">
      <c r="A2462">
        <v>9200000132</v>
      </c>
      <c r="B2462">
        <v>9400002463</v>
      </c>
      <c r="C2462" s="10">
        <v>46134</v>
      </c>
      <c r="D2462" t="s">
        <v>2032</v>
      </c>
      <c r="E2462" s="11">
        <v>18339363</v>
      </c>
      <c r="F2462" t="s">
        <v>98</v>
      </c>
      <c r="G2462" t="s">
        <v>99</v>
      </c>
      <c r="H2462" s="10">
        <v>46179</v>
      </c>
      <c r="I2462">
        <v>27773.9</v>
      </c>
      <c r="J2462">
        <v>15120.59</v>
      </c>
      <c r="K2462">
        <v>12653.310000000001</v>
      </c>
    </row>
    <row r="2463" spans="1:11" x14ac:dyDescent="0.35">
      <c r="A2463">
        <v>9300000132</v>
      </c>
      <c r="B2463">
        <v>9400002455</v>
      </c>
      <c r="C2463" s="10">
        <v>46134</v>
      </c>
      <c r="D2463" t="s">
        <v>2032</v>
      </c>
      <c r="E2463" s="11">
        <v>18374701</v>
      </c>
      <c r="F2463" t="s">
        <v>284</v>
      </c>
      <c r="G2463" t="s">
        <v>285</v>
      </c>
      <c r="H2463" s="10">
        <v>46179</v>
      </c>
      <c r="I2463">
        <v>177971.84</v>
      </c>
      <c r="J2463">
        <v>0</v>
      </c>
      <c r="K2463">
        <v>177971.84</v>
      </c>
    </row>
    <row r="2464" spans="1:11" x14ac:dyDescent="0.35">
      <c r="A2464">
        <v>3000000166</v>
      </c>
      <c r="B2464">
        <v>9400002428</v>
      </c>
      <c r="C2464" s="10">
        <v>46134</v>
      </c>
      <c r="D2464" t="s">
        <v>2032</v>
      </c>
      <c r="E2464" s="11">
        <v>18385060</v>
      </c>
      <c r="F2464" t="s">
        <v>477</v>
      </c>
      <c r="G2464" t="s">
        <v>478</v>
      </c>
      <c r="H2464" s="10">
        <v>46179</v>
      </c>
      <c r="I2464">
        <v>22590.86</v>
      </c>
      <c r="J2464">
        <v>3333.29</v>
      </c>
      <c r="K2464">
        <v>19257.57</v>
      </c>
    </row>
    <row r="2465" spans="1:11" x14ac:dyDescent="0.35">
      <c r="A2465">
        <v>5100000146</v>
      </c>
      <c r="B2465">
        <v>9400002427</v>
      </c>
      <c r="C2465" s="10">
        <v>46134</v>
      </c>
      <c r="D2465" t="s">
        <v>2032</v>
      </c>
      <c r="E2465" s="11">
        <v>18362941</v>
      </c>
      <c r="F2465" t="s">
        <v>1189</v>
      </c>
      <c r="G2465" t="s">
        <v>1190</v>
      </c>
      <c r="H2465" s="10">
        <v>46179</v>
      </c>
      <c r="I2465">
        <v>153415.34</v>
      </c>
      <c r="J2465">
        <v>49887.39</v>
      </c>
      <c r="K2465">
        <v>103527.95</v>
      </c>
    </row>
    <row r="2466" spans="1:11" x14ac:dyDescent="0.35">
      <c r="A2466">
        <v>5100000145</v>
      </c>
      <c r="B2466">
        <v>9400002423</v>
      </c>
      <c r="C2466" s="10">
        <v>46134</v>
      </c>
      <c r="D2466" t="s">
        <v>2032</v>
      </c>
      <c r="E2466" s="12">
        <v>183620431837467</v>
      </c>
      <c r="F2466" t="s">
        <v>923</v>
      </c>
      <c r="G2466" t="s">
        <v>924</v>
      </c>
      <c r="H2466" s="10">
        <v>46179</v>
      </c>
      <c r="I2466">
        <v>59531</v>
      </c>
      <c r="J2466">
        <v>0</v>
      </c>
      <c r="K2466">
        <v>59531</v>
      </c>
    </row>
    <row r="2467" spans="1:11" x14ac:dyDescent="0.35">
      <c r="A2467">
        <v>9200000126</v>
      </c>
      <c r="B2467">
        <v>9400002417</v>
      </c>
      <c r="C2467" s="10">
        <v>46134</v>
      </c>
      <c r="D2467" t="s">
        <v>2032</v>
      </c>
      <c r="E2467" s="11">
        <v>18317910</v>
      </c>
      <c r="F2467" t="s">
        <v>883</v>
      </c>
      <c r="G2467" t="s">
        <v>884</v>
      </c>
      <c r="H2467" s="10">
        <v>46179</v>
      </c>
      <c r="I2467">
        <v>172091.44</v>
      </c>
      <c r="J2467">
        <v>8482.59</v>
      </c>
      <c r="K2467">
        <v>163608.85</v>
      </c>
    </row>
    <row r="2468" spans="1:11" x14ac:dyDescent="0.35">
      <c r="A2468">
        <v>2720000061</v>
      </c>
      <c r="B2468">
        <v>9400002413</v>
      </c>
      <c r="C2468" s="10">
        <v>46134</v>
      </c>
      <c r="D2468" t="s">
        <v>2032</v>
      </c>
      <c r="E2468" s="11">
        <v>18363031</v>
      </c>
      <c r="F2468" t="s">
        <v>1169</v>
      </c>
      <c r="G2468" t="s">
        <v>1170</v>
      </c>
      <c r="H2468" s="10">
        <v>46179</v>
      </c>
      <c r="I2468">
        <v>18208.2</v>
      </c>
      <c r="J2468">
        <v>17139.64</v>
      </c>
      <c r="K2468">
        <v>1068.5600000000013</v>
      </c>
    </row>
    <row r="2469" spans="1:11" x14ac:dyDescent="0.35">
      <c r="A2469">
        <v>9200000125</v>
      </c>
      <c r="B2469">
        <v>9400002410</v>
      </c>
      <c r="C2469" s="10">
        <v>46134</v>
      </c>
      <c r="D2469" t="s">
        <v>2032</v>
      </c>
      <c r="E2469" s="11">
        <v>18363689</v>
      </c>
      <c r="F2469" t="s">
        <v>517</v>
      </c>
      <c r="G2469" t="s">
        <v>518</v>
      </c>
      <c r="H2469" s="10">
        <v>46179</v>
      </c>
      <c r="I2469">
        <v>21886.639999999999</v>
      </c>
      <c r="J2469">
        <v>0</v>
      </c>
      <c r="K2469">
        <v>21886.639999999999</v>
      </c>
    </row>
    <row r="2470" spans="1:11" x14ac:dyDescent="0.35">
      <c r="A2470">
        <v>2720000060</v>
      </c>
      <c r="B2470">
        <v>9400002406</v>
      </c>
      <c r="C2470" s="10">
        <v>46134</v>
      </c>
      <c r="D2470" t="s">
        <v>2032</v>
      </c>
      <c r="E2470" s="11">
        <v>18362407</v>
      </c>
      <c r="F2470" t="s">
        <v>312</v>
      </c>
      <c r="G2470" t="s">
        <v>313</v>
      </c>
      <c r="H2470" s="10">
        <v>46179</v>
      </c>
      <c r="I2470">
        <v>53662.74</v>
      </c>
      <c r="J2470">
        <v>0</v>
      </c>
      <c r="K2470">
        <v>53662.74</v>
      </c>
    </row>
    <row r="2471" spans="1:11" x14ac:dyDescent="0.35">
      <c r="A2471">
        <v>2710000158</v>
      </c>
      <c r="B2471">
        <v>9400002397</v>
      </c>
      <c r="C2471" s="10">
        <v>46134</v>
      </c>
      <c r="D2471" t="s">
        <v>2032</v>
      </c>
      <c r="E2471" s="11">
        <v>18374675</v>
      </c>
      <c r="F2471" t="s">
        <v>353</v>
      </c>
      <c r="G2471" t="s">
        <v>354</v>
      </c>
      <c r="H2471" s="10">
        <v>46179</v>
      </c>
      <c r="I2471">
        <v>31933.86</v>
      </c>
      <c r="J2471">
        <v>40.049999999999997</v>
      </c>
      <c r="K2471">
        <v>31893.81</v>
      </c>
    </row>
    <row r="2472" spans="1:11" x14ac:dyDescent="0.35">
      <c r="A2472">
        <v>2710000155</v>
      </c>
      <c r="B2472">
        <v>9400002389</v>
      </c>
      <c r="C2472" s="10">
        <v>46134</v>
      </c>
      <c r="D2472" t="s">
        <v>2032</v>
      </c>
      <c r="E2472" s="11">
        <v>18361963</v>
      </c>
      <c r="F2472" t="s">
        <v>757</v>
      </c>
      <c r="G2472" t="s">
        <v>758</v>
      </c>
      <c r="H2472" s="10">
        <v>46179</v>
      </c>
      <c r="I2472">
        <v>47437.18</v>
      </c>
      <c r="J2472">
        <v>0</v>
      </c>
      <c r="K2472">
        <v>47437.18</v>
      </c>
    </row>
    <row r="2473" spans="1:11" x14ac:dyDescent="0.35">
      <c r="A2473">
        <v>9200000120</v>
      </c>
      <c r="B2473">
        <v>9400002386</v>
      </c>
      <c r="C2473" s="10">
        <v>46134</v>
      </c>
      <c r="D2473" t="s">
        <v>2032</v>
      </c>
      <c r="E2473" s="11">
        <v>18374149</v>
      </c>
      <c r="F2473" t="s">
        <v>158</v>
      </c>
      <c r="G2473" t="s">
        <v>159</v>
      </c>
      <c r="H2473" s="10">
        <v>46179</v>
      </c>
      <c r="I2473">
        <v>10943.32</v>
      </c>
      <c r="J2473">
        <v>0</v>
      </c>
      <c r="K2473">
        <v>10943.32</v>
      </c>
    </row>
    <row r="2474" spans="1:11" x14ac:dyDescent="0.35">
      <c r="A2474">
        <v>5100000139</v>
      </c>
      <c r="B2474">
        <v>9400002384</v>
      </c>
      <c r="C2474" s="10">
        <v>46134</v>
      </c>
      <c r="D2474" t="s">
        <v>2032</v>
      </c>
      <c r="E2474" s="11">
        <v>18363318</v>
      </c>
      <c r="F2474" t="s">
        <v>213</v>
      </c>
      <c r="G2474" t="s">
        <v>214</v>
      </c>
      <c r="H2474" s="10">
        <v>46179</v>
      </c>
      <c r="I2474">
        <v>19812.2</v>
      </c>
      <c r="J2474">
        <v>0</v>
      </c>
      <c r="K2474">
        <v>19812.2</v>
      </c>
    </row>
    <row r="2475" spans="1:11" x14ac:dyDescent="0.35">
      <c r="A2475">
        <v>5100000138</v>
      </c>
      <c r="B2475">
        <v>9400002381</v>
      </c>
      <c r="C2475" s="10">
        <v>46134</v>
      </c>
      <c r="D2475" t="s">
        <v>2032</v>
      </c>
      <c r="E2475" s="11">
        <v>18271454</v>
      </c>
      <c r="F2475" t="s">
        <v>213</v>
      </c>
      <c r="G2475" t="s">
        <v>214</v>
      </c>
      <c r="H2475" s="10">
        <v>46179</v>
      </c>
      <c r="I2475">
        <v>21886.639999999999</v>
      </c>
      <c r="J2475">
        <v>0</v>
      </c>
      <c r="K2475">
        <v>21886.639999999999</v>
      </c>
    </row>
    <row r="2476" spans="1:11" x14ac:dyDescent="0.35">
      <c r="A2476">
        <v>3000000162</v>
      </c>
      <c r="B2476">
        <v>9400002380</v>
      </c>
      <c r="C2476" s="10">
        <v>46134</v>
      </c>
      <c r="D2476" t="s">
        <v>2032</v>
      </c>
      <c r="E2476" s="11">
        <v>18374732</v>
      </c>
      <c r="F2476" t="s">
        <v>1023</v>
      </c>
      <c r="G2476" t="s">
        <v>1024</v>
      </c>
      <c r="H2476" s="10">
        <v>46179</v>
      </c>
      <c r="I2476">
        <v>134539.12</v>
      </c>
      <c r="J2476">
        <v>13847.21</v>
      </c>
      <c r="K2476">
        <v>120691.91</v>
      </c>
    </row>
    <row r="2477" spans="1:11" x14ac:dyDescent="0.35">
      <c r="A2477">
        <v>9200000117</v>
      </c>
      <c r="B2477">
        <v>9400002373</v>
      </c>
      <c r="C2477" s="10">
        <v>46134</v>
      </c>
      <c r="D2477" t="s">
        <v>2032</v>
      </c>
      <c r="E2477" s="11">
        <v>18338983</v>
      </c>
      <c r="F2477" t="s">
        <v>44</v>
      </c>
      <c r="G2477" t="s">
        <v>45</v>
      </c>
      <c r="H2477" s="10">
        <v>46179</v>
      </c>
      <c r="I2477">
        <v>16414.98</v>
      </c>
      <c r="J2477">
        <v>6488.91</v>
      </c>
      <c r="K2477">
        <v>9926.07</v>
      </c>
    </row>
    <row r="2478" spans="1:11" x14ac:dyDescent="0.35">
      <c r="A2478">
        <v>3000000161</v>
      </c>
      <c r="B2478">
        <v>9400002370</v>
      </c>
      <c r="C2478" s="10">
        <v>46134</v>
      </c>
      <c r="D2478" t="s">
        <v>2032</v>
      </c>
      <c r="E2478" s="11">
        <v>18374732</v>
      </c>
      <c r="F2478" t="s">
        <v>1023</v>
      </c>
      <c r="G2478" t="s">
        <v>1024</v>
      </c>
      <c r="H2478" s="10">
        <v>46179</v>
      </c>
      <c r="I2478">
        <v>43137.91</v>
      </c>
      <c r="J2478">
        <v>0</v>
      </c>
      <c r="K2478">
        <v>43137.91</v>
      </c>
    </row>
    <row r="2479" spans="1:11" x14ac:dyDescent="0.35">
      <c r="A2479">
        <v>5100000137</v>
      </c>
      <c r="B2479">
        <v>9400002366</v>
      </c>
      <c r="C2479" s="10">
        <v>46134</v>
      </c>
      <c r="D2479" t="s">
        <v>2032</v>
      </c>
      <c r="E2479" s="11">
        <v>18363292</v>
      </c>
      <c r="F2479" t="s">
        <v>573</v>
      </c>
      <c r="G2479" t="s">
        <v>574</v>
      </c>
      <c r="H2479" s="10">
        <v>46179</v>
      </c>
      <c r="I2479">
        <v>11052.82</v>
      </c>
      <c r="J2479">
        <v>4897.5</v>
      </c>
      <c r="K2479">
        <v>6155.32</v>
      </c>
    </row>
    <row r="2480" spans="1:11" x14ac:dyDescent="0.35">
      <c r="A2480">
        <v>5100000134</v>
      </c>
      <c r="B2480">
        <v>9400002359</v>
      </c>
      <c r="C2480" s="10">
        <v>46134</v>
      </c>
      <c r="D2480" t="s">
        <v>2032</v>
      </c>
      <c r="E2480" s="11">
        <v>18317270</v>
      </c>
      <c r="F2480" t="s">
        <v>553</v>
      </c>
      <c r="G2480" t="s">
        <v>554</v>
      </c>
      <c r="H2480" s="10">
        <v>46179</v>
      </c>
      <c r="I2480">
        <v>99031.5</v>
      </c>
      <c r="J2480">
        <v>8100.7</v>
      </c>
      <c r="K2480">
        <v>90930.8</v>
      </c>
    </row>
    <row r="2481" spans="1:11" x14ac:dyDescent="0.35">
      <c r="A2481">
        <v>5100000132</v>
      </c>
      <c r="B2481">
        <v>9400002357</v>
      </c>
      <c r="C2481" s="10">
        <v>46134</v>
      </c>
      <c r="D2481" t="s">
        <v>2032</v>
      </c>
      <c r="E2481" s="12">
        <v>183640321836404</v>
      </c>
      <c r="F2481" t="s">
        <v>221</v>
      </c>
      <c r="G2481" t="s">
        <v>222</v>
      </c>
      <c r="H2481" s="10">
        <v>46179</v>
      </c>
      <c r="I2481">
        <v>71199.460000000006</v>
      </c>
      <c r="J2481">
        <v>0</v>
      </c>
      <c r="K2481">
        <v>71199.460000000006</v>
      </c>
    </row>
    <row r="2482" spans="1:11" x14ac:dyDescent="0.35">
      <c r="A2482">
        <v>2000000044</v>
      </c>
      <c r="B2482">
        <v>9400002346</v>
      </c>
      <c r="C2482" s="10">
        <v>46134</v>
      </c>
      <c r="D2482" t="s">
        <v>2032</v>
      </c>
      <c r="E2482" s="11">
        <v>18374208</v>
      </c>
      <c r="F2482" t="s">
        <v>683</v>
      </c>
      <c r="G2482" t="s">
        <v>684</v>
      </c>
      <c r="H2482" s="10">
        <v>46179</v>
      </c>
      <c r="I2482">
        <v>105605.28</v>
      </c>
      <c r="J2482">
        <v>0</v>
      </c>
      <c r="K2482">
        <v>105605.28</v>
      </c>
    </row>
    <row r="2483" spans="1:11" x14ac:dyDescent="0.35">
      <c r="A2483">
        <v>3000000158</v>
      </c>
      <c r="B2483">
        <v>9400002329</v>
      </c>
      <c r="C2483" s="10">
        <v>46134</v>
      </c>
      <c r="D2483" t="s">
        <v>2032</v>
      </c>
      <c r="E2483" s="11">
        <v>18374732</v>
      </c>
      <c r="F2483" t="s">
        <v>1023</v>
      </c>
      <c r="G2483" t="s">
        <v>1024</v>
      </c>
      <c r="H2483" s="10">
        <v>46179</v>
      </c>
      <c r="I2483">
        <v>179526.43</v>
      </c>
      <c r="J2483">
        <v>0</v>
      </c>
      <c r="K2483">
        <v>179526.43</v>
      </c>
    </row>
    <row r="2484" spans="1:11" x14ac:dyDescent="0.35">
      <c r="A2484">
        <v>3000000157</v>
      </c>
      <c r="B2484">
        <v>9400002323</v>
      </c>
      <c r="C2484" s="10">
        <v>46134</v>
      </c>
      <c r="D2484" t="s">
        <v>2032</v>
      </c>
      <c r="E2484" s="11">
        <v>18374732</v>
      </c>
      <c r="F2484" t="s">
        <v>1023</v>
      </c>
      <c r="G2484" t="s">
        <v>1024</v>
      </c>
      <c r="H2484" s="10">
        <v>46179</v>
      </c>
      <c r="I2484">
        <v>62916.06</v>
      </c>
      <c r="J2484">
        <v>0</v>
      </c>
      <c r="K2484">
        <v>62916.06</v>
      </c>
    </row>
    <row r="2485" spans="1:11" x14ac:dyDescent="0.35">
      <c r="A2485">
        <v>5100000127</v>
      </c>
      <c r="B2485">
        <v>9400002307</v>
      </c>
      <c r="C2485" s="10">
        <v>46134</v>
      </c>
      <c r="D2485" t="s">
        <v>2032</v>
      </c>
      <c r="E2485" s="12">
        <v>183630661836334</v>
      </c>
      <c r="F2485" t="s">
        <v>379</v>
      </c>
      <c r="G2485" t="s">
        <v>380</v>
      </c>
      <c r="H2485" s="10">
        <v>46179</v>
      </c>
      <c r="I2485">
        <v>63139.56</v>
      </c>
      <c r="J2485">
        <v>488.08</v>
      </c>
      <c r="K2485">
        <v>62651.479999999996</v>
      </c>
    </row>
    <row r="2486" spans="1:11" x14ac:dyDescent="0.35">
      <c r="A2486">
        <v>5100000126</v>
      </c>
      <c r="B2486">
        <v>9400002299</v>
      </c>
      <c r="C2486" s="10">
        <v>46134</v>
      </c>
      <c r="D2486" t="s">
        <v>2032</v>
      </c>
      <c r="E2486" s="11">
        <v>18284778</v>
      </c>
      <c r="F2486" t="s">
        <v>379</v>
      </c>
      <c r="G2486" t="s">
        <v>380</v>
      </c>
      <c r="H2486" s="10">
        <v>46179</v>
      </c>
      <c r="I2486">
        <v>54716.6</v>
      </c>
      <c r="J2486">
        <v>0</v>
      </c>
      <c r="K2486">
        <v>54716.6</v>
      </c>
    </row>
    <row r="2487" spans="1:11" x14ac:dyDescent="0.35">
      <c r="A2487">
        <v>2000000040</v>
      </c>
      <c r="B2487">
        <v>9400002293</v>
      </c>
      <c r="C2487" s="10">
        <v>46134</v>
      </c>
      <c r="D2487" t="s">
        <v>2032</v>
      </c>
      <c r="E2487" s="11">
        <v>18374694</v>
      </c>
      <c r="F2487" t="s">
        <v>1067</v>
      </c>
      <c r="G2487" t="s">
        <v>1068</v>
      </c>
      <c r="H2487" s="10">
        <v>46134</v>
      </c>
      <c r="I2487">
        <v>32.22</v>
      </c>
      <c r="J2487">
        <v>0</v>
      </c>
      <c r="K2487">
        <v>32.22</v>
      </c>
    </row>
    <row r="2488" spans="1:11" x14ac:dyDescent="0.35">
      <c r="A2488">
        <v>5100000125</v>
      </c>
      <c r="B2488">
        <v>9400002290</v>
      </c>
      <c r="C2488" s="10">
        <v>46134</v>
      </c>
      <c r="D2488" t="s">
        <v>2032</v>
      </c>
      <c r="E2488" s="11">
        <v>18294861</v>
      </c>
      <c r="F2488" t="s">
        <v>331</v>
      </c>
      <c r="G2488" t="s">
        <v>332</v>
      </c>
      <c r="H2488" s="10">
        <v>46179</v>
      </c>
      <c r="I2488">
        <v>40815.26</v>
      </c>
      <c r="J2488">
        <v>0</v>
      </c>
      <c r="K2488">
        <v>40815.26</v>
      </c>
    </row>
    <row r="2489" spans="1:11" x14ac:dyDescent="0.35">
      <c r="A2489">
        <v>9100000195</v>
      </c>
      <c r="B2489">
        <v>9400002276</v>
      </c>
      <c r="C2489" s="10">
        <v>46134</v>
      </c>
      <c r="D2489" t="s">
        <v>2032</v>
      </c>
      <c r="E2489" s="11">
        <v>18363764</v>
      </c>
      <c r="F2489" t="s">
        <v>235</v>
      </c>
      <c r="G2489" t="s">
        <v>236</v>
      </c>
      <c r="H2489" s="10">
        <v>46179</v>
      </c>
      <c r="I2489">
        <v>10943.32</v>
      </c>
      <c r="J2489">
        <v>172.06</v>
      </c>
      <c r="K2489">
        <v>10771.26</v>
      </c>
    </row>
    <row r="2490" spans="1:11" x14ac:dyDescent="0.35">
      <c r="A2490">
        <v>3000000150</v>
      </c>
      <c r="B2490">
        <v>9400002273</v>
      </c>
      <c r="C2490" s="10">
        <v>46134</v>
      </c>
      <c r="D2490" t="s">
        <v>2032</v>
      </c>
      <c r="E2490" s="11">
        <v>18374248</v>
      </c>
      <c r="F2490" t="s">
        <v>365</v>
      </c>
      <c r="G2490" t="s">
        <v>366</v>
      </c>
      <c r="H2490" s="10">
        <v>46179</v>
      </c>
      <c r="I2490">
        <v>157825</v>
      </c>
      <c r="J2490">
        <v>0</v>
      </c>
      <c r="K2490">
        <v>157825</v>
      </c>
    </row>
    <row r="2491" spans="1:11" x14ac:dyDescent="0.35">
      <c r="A2491">
        <v>9100000192</v>
      </c>
      <c r="B2491">
        <v>9400002270</v>
      </c>
      <c r="C2491" s="10">
        <v>46134</v>
      </c>
      <c r="D2491" t="s">
        <v>2032</v>
      </c>
      <c r="E2491" s="11">
        <v>18363809</v>
      </c>
      <c r="F2491" t="s">
        <v>196</v>
      </c>
      <c r="G2491" t="s">
        <v>197</v>
      </c>
      <c r="H2491" s="10">
        <v>46179</v>
      </c>
      <c r="I2491">
        <v>21886.639999999999</v>
      </c>
      <c r="J2491">
        <v>21031.57</v>
      </c>
      <c r="K2491">
        <v>855.06999999999971</v>
      </c>
    </row>
    <row r="2492" spans="1:11" x14ac:dyDescent="0.35">
      <c r="A2492">
        <v>9100000187</v>
      </c>
      <c r="B2492">
        <v>9400002258</v>
      </c>
      <c r="C2492" s="10">
        <v>46134</v>
      </c>
      <c r="D2492" t="s">
        <v>2032</v>
      </c>
      <c r="E2492" s="11" t="s">
        <v>2056</v>
      </c>
      <c r="F2492" t="s">
        <v>861</v>
      </c>
      <c r="G2492" t="s">
        <v>862</v>
      </c>
      <c r="H2492" s="10">
        <v>46179</v>
      </c>
      <c r="I2492">
        <v>14439.06</v>
      </c>
      <c r="J2492">
        <v>0</v>
      </c>
      <c r="K2492">
        <v>14439.06</v>
      </c>
    </row>
    <row r="2493" spans="1:11" x14ac:dyDescent="0.35">
      <c r="A2493">
        <v>2730000074</v>
      </c>
      <c r="B2493">
        <v>9400002254</v>
      </c>
      <c r="C2493" s="10">
        <v>46134</v>
      </c>
      <c r="D2493" t="s">
        <v>2032</v>
      </c>
      <c r="E2493" s="11">
        <v>18374574</v>
      </c>
      <c r="F2493" t="s">
        <v>523</v>
      </c>
      <c r="G2493" t="s">
        <v>524</v>
      </c>
      <c r="H2493" s="10">
        <v>46179</v>
      </c>
      <c r="I2493">
        <v>66782.92</v>
      </c>
      <c r="J2493">
        <v>6390.97</v>
      </c>
      <c r="K2493">
        <v>60391.95</v>
      </c>
    </row>
    <row r="2494" spans="1:11" x14ac:dyDescent="0.35">
      <c r="A2494">
        <v>9100000186</v>
      </c>
      <c r="B2494">
        <v>9400002251</v>
      </c>
      <c r="C2494" s="10">
        <v>46134</v>
      </c>
      <c r="D2494" t="s">
        <v>2032</v>
      </c>
      <c r="E2494" s="11">
        <v>18374235</v>
      </c>
      <c r="F2494" t="s">
        <v>733</v>
      </c>
      <c r="G2494" t="s">
        <v>734</v>
      </c>
      <c r="H2494" s="10">
        <v>46179</v>
      </c>
      <c r="I2494">
        <v>136310.06</v>
      </c>
      <c r="J2494">
        <v>0</v>
      </c>
      <c r="K2494">
        <v>136310.06</v>
      </c>
    </row>
    <row r="2495" spans="1:11" x14ac:dyDescent="0.35">
      <c r="A2495">
        <v>5100000124</v>
      </c>
      <c r="B2495">
        <v>9400002241</v>
      </c>
      <c r="C2495" s="10">
        <v>46134</v>
      </c>
      <c r="D2495" t="s">
        <v>2032</v>
      </c>
      <c r="E2495" s="11">
        <v>18363318</v>
      </c>
      <c r="F2495" t="s">
        <v>213</v>
      </c>
      <c r="G2495" t="s">
        <v>214</v>
      </c>
      <c r="H2495" s="10">
        <v>46179</v>
      </c>
      <c r="I2495">
        <v>14935.96</v>
      </c>
      <c r="J2495">
        <v>0</v>
      </c>
      <c r="K2495">
        <v>14935.96</v>
      </c>
    </row>
    <row r="2496" spans="1:11" x14ac:dyDescent="0.35">
      <c r="B2496">
        <v>1400002445</v>
      </c>
      <c r="C2496" s="10">
        <v>46134</v>
      </c>
      <c r="D2496" t="s">
        <v>2037</v>
      </c>
      <c r="E2496" s="11">
        <v>63552</v>
      </c>
      <c r="F2496" t="s">
        <v>1091</v>
      </c>
      <c r="G2496" t="s">
        <v>1092</v>
      </c>
      <c r="H2496" s="10">
        <v>46134</v>
      </c>
      <c r="I2496">
        <v>750838</v>
      </c>
      <c r="J2496">
        <v>445960.31</v>
      </c>
      <c r="K2496">
        <v>304877.69</v>
      </c>
    </row>
    <row r="2497" spans="1:11" x14ac:dyDescent="0.35">
      <c r="B2497">
        <v>1400002441</v>
      </c>
      <c r="C2497" s="10">
        <v>46134</v>
      </c>
      <c r="D2497" t="s">
        <v>2037</v>
      </c>
      <c r="E2497" s="11">
        <v>26</v>
      </c>
      <c r="F2497" t="s">
        <v>62</v>
      </c>
      <c r="G2497" t="s">
        <v>63</v>
      </c>
      <c r="H2497" s="10">
        <v>46134</v>
      </c>
      <c r="I2497">
        <v>596310</v>
      </c>
      <c r="J2497">
        <v>337058.06</v>
      </c>
      <c r="K2497">
        <v>259251.94</v>
      </c>
    </row>
    <row r="2498" spans="1:11" x14ac:dyDescent="0.35">
      <c r="B2498">
        <v>1400002439</v>
      </c>
      <c r="C2498" s="10">
        <v>46134</v>
      </c>
      <c r="D2498" t="s">
        <v>2037</v>
      </c>
      <c r="E2498" s="11">
        <v>3</v>
      </c>
      <c r="F2498" t="s">
        <v>1193</v>
      </c>
      <c r="G2498" t="s">
        <v>1194</v>
      </c>
      <c r="H2498" s="10">
        <v>46134</v>
      </c>
      <c r="I2498">
        <v>22400</v>
      </c>
      <c r="J2498">
        <v>0</v>
      </c>
      <c r="K2498">
        <v>22400</v>
      </c>
    </row>
    <row r="2499" spans="1:11" x14ac:dyDescent="0.35">
      <c r="A2499">
        <v>2300000095</v>
      </c>
      <c r="B2499">
        <v>9400002229</v>
      </c>
      <c r="C2499" s="10">
        <v>46133</v>
      </c>
      <c r="D2499" t="s">
        <v>2032</v>
      </c>
      <c r="E2499" s="11">
        <v>18363904</v>
      </c>
      <c r="F2499" t="s">
        <v>645</v>
      </c>
      <c r="G2499" t="s">
        <v>646</v>
      </c>
      <c r="H2499" s="10">
        <v>46178</v>
      </c>
      <c r="I2499">
        <v>26681.68</v>
      </c>
      <c r="J2499">
        <v>22560.98</v>
      </c>
      <c r="K2499">
        <v>4120.7000000000007</v>
      </c>
    </row>
    <row r="2500" spans="1:11" x14ac:dyDescent="0.35">
      <c r="A2500">
        <v>2720000057</v>
      </c>
      <c r="B2500">
        <v>9400002225</v>
      </c>
      <c r="C2500" s="10">
        <v>46133</v>
      </c>
      <c r="D2500" t="s">
        <v>2032</v>
      </c>
      <c r="E2500" s="11">
        <v>18363277</v>
      </c>
      <c r="F2500" t="s">
        <v>575</v>
      </c>
      <c r="G2500" t="s">
        <v>576</v>
      </c>
      <c r="H2500" s="10">
        <v>46178</v>
      </c>
      <c r="I2500">
        <v>11773.39</v>
      </c>
      <c r="J2500">
        <v>9604</v>
      </c>
      <c r="K2500">
        <v>2169.3899999999994</v>
      </c>
    </row>
    <row r="2501" spans="1:11" x14ac:dyDescent="0.35">
      <c r="A2501">
        <v>9300000129</v>
      </c>
      <c r="B2501">
        <v>9400002220</v>
      </c>
      <c r="C2501" s="10">
        <v>46133</v>
      </c>
      <c r="D2501" t="s">
        <v>2032</v>
      </c>
      <c r="E2501" s="11">
        <v>18273979</v>
      </c>
      <c r="F2501" t="s">
        <v>1029</v>
      </c>
      <c r="G2501" t="s">
        <v>1030</v>
      </c>
      <c r="H2501" s="10">
        <v>46178</v>
      </c>
      <c r="I2501">
        <v>7286.5</v>
      </c>
      <c r="J2501">
        <v>7284.68</v>
      </c>
      <c r="K2501">
        <v>1.819999999999709</v>
      </c>
    </row>
    <row r="2502" spans="1:11" x14ac:dyDescent="0.35">
      <c r="A2502">
        <v>9200000102</v>
      </c>
      <c r="B2502">
        <v>9400002219</v>
      </c>
      <c r="C2502" s="10">
        <v>46133</v>
      </c>
      <c r="D2502" t="s">
        <v>2032</v>
      </c>
      <c r="E2502" s="11">
        <v>18363664</v>
      </c>
      <c r="F2502" t="s">
        <v>425</v>
      </c>
      <c r="G2502" t="s">
        <v>426</v>
      </c>
      <c r="H2502" s="10">
        <v>46178</v>
      </c>
      <c r="I2502">
        <v>70274.66</v>
      </c>
      <c r="J2502">
        <v>0</v>
      </c>
      <c r="K2502">
        <v>70274.66</v>
      </c>
    </row>
    <row r="2503" spans="1:11" x14ac:dyDescent="0.35">
      <c r="A2503">
        <v>9300000128</v>
      </c>
      <c r="B2503">
        <v>9400002216</v>
      </c>
      <c r="C2503" s="10">
        <v>46133</v>
      </c>
      <c r="D2503" t="s">
        <v>2032</v>
      </c>
      <c r="E2503" s="11">
        <v>18273728</v>
      </c>
      <c r="F2503" t="s">
        <v>609</v>
      </c>
      <c r="G2503" t="s">
        <v>610</v>
      </c>
      <c r="H2503" s="10">
        <v>46178</v>
      </c>
      <c r="I2503">
        <v>243523.68</v>
      </c>
      <c r="J2503">
        <v>8820.81</v>
      </c>
      <c r="K2503">
        <v>234702.87</v>
      </c>
    </row>
    <row r="2504" spans="1:11" x14ac:dyDescent="0.35">
      <c r="A2504">
        <v>9200000099</v>
      </c>
      <c r="B2504">
        <v>9400002207</v>
      </c>
      <c r="C2504" s="10">
        <v>46133</v>
      </c>
      <c r="D2504" t="s">
        <v>2032</v>
      </c>
      <c r="E2504" s="11">
        <v>18362906</v>
      </c>
      <c r="F2504" t="s">
        <v>635</v>
      </c>
      <c r="G2504" t="s">
        <v>636</v>
      </c>
      <c r="H2504" s="10">
        <v>46178</v>
      </c>
      <c r="I2504">
        <v>87053.56</v>
      </c>
      <c r="J2504">
        <v>2572.8200000000002</v>
      </c>
      <c r="K2504">
        <v>84480.739999999991</v>
      </c>
    </row>
    <row r="2505" spans="1:11" x14ac:dyDescent="0.35">
      <c r="A2505">
        <v>5100000117</v>
      </c>
      <c r="B2505">
        <v>9400002204</v>
      </c>
      <c r="C2505" s="10">
        <v>46133</v>
      </c>
      <c r="D2505" t="s">
        <v>2032</v>
      </c>
      <c r="E2505" s="11">
        <v>18271454</v>
      </c>
      <c r="F2505" t="s">
        <v>213</v>
      </c>
      <c r="G2505" t="s">
        <v>214</v>
      </c>
      <c r="H2505" s="10">
        <v>46178</v>
      </c>
      <c r="I2505">
        <v>4978.66</v>
      </c>
      <c r="J2505">
        <v>0</v>
      </c>
      <c r="K2505">
        <v>4978.66</v>
      </c>
    </row>
    <row r="2506" spans="1:11" x14ac:dyDescent="0.35">
      <c r="A2506">
        <v>3000000147</v>
      </c>
      <c r="B2506">
        <v>9400002199</v>
      </c>
      <c r="C2506" s="10">
        <v>46133</v>
      </c>
      <c r="D2506" t="s">
        <v>2032</v>
      </c>
      <c r="E2506" s="11">
        <v>18374248</v>
      </c>
      <c r="F2506" t="s">
        <v>365</v>
      </c>
      <c r="G2506" t="s">
        <v>366</v>
      </c>
      <c r="H2506" s="10">
        <v>46178</v>
      </c>
      <c r="I2506">
        <v>57715.68</v>
      </c>
      <c r="J2506">
        <v>0</v>
      </c>
      <c r="K2506">
        <v>57715.68</v>
      </c>
    </row>
    <row r="2507" spans="1:11" x14ac:dyDescent="0.35">
      <c r="A2507">
        <v>9100000180</v>
      </c>
      <c r="B2507">
        <v>9400002192</v>
      </c>
      <c r="C2507" s="10">
        <v>46133</v>
      </c>
      <c r="D2507" t="s">
        <v>2032</v>
      </c>
      <c r="E2507" s="11">
        <v>123</v>
      </c>
      <c r="F2507" t="s">
        <v>489</v>
      </c>
      <c r="G2507" t="s">
        <v>490</v>
      </c>
      <c r="H2507" s="10">
        <v>46178</v>
      </c>
      <c r="I2507">
        <v>10943.32</v>
      </c>
      <c r="J2507">
        <v>0</v>
      </c>
      <c r="K2507">
        <v>10943.32</v>
      </c>
    </row>
    <row r="2508" spans="1:11" x14ac:dyDescent="0.35">
      <c r="A2508">
        <v>2710000151</v>
      </c>
      <c r="B2508">
        <v>9400002190</v>
      </c>
      <c r="C2508" s="10">
        <v>46133</v>
      </c>
      <c r="D2508" t="s">
        <v>2032</v>
      </c>
      <c r="E2508" s="11">
        <v>18374224</v>
      </c>
      <c r="F2508" t="s">
        <v>491</v>
      </c>
      <c r="G2508" t="s">
        <v>492</v>
      </c>
      <c r="H2508" s="10">
        <v>46178</v>
      </c>
      <c r="I2508">
        <v>9812.8799999999992</v>
      </c>
      <c r="J2508">
        <v>0</v>
      </c>
      <c r="K2508">
        <v>9812.8799999999992</v>
      </c>
    </row>
    <row r="2509" spans="1:11" x14ac:dyDescent="0.35">
      <c r="A2509">
        <v>9200000095</v>
      </c>
      <c r="B2509">
        <v>9400002189</v>
      </c>
      <c r="C2509" s="10">
        <v>46133</v>
      </c>
      <c r="D2509" t="s">
        <v>2032</v>
      </c>
      <c r="E2509" s="11">
        <v>18364122</v>
      </c>
      <c r="F2509" t="s">
        <v>439</v>
      </c>
      <c r="G2509" t="s">
        <v>440</v>
      </c>
      <c r="H2509" s="10">
        <v>46178</v>
      </c>
      <c r="I2509">
        <v>202936.4</v>
      </c>
      <c r="J2509">
        <v>49042.46</v>
      </c>
      <c r="K2509">
        <v>153893.94</v>
      </c>
    </row>
    <row r="2510" spans="1:11" x14ac:dyDescent="0.35">
      <c r="A2510">
        <v>2710000149</v>
      </c>
      <c r="B2510">
        <v>9400002187</v>
      </c>
      <c r="C2510" s="10">
        <v>46133</v>
      </c>
      <c r="D2510" t="s">
        <v>2032</v>
      </c>
      <c r="E2510" s="11">
        <v>18374185</v>
      </c>
      <c r="F2510" t="s">
        <v>28</v>
      </c>
      <c r="G2510" t="s">
        <v>29</v>
      </c>
      <c r="H2510" s="10">
        <v>46178</v>
      </c>
      <c r="I2510">
        <v>17116.599999999999</v>
      </c>
      <c r="J2510">
        <v>0</v>
      </c>
      <c r="K2510">
        <v>17116.599999999999</v>
      </c>
    </row>
    <row r="2511" spans="1:11" x14ac:dyDescent="0.35">
      <c r="A2511">
        <v>9200000094</v>
      </c>
      <c r="B2511">
        <v>9400002182</v>
      </c>
      <c r="C2511" s="10">
        <v>46133</v>
      </c>
      <c r="D2511" t="s">
        <v>2032</v>
      </c>
      <c r="E2511" s="11">
        <v>18374149</v>
      </c>
      <c r="F2511" t="s">
        <v>158</v>
      </c>
      <c r="G2511" t="s">
        <v>159</v>
      </c>
      <c r="H2511" s="10">
        <v>46178</v>
      </c>
      <c r="I2511">
        <v>80372.160000000003</v>
      </c>
      <c r="J2511">
        <v>16520.77</v>
      </c>
      <c r="K2511">
        <v>63851.39</v>
      </c>
    </row>
    <row r="2512" spans="1:11" x14ac:dyDescent="0.35">
      <c r="A2512">
        <v>5100000114</v>
      </c>
      <c r="B2512">
        <v>9400002180</v>
      </c>
      <c r="C2512" s="10">
        <v>46133</v>
      </c>
      <c r="D2512" t="s">
        <v>2032</v>
      </c>
      <c r="E2512" s="11">
        <v>18362043</v>
      </c>
      <c r="F2512" t="s">
        <v>923</v>
      </c>
      <c r="G2512" t="s">
        <v>924</v>
      </c>
      <c r="H2512" s="10">
        <v>46178</v>
      </c>
      <c r="I2512">
        <v>10450.32</v>
      </c>
      <c r="J2512">
        <v>0</v>
      </c>
      <c r="K2512">
        <v>10450.32</v>
      </c>
    </row>
    <row r="2513" spans="1:11" x14ac:dyDescent="0.35">
      <c r="A2513">
        <v>2730000072</v>
      </c>
      <c r="B2513">
        <v>9400002161</v>
      </c>
      <c r="C2513" s="10">
        <v>46133</v>
      </c>
      <c r="D2513" t="s">
        <v>2032</v>
      </c>
      <c r="E2513" s="11">
        <v>18307024</v>
      </c>
      <c r="F2513" t="s">
        <v>359</v>
      </c>
      <c r="G2513" t="s">
        <v>360</v>
      </c>
      <c r="H2513" s="10">
        <v>46178</v>
      </c>
      <c r="I2513">
        <v>30956.48</v>
      </c>
      <c r="J2513">
        <v>0</v>
      </c>
      <c r="K2513">
        <v>30956.48</v>
      </c>
    </row>
    <row r="2514" spans="1:11" x14ac:dyDescent="0.35">
      <c r="A2514">
        <v>9100000173</v>
      </c>
      <c r="B2514">
        <v>9400002152</v>
      </c>
      <c r="C2514" s="10">
        <v>46133</v>
      </c>
      <c r="D2514" t="s">
        <v>2032</v>
      </c>
      <c r="E2514" s="11">
        <v>18362883</v>
      </c>
      <c r="F2514" t="s">
        <v>869</v>
      </c>
      <c r="G2514" t="s">
        <v>870</v>
      </c>
      <c r="H2514" s="10">
        <v>46178</v>
      </c>
      <c r="I2514">
        <v>5252.88</v>
      </c>
      <c r="J2514">
        <v>1167.8800000000001</v>
      </c>
      <c r="K2514">
        <v>4085</v>
      </c>
    </row>
    <row r="2515" spans="1:11" x14ac:dyDescent="0.35">
      <c r="A2515">
        <v>9100000166</v>
      </c>
      <c r="B2515">
        <v>9400002135</v>
      </c>
      <c r="C2515" s="10">
        <v>46133</v>
      </c>
      <c r="D2515" t="s">
        <v>2032</v>
      </c>
      <c r="E2515" s="11">
        <v>18363097</v>
      </c>
      <c r="F2515" t="s">
        <v>253</v>
      </c>
      <c r="G2515" t="s">
        <v>254</v>
      </c>
      <c r="H2515" s="10">
        <v>46178</v>
      </c>
      <c r="I2515">
        <v>60702.02</v>
      </c>
      <c r="J2515">
        <v>0</v>
      </c>
      <c r="K2515">
        <v>60702.02</v>
      </c>
    </row>
    <row r="2516" spans="1:11" x14ac:dyDescent="0.35">
      <c r="A2516">
        <v>2710000145</v>
      </c>
      <c r="B2516">
        <v>9400002129</v>
      </c>
      <c r="C2516" s="10">
        <v>46133</v>
      </c>
      <c r="D2516" t="s">
        <v>2032</v>
      </c>
      <c r="E2516" s="11">
        <v>18361754</v>
      </c>
      <c r="F2516" t="s">
        <v>491</v>
      </c>
      <c r="G2516" t="s">
        <v>492</v>
      </c>
      <c r="H2516" s="10">
        <v>46178</v>
      </c>
      <c r="I2516">
        <v>4978.66</v>
      </c>
      <c r="J2516">
        <v>0</v>
      </c>
      <c r="K2516">
        <v>4978.66</v>
      </c>
    </row>
    <row r="2517" spans="1:11" x14ac:dyDescent="0.35">
      <c r="A2517">
        <v>9100000165</v>
      </c>
      <c r="B2517">
        <v>9400002127</v>
      </c>
      <c r="C2517" s="10">
        <v>46133</v>
      </c>
      <c r="D2517" t="s">
        <v>2032</v>
      </c>
      <c r="E2517" s="11">
        <v>18363759</v>
      </c>
      <c r="F2517" t="s">
        <v>375</v>
      </c>
      <c r="G2517" t="s">
        <v>376</v>
      </c>
      <c r="H2517" s="10">
        <v>46178</v>
      </c>
      <c r="I2517">
        <v>34331.9</v>
      </c>
      <c r="J2517">
        <v>33839.089999999997</v>
      </c>
      <c r="K2517">
        <v>492.81000000000495</v>
      </c>
    </row>
    <row r="2518" spans="1:11" x14ac:dyDescent="0.35">
      <c r="A2518">
        <v>3000000135</v>
      </c>
      <c r="B2518">
        <v>9400002126</v>
      </c>
      <c r="C2518" s="10">
        <v>46133</v>
      </c>
      <c r="D2518" t="s">
        <v>2032</v>
      </c>
      <c r="E2518" s="11">
        <v>18363212</v>
      </c>
      <c r="F2518" t="s">
        <v>343</v>
      </c>
      <c r="G2518" t="s">
        <v>344</v>
      </c>
      <c r="H2518" s="10">
        <v>46178</v>
      </c>
      <c r="I2518">
        <v>50790.5</v>
      </c>
      <c r="J2518">
        <v>1675.57</v>
      </c>
      <c r="K2518">
        <v>49114.93</v>
      </c>
    </row>
    <row r="2519" spans="1:11" x14ac:dyDescent="0.35">
      <c r="A2519">
        <v>2710000139</v>
      </c>
      <c r="B2519">
        <v>9400002120</v>
      </c>
      <c r="C2519" s="10">
        <v>46133</v>
      </c>
      <c r="D2519" t="s">
        <v>2032</v>
      </c>
      <c r="E2519" s="11">
        <v>18363974</v>
      </c>
      <c r="F2519" t="s">
        <v>66</v>
      </c>
      <c r="G2519" t="s">
        <v>67</v>
      </c>
      <c r="H2519" s="10">
        <v>46178</v>
      </c>
      <c r="I2519">
        <v>22920.11</v>
      </c>
      <c r="J2519">
        <v>0</v>
      </c>
      <c r="K2519">
        <v>22920.11</v>
      </c>
    </row>
    <row r="2520" spans="1:11" x14ac:dyDescent="0.35">
      <c r="A2520">
        <v>2710000126</v>
      </c>
      <c r="B2520">
        <v>9400002107</v>
      </c>
      <c r="C2520" s="10">
        <v>46133</v>
      </c>
      <c r="D2520" t="s">
        <v>2032</v>
      </c>
      <c r="E2520" s="11">
        <v>18363766</v>
      </c>
      <c r="F2520" t="s">
        <v>70</v>
      </c>
      <c r="G2520" t="s">
        <v>71</v>
      </c>
      <c r="H2520" s="10">
        <v>46178</v>
      </c>
      <c r="I2520">
        <v>4978.66</v>
      </c>
      <c r="J2520">
        <v>0</v>
      </c>
      <c r="K2520">
        <v>4978.66</v>
      </c>
    </row>
    <row r="2521" spans="1:11" x14ac:dyDescent="0.35">
      <c r="A2521">
        <v>2710000122</v>
      </c>
      <c r="B2521">
        <v>9400002103</v>
      </c>
      <c r="C2521" s="10">
        <v>46133</v>
      </c>
      <c r="D2521" t="s">
        <v>2032</v>
      </c>
      <c r="E2521" s="11">
        <v>18363698</v>
      </c>
      <c r="F2521" t="s">
        <v>1195</v>
      </c>
      <c r="G2521" t="s">
        <v>1196</v>
      </c>
      <c r="H2521" s="10">
        <v>46178</v>
      </c>
      <c r="I2521">
        <v>9439.18</v>
      </c>
      <c r="J2521">
        <v>1078.55</v>
      </c>
      <c r="K2521">
        <v>8360.630000000001</v>
      </c>
    </row>
    <row r="2522" spans="1:11" x14ac:dyDescent="0.35">
      <c r="A2522">
        <v>9100000163</v>
      </c>
      <c r="B2522">
        <v>9400002102</v>
      </c>
      <c r="C2522" s="10">
        <v>46133</v>
      </c>
      <c r="D2522" t="s">
        <v>2032</v>
      </c>
      <c r="E2522" s="11">
        <v>18363078</v>
      </c>
      <c r="F2522" t="s">
        <v>200</v>
      </c>
      <c r="G2522" t="s">
        <v>201</v>
      </c>
      <c r="H2522" s="10">
        <v>46178</v>
      </c>
      <c r="I2522">
        <v>34378.379999999997</v>
      </c>
      <c r="J2522">
        <v>14681.05</v>
      </c>
      <c r="K2522">
        <v>19697.329999999998</v>
      </c>
    </row>
    <row r="2523" spans="1:11" x14ac:dyDescent="0.35">
      <c r="A2523">
        <v>2000000038</v>
      </c>
      <c r="B2523">
        <v>9400002100</v>
      </c>
      <c r="C2523" s="10">
        <v>46133</v>
      </c>
      <c r="D2523" t="s">
        <v>2032</v>
      </c>
      <c r="E2523" s="11">
        <v>18364092</v>
      </c>
      <c r="F2523" t="s">
        <v>857</v>
      </c>
      <c r="G2523" t="s">
        <v>858</v>
      </c>
      <c r="H2523" s="10">
        <v>46178</v>
      </c>
      <c r="I2523">
        <v>46554.54</v>
      </c>
      <c r="J2523">
        <v>40388.879999999997</v>
      </c>
      <c r="K2523">
        <v>6165.6600000000035</v>
      </c>
    </row>
    <row r="2524" spans="1:11" x14ac:dyDescent="0.35">
      <c r="A2524">
        <v>9300000125</v>
      </c>
      <c r="B2524">
        <v>9400002096</v>
      </c>
      <c r="C2524" s="10">
        <v>46133</v>
      </c>
      <c r="D2524" t="s">
        <v>2032</v>
      </c>
      <c r="E2524" s="11">
        <v>18363215</v>
      </c>
      <c r="F2524" t="s">
        <v>20</v>
      </c>
      <c r="G2524" t="s">
        <v>21</v>
      </c>
      <c r="H2524" s="10">
        <v>46178</v>
      </c>
      <c r="I2524">
        <v>24634.28</v>
      </c>
      <c r="J2524">
        <v>24634.16</v>
      </c>
      <c r="K2524">
        <v>0.11999999999898137</v>
      </c>
    </row>
    <row r="2525" spans="1:11" x14ac:dyDescent="0.35">
      <c r="A2525">
        <v>9100000161</v>
      </c>
      <c r="B2525">
        <v>9400002095</v>
      </c>
      <c r="C2525" s="10">
        <v>46133</v>
      </c>
      <c r="D2525" t="s">
        <v>2032</v>
      </c>
      <c r="E2525" s="11">
        <v>18363302</v>
      </c>
      <c r="F2525" t="s">
        <v>86</v>
      </c>
      <c r="G2525" t="s">
        <v>87</v>
      </c>
      <c r="H2525" s="10">
        <v>46178</v>
      </c>
      <c r="I2525">
        <v>21886.639999999999</v>
      </c>
      <c r="J2525">
        <v>0</v>
      </c>
      <c r="K2525">
        <v>21886.639999999999</v>
      </c>
    </row>
    <row r="2526" spans="1:11" x14ac:dyDescent="0.35">
      <c r="A2526">
        <v>2000000037</v>
      </c>
      <c r="B2526">
        <v>9400002085</v>
      </c>
      <c r="C2526" s="10">
        <v>46133</v>
      </c>
      <c r="D2526" t="s">
        <v>2032</v>
      </c>
      <c r="E2526" s="11">
        <v>18363158</v>
      </c>
      <c r="F2526" t="s">
        <v>34</v>
      </c>
      <c r="G2526" t="s">
        <v>35</v>
      </c>
      <c r="H2526" s="10">
        <v>46178</v>
      </c>
      <c r="I2526">
        <v>22301.82</v>
      </c>
      <c r="J2526">
        <v>2078.62</v>
      </c>
      <c r="K2526">
        <v>20223.2</v>
      </c>
    </row>
    <row r="2527" spans="1:11" x14ac:dyDescent="0.35">
      <c r="A2527">
        <v>9100000158</v>
      </c>
      <c r="B2527">
        <v>9400002078</v>
      </c>
      <c r="C2527" s="10">
        <v>46133</v>
      </c>
      <c r="D2527" t="s">
        <v>2032</v>
      </c>
      <c r="E2527" s="11">
        <v>18363317</v>
      </c>
      <c r="F2527" t="s">
        <v>349</v>
      </c>
      <c r="G2527" t="s">
        <v>350</v>
      </c>
      <c r="H2527" s="10">
        <v>46178</v>
      </c>
      <c r="I2527">
        <v>10943.32</v>
      </c>
      <c r="J2527">
        <v>0</v>
      </c>
      <c r="K2527">
        <v>10943.32</v>
      </c>
    </row>
    <row r="2528" spans="1:11" x14ac:dyDescent="0.35">
      <c r="A2528">
        <v>9100000153</v>
      </c>
      <c r="B2528">
        <v>9400002048</v>
      </c>
      <c r="C2528" s="10">
        <v>46133</v>
      </c>
      <c r="D2528" t="s">
        <v>2032</v>
      </c>
      <c r="E2528" s="11">
        <v>18363327</v>
      </c>
      <c r="F2528" t="s">
        <v>174</v>
      </c>
      <c r="G2528" t="s">
        <v>175</v>
      </c>
      <c r="H2528" s="10">
        <v>46178</v>
      </c>
      <c r="I2528">
        <v>27298.12</v>
      </c>
      <c r="J2528">
        <v>0</v>
      </c>
      <c r="K2528">
        <v>27298.12</v>
      </c>
    </row>
    <row r="2529" spans="1:11" x14ac:dyDescent="0.35">
      <c r="A2529">
        <v>3000000122</v>
      </c>
      <c r="B2529">
        <v>9400002038</v>
      </c>
      <c r="C2529" s="10">
        <v>46133</v>
      </c>
      <c r="D2529" t="s">
        <v>2032</v>
      </c>
      <c r="E2529" s="11">
        <v>18363719</v>
      </c>
      <c r="F2529" t="s">
        <v>873</v>
      </c>
      <c r="G2529" t="s">
        <v>874</v>
      </c>
      <c r="H2529" s="10">
        <v>46178</v>
      </c>
      <c r="I2529">
        <v>10046.52</v>
      </c>
      <c r="J2529">
        <v>1456.01</v>
      </c>
      <c r="K2529">
        <v>8590.51</v>
      </c>
    </row>
    <row r="2530" spans="1:11" x14ac:dyDescent="0.35">
      <c r="A2530">
        <v>2710000119</v>
      </c>
      <c r="B2530">
        <v>9400002022</v>
      </c>
      <c r="C2530" s="10">
        <v>46133</v>
      </c>
      <c r="D2530" t="s">
        <v>2032</v>
      </c>
      <c r="E2530" s="11" t="s">
        <v>2049</v>
      </c>
      <c r="F2530" t="s">
        <v>1197</v>
      </c>
      <c r="G2530" t="s">
        <v>1198</v>
      </c>
      <c r="H2530" s="10">
        <v>46133</v>
      </c>
      <c r="I2530">
        <v>259365.89</v>
      </c>
      <c r="J2530">
        <v>259200</v>
      </c>
      <c r="K2530">
        <v>165.89000000001397</v>
      </c>
    </row>
    <row r="2531" spans="1:11" x14ac:dyDescent="0.35">
      <c r="A2531">
        <v>9100000143</v>
      </c>
      <c r="B2531">
        <v>9400002008</v>
      </c>
      <c r="C2531" s="10">
        <v>46133</v>
      </c>
      <c r="D2531" t="s">
        <v>2032</v>
      </c>
      <c r="E2531" s="11">
        <v>18363315</v>
      </c>
      <c r="F2531" t="s">
        <v>861</v>
      </c>
      <c r="G2531" t="s">
        <v>862</v>
      </c>
      <c r="H2531" s="10">
        <v>46178</v>
      </c>
      <c r="I2531">
        <v>10943.32</v>
      </c>
      <c r="J2531">
        <v>432.45</v>
      </c>
      <c r="K2531">
        <v>10510.869999999999</v>
      </c>
    </row>
    <row r="2532" spans="1:11" x14ac:dyDescent="0.35">
      <c r="B2532">
        <v>1400002289</v>
      </c>
      <c r="C2532" s="10">
        <v>46133</v>
      </c>
      <c r="D2532" t="s">
        <v>2037</v>
      </c>
      <c r="E2532" s="11">
        <v>17</v>
      </c>
      <c r="F2532" t="s">
        <v>219</v>
      </c>
      <c r="G2532" t="s">
        <v>220</v>
      </c>
      <c r="H2532" s="10">
        <v>46133</v>
      </c>
      <c r="I2532">
        <v>59</v>
      </c>
      <c r="J2532">
        <v>0</v>
      </c>
      <c r="K2532">
        <v>59</v>
      </c>
    </row>
    <row r="2533" spans="1:11" x14ac:dyDescent="0.35">
      <c r="A2533">
        <v>5100000108</v>
      </c>
      <c r="B2533">
        <v>9400001948</v>
      </c>
      <c r="C2533" s="10">
        <v>46132</v>
      </c>
      <c r="D2533" t="s">
        <v>2032</v>
      </c>
      <c r="E2533" s="11">
        <v>18363318</v>
      </c>
      <c r="F2533" t="s">
        <v>213</v>
      </c>
      <c r="G2533" t="s">
        <v>214</v>
      </c>
      <c r="H2533" s="10">
        <v>46177</v>
      </c>
      <c r="I2533">
        <v>114264.12</v>
      </c>
      <c r="J2533">
        <v>7939.78</v>
      </c>
      <c r="K2533">
        <v>106324.34</v>
      </c>
    </row>
    <row r="2534" spans="1:11" x14ac:dyDescent="0.35">
      <c r="A2534">
        <v>9300000113</v>
      </c>
      <c r="B2534">
        <v>9400001935</v>
      </c>
      <c r="C2534" s="10">
        <v>46132</v>
      </c>
      <c r="D2534" t="s">
        <v>2032</v>
      </c>
      <c r="E2534" s="11">
        <v>18362667</v>
      </c>
      <c r="F2534" t="s">
        <v>621</v>
      </c>
      <c r="G2534" t="s">
        <v>622</v>
      </c>
      <c r="H2534" s="10">
        <v>46177</v>
      </c>
      <c r="I2534">
        <v>105792.82</v>
      </c>
      <c r="J2534">
        <v>103432.08</v>
      </c>
      <c r="K2534">
        <v>2360.7400000000052</v>
      </c>
    </row>
    <row r="2535" spans="1:11" x14ac:dyDescent="0.35">
      <c r="A2535">
        <v>5100000105</v>
      </c>
      <c r="B2535">
        <v>9400001909</v>
      </c>
      <c r="C2535" s="10">
        <v>46132</v>
      </c>
      <c r="D2535" t="s">
        <v>2032</v>
      </c>
      <c r="E2535" s="11">
        <v>18362043</v>
      </c>
      <c r="F2535" t="s">
        <v>923</v>
      </c>
      <c r="G2535" t="s">
        <v>924</v>
      </c>
      <c r="H2535" s="10">
        <v>46177</v>
      </c>
      <c r="I2535">
        <v>115202.7</v>
      </c>
      <c r="J2535">
        <v>34775.22</v>
      </c>
      <c r="K2535">
        <v>80427.48</v>
      </c>
    </row>
    <row r="2536" spans="1:11" x14ac:dyDescent="0.35">
      <c r="A2536">
        <v>9100000133</v>
      </c>
      <c r="B2536">
        <v>9400001887</v>
      </c>
      <c r="C2536" s="10">
        <v>46132</v>
      </c>
      <c r="D2536" t="s">
        <v>2032</v>
      </c>
      <c r="E2536" s="11">
        <v>18362976</v>
      </c>
      <c r="F2536" t="s">
        <v>953</v>
      </c>
      <c r="G2536" t="s">
        <v>954</v>
      </c>
      <c r="H2536" s="10">
        <v>46177</v>
      </c>
      <c r="I2536">
        <v>19625.759999999998</v>
      </c>
      <c r="J2536">
        <v>544.42999999999995</v>
      </c>
      <c r="K2536">
        <v>19081.329999999998</v>
      </c>
    </row>
    <row r="2537" spans="1:11" x14ac:dyDescent="0.35">
      <c r="A2537">
        <v>9100000129</v>
      </c>
      <c r="B2537">
        <v>9400001843</v>
      </c>
      <c r="C2537" s="10">
        <v>46132</v>
      </c>
      <c r="D2537" t="s">
        <v>2032</v>
      </c>
      <c r="E2537" s="11">
        <v>18362243</v>
      </c>
      <c r="F2537" t="s">
        <v>419</v>
      </c>
      <c r="G2537" t="s">
        <v>420</v>
      </c>
      <c r="H2537" s="10">
        <v>46177</v>
      </c>
      <c r="I2537">
        <v>28270.560000000001</v>
      </c>
      <c r="J2537">
        <v>0</v>
      </c>
      <c r="K2537">
        <v>28270.560000000001</v>
      </c>
    </row>
    <row r="2538" spans="1:11" x14ac:dyDescent="0.35">
      <c r="A2538">
        <v>2710000108</v>
      </c>
      <c r="B2538">
        <v>9400001800</v>
      </c>
      <c r="C2538" s="10">
        <v>46132</v>
      </c>
      <c r="D2538" t="s">
        <v>2032</v>
      </c>
      <c r="E2538" s="11">
        <v>18362649</v>
      </c>
      <c r="F2538" t="s">
        <v>763</v>
      </c>
      <c r="G2538" t="s">
        <v>764</v>
      </c>
      <c r="H2538" s="10">
        <v>46177</v>
      </c>
      <c r="I2538">
        <v>104764.42</v>
      </c>
      <c r="J2538">
        <v>0</v>
      </c>
      <c r="K2538">
        <v>104764.42</v>
      </c>
    </row>
    <row r="2539" spans="1:11" x14ac:dyDescent="0.35">
      <c r="A2539">
        <v>2710000107</v>
      </c>
      <c r="B2539">
        <v>9400001795</v>
      </c>
      <c r="C2539" s="10">
        <v>46132</v>
      </c>
      <c r="D2539" t="s">
        <v>2032</v>
      </c>
      <c r="E2539" s="11">
        <v>18362314</v>
      </c>
      <c r="F2539" t="s">
        <v>657</v>
      </c>
      <c r="G2539" t="s">
        <v>658</v>
      </c>
      <c r="H2539" s="10">
        <v>46177</v>
      </c>
      <c r="I2539">
        <v>30840.48</v>
      </c>
      <c r="J2539">
        <v>11737.04</v>
      </c>
      <c r="K2539">
        <v>19103.439999999999</v>
      </c>
    </row>
    <row r="2540" spans="1:11" x14ac:dyDescent="0.35">
      <c r="A2540">
        <v>5100000086</v>
      </c>
      <c r="B2540">
        <v>9400001632</v>
      </c>
      <c r="C2540" s="10">
        <v>46132</v>
      </c>
      <c r="D2540" t="s">
        <v>2032</v>
      </c>
      <c r="E2540" s="11">
        <v>18361856</v>
      </c>
      <c r="F2540" t="s">
        <v>331</v>
      </c>
      <c r="G2540" t="s">
        <v>332</v>
      </c>
      <c r="H2540" s="10">
        <v>46177</v>
      </c>
      <c r="I2540">
        <v>13086.82</v>
      </c>
      <c r="J2540">
        <v>0</v>
      </c>
      <c r="K2540">
        <v>13086.82</v>
      </c>
    </row>
    <row r="2541" spans="1:11" x14ac:dyDescent="0.35">
      <c r="B2541">
        <v>1400001887</v>
      </c>
      <c r="C2541" s="10">
        <v>46132</v>
      </c>
      <c r="D2541" t="s">
        <v>2037</v>
      </c>
      <c r="E2541" s="11">
        <v>100790</v>
      </c>
      <c r="F2541" t="s">
        <v>1199</v>
      </c>
      <c r="G2541" t="s">
        <v>1200</v>
      </c>
      <c r="H2541" s="10">
        <v>46132</v>
      </c>
      <c r="I2541">
        <v>59</v>
      </c>
      <c r="J2541">
        <v>0</v>
      </c>
      <c r="K2541">
        <v>59</v>
      </c>
    </row>
    <row r="2542" spans="1:11" x14ac:dyDescent="0.35">
      <c r="A2542">
        <v>9300000095</v>
      </c>
      <c r="B2542">
        <v>9400001730</v>
      </c>
      <c r="C2542" s="10">
        <v>46130</v>
      </c>
      <c r="D2542" t="s">
        <v>2032</v>
      </c>
      <c r="E2542" s="11">
        <v>18361927</v>
      </c>
      <c r="F2542" t="s">
        <v>877</v>
      </c>
      <c r="G2542" t="s">
        <v>878</v>
      </c>
      <c r="H2542" s="10">
        <v>46175</v>
      </c>
      <c r="I2542">
        <v>22779.54</v>
      </c>
      <c r="J2542">
        <v>21599.34</v>
      </c>
      <c r="K2542">
        <v>1180.2000000000007</v>
      </c>
    </row>
    <row r="2543" spans="1:11" x14ac:dyDescent="0.35">
      <c r="A2543">
        <v>2710000105</v>
      </c>
      <c r="B2543">
        <v>9400001727</v>
      </c>
      <c r="C2543" s="10">
        <v>46130</v>
      </c>
      <c r="D2543" t="s">
        <v>2032</v>
      </c>
      <c r="E2543" s="11">
        <v>18362209</v>
      </c>
      <c r="F2543" t="s">
        <v>521</v>
      </c>
      <c r="G2543" t="s">
        <v>522</v>
      </c>
      <c r="H2543" s="10">
        <v>46175</v>
      </c>
      <c r="I2543">
        <v>53044.17</v>
      </c>
      <c r="J2543">
        <v>44043.3</v>
      </c>
      <c r="K2543">
        <v>9000.8699999999953</v>
      </c>
    </row>
    <row r="2544" spans="1:11" x14ac:dyDescent="0.35">
      <c r="A2544">
        <v>9200000082</v>
      </c>
      <c r="B2544">
        <v>9400001704</v>
      </c>
      <c r="C2544" s="10">
        <v>46130</v>
      </c>
      <c r="D2544" t="s">
        <v>2032</v>
      </c>
      <c r="E2544" s="11">
        <v>18350792</v>
      </c>
      <c r="F2544" t="s">
        <v>206</v>
      </c>
      <c r="G2544" t="s">
        <v>207</v>
      </c>
      <c r="H2544" s="10">
        <v>46175</v>
      </c>
      <c r="I2544">
        <v>200955.18</v>
      </c>
      <c r="J2544">
        <v>132073.49</v>
      </c>
      <c r="K2544">
        <v>68881.69</v>
      </c>
    </row>
    <row r="2545" spans="1:11" x14ac:dyDescent="0.35">
      <c r="A2545">
        <v>9100000125</v>
      </c>
      <c r="B2545">
        <v>9400001688</v>
      </c>
      <c r="C2545" s="10">
        <v>46130</v>
      </c>
      <c r="D2545" t="s">
        <v>2032</v>
      </c>
      <c r="E2545" s="11">
        <v>132</v>
      </c>
      <c r="F2545" t="s">
        <v>733</v>
      </c>
      <c r="G2545" t="s">
        <v>734</v>
      </c>
      <c r="H2545" s="10">
        <v>46175</v>
      </c>
      <c r="I2545">
        <v>241401.1</v>
      </c>
      <c r="J2545">
        <v>0</v>
      </c>
      <c r="K2545">
        <v>241401.1</v>
      </c>
    </row>
    <row r="2546" spans="1:11" x14ac:dyDescent="0.35">
      <c r="A2546">
        <v>2710000101</v>
      </c>
      <c r="B2546">
        <v>9400001662</v>
      </c>
      <c r="C2546" s="10">
        <v>46130</v>
      </c>
      <c r="D2546" t="s">
        <v>2032</v>
      </c>
      <c r="E2546" s="11">
        <v>18361957</v>
      </c>
      <c r="F2546" t="s">
        <v>66</v>
      </c>
      <c r="G2546" t="s">
        <v>67</v>
      </c>
      <c r="H2546" s="10">
        <v>46175</v>
      </c>
      <c r="I2546">
        <v>34405.85</v>
      </c>
      <c r="J2546">
        <v>0</v>
      </c>
      <c r="K2546">
        <v>34405.85</v>
      </c>
    </row>
    <row r="2547" spans="1:11" x14ac:dyDescent="0.35">
      <c r="A2547">
        <v>2710000097</v>
      </c>
      <c r="B2547">
        <v>9400001648</v>
      </c>
      <c r="C2547" s="10">
        <v>46130</v>
      </c>
      <c r="D2547" t="s">
        <v>2032</v>
      </c>
      <c r="E2547" s="11">
        <v>18361745</v>
      </c>
      <c r="F2547" t="s">
        <v>72</v>
      </c>
      <c r="G2547" t="s">
        <v>73</v>
      </c>
      <c r="H2547" s="10">
        <v>46175</v>
      </c>
      <c r="I2547">
        <v>11814.26</v>
      </c>
      <c r="J2547">
        <v>0</v>
      </c>
      <c r="K2547">
        <v>11814.26</v>
      </c>
    </row>
    <row r="2548" spans="1:11" x14ac:dyDescent="0.35">
      <c r="A2548">
        <v>2710000095</v>
      </c>
      <c r="B2548">
        <v>9400001646</v>
      </c>
      <c r="C2548" s="10">
        <v>46130</v>
      </c>
      <c r="D2548" t="s">
        <v>2032</v>
      </c>
      <c r="E2548" s="11">
        <v>18361724</v>
      </c>
      <c r="F2548" t="s">
        <v>493</v>
      </c>
      <c r="G2548" t="s">
        <v>494</v>
      </c>
      <c r="H2548" s="10">
        <v>46175</v>
      </c>
      <c r="I2548">
        <v>12896.92</v>
      </c>
      <c r="J2548">
        <v>345.5</v>
      </c>
      <c r="K2548">
        <v>12551.42</v>
      </c>
    </row>
    <row r="2549" spans="1:11" x14ac:dyDescent="0.35">
      <c r="A2549">
        <v>2710000093</v>
      </c>
      <c r="B2549">
        <v>9400001643</v>
      </c>
      <c r="C2549" s="10">
        <v>46130</v>
      </c>
      <c r="D2549" t="s">
        <v>2032</v>
      </c>
      <c r="E2549" s="11">
        <v>18361696</v>
      </c>
      <c r="F2549" t="s">
        <v>70</v>
      </c>
      <c r="G2549" t="s">
        <v>71</v>
      </c>
      <c r="H2549" s="10">
        <v>46175</v>
      </c>
      <c r="I2549">
        <v>12298.53</v>
      </c>
      <c r="J2549">
        <v>0</v>
      </c>
      <c r="K2549">
        <v>12298.53</v>
      </c>
    </row>
    <row r="2550" spans="1:11" x14ac:dyDescent="0.35">
      <c r="A2550">
        <v>9200000079</v>
      </c>
      <c r="B2550">
        <v>9400001638</v>
      </c>
      <c r="C2550" s="10">
        <v>46130</v>
      </c>
      <c r="D2550" t="s">
        <v>2032</v>
      </c>
      <c r="E2550" s="11">
        <v>18350350</v>
      </c>
      <c r="F2550" t="s">
        <v>231</v>
      </c>
      <c r="G2550" t="s">
        <v>232</v>
      </c>
      <c r="H2550" s="10">
        <v>46175</v>
      </c>
      <c r="I2550">
        <v>25568.959999999999</v>
      </c>
      <c r="J2550">
        <v>22535.94</v>
      </c>
      <c r="K2550">
        <v>3033.0200000000004</v>
      </c>
    </row>
    <row r="2551" spans="1:11" x14ac:dyDescent="0.35">
      <c r="A2551">
        <v>9300000087</v>
      </c>
      <c r="B2551">
        <v>9400001635</v>
      </c>
      <c r="C2551" s="10">
        <v>46130</v>
      </c>
      <c r="D2551" t="s">
        <v>2032</v>
      </c>
      <c r="E2551" s="11">
        <v>18350741</v>
      </c>
      <c r="F2551" t="s">
        <v>1009</v>
      </c>
      <c r="G2551" t="s">
        <v>1010</v>
      </c>
      <c r="H2551" s="10">
        <v>46175</v>
      </c>
      <c r="I2551">
        <v>26372.3</v>
      </c>
      <c r="J2551">
        <v>18727.38</v>
      </c>
      <c r="K2551">
        <v>7644.9199999999983</v>
      </c>
    </row>
    <row r="2552" spans="1:11" x14ac:dyDescent="0.35">
      <c r="A2552">
        <v>9200000074</v>
      </c>
      <c r="B2552">
        <v>9400001614</v>
      </c>
      <c r="C2552" s="10">
        <v>46130</v>
      </c>
      <c r="D2552" t="s">
        <v>2032</v>
      </c>
      <c r="E2552" s="11">
        <v>18361360</v>
      </c>
      <c r="F2552" t="s">
        <v>517</v>
      </c>
      <c r="G2552" t="s">
        <v>518</v>
      </c>
      <c r="H2552" s="10">
        <v>46175</v>
      </c>
      <c r="I2552">
        <v>106246.74</v>
      </c>
      <c r="J2552">
        <v>8496.31</v>
      </c>
      <c r="K2552">
        <v>97750.430000000008</v>
      </c>
    </row>
    <row r="2553" spans="1:11" x14ac:dyDescent="0.35">
      <c r="A2553">
        <v>9300000074</v>
      </c>
      <c r="B2553">
        <v>9400001577</v>
      </c>
      <c r="C2553" s="10">
        <v>46129</v>
      </c>
      <c r="D2553" t="s">
        <v>2032</v>
      </c>
      <c r="E2553" s="11">
        <v>18350421</v>
      </c>
      <c r="F2553" t="s">
        <v>1203</v>
      </c>
      <c r="G2553" t="s">
        <v>1204</v>
      </c>
      <c r="H2553" s="10">
        <v>46129</v>
      </c>
      <c r="I2553">
        <v>53820.72</v>
      </c>
      <c r="J2553">
        <v>50800.85</v>
      </c>
      <c r="K2553">
        <v>3019.8700000000026</v>
      </c>
    </row>
    <row r="2554" spans="1:11" x14ac:dyDescent="0.35">
      <c r="A2554">
        <v>2710000089</v>
      </c>
      <c r="B2554">
        <v>9400001553</v>
      </c>
      <c r="C2554" s="10">
        <v>46129</v>
      </c>
      <c r="D2554" t="s">
        <v>2032</v>
      </c>
      <c r="E2554" s="11">
        <v>18360979</v>
      </c>
      <c r="F2554" t="s">
        <v>687</v>
      </c>
      <c r="G2554" t="s">
        <v>688</v>
      </c>
      <c r="H2554" s="10">
        <v>46174</v>
      </c>
      <c r="I2554">
        <v>5249.68</v>
      </c>
      <c r="J2554">
        <v>0</v>
      </c>
      <c r="K2554">
        <v>5249.68</v>
      </c>
    </row>
    <row r="2555" spans="1:11" x14ac:dyDescent="0.35">
      <c r="A2555">
        <v>2720000043</v>
      </c>
      <c r="B2555">
        <v>9400001513</v>
      </c>
      <c r="C2555" s="10">
        <v>46129</v>
      </c>
      <c r="D2555" t="s">
        <v>2032</v>
      </c>
      <c r="E2555" s="11">
        <v>18339346</v>
      </c>
      <c r="F2555" t="s">
        <v>227</v>
      </c>
      <c r="G2555" t="s">
        <v>228</v>
      </c>
      <c r="H2555" s="10">
        <v>46174</v>
      </c>
      <c r="I2555">
        <v>142106.22</v>
      </c>
      <c r="J2555">
        <v>0</v>
      </c>
      <c r="K2555">
        <v>142106.22</v>
      </c>
    </row>
    <row r="2556" spans="1:11" x14ac:dyDescent="0.35">
      <c r="A2556">
        <v>9200000070</v>
      </c>
      <c r="B2556">
        <v>9400001512</v>
      </c>
      <c r="C2556" s="10">
        <v>46129</v>
      </c>
      <c r="D2556" t="s">
        <v>2032</v>
      </c>
      <c r="E2556" s="11">
        <v>18350410</v>
      </c>
      <c r="F2556" t="s">
        <v>290</v>
      </c>
      <c r="G2556" t="s">
        <v>291</v>
      </c>
      <c r="H2556" s="10">
        <v>46174</v>
      </c>
      <c r="I2556">
        <v>18222.88</v>
      </c>
      <c r="J2556">
        <v>0</v>
      </c>
      <c r="K2556">
        <v>18222.88</v>
      </c>
    </row>
    <row r="2557" spans="1:11" x14ac:dyDescent="0.35">
      <c r="A2557">
        <v>5200000031</v>
      </c>
      <c r="B2557">
        <v>9400001510</v>
      </c>
      <c r="C2557" s="10">
        <v>46129</v>
      </c>
      <c r="D2557" t="s">
        <v>2032</v>
      </c>
      <c r="E2557" s="11">
        <v>18194404</v>
      </c>
      <c r="F2557" t="s">
        <v>557</v>
      </c>
      <c r="G2557" t="s">
        <v>558</v>
      </c>
      <c r="H2557" s="10">
        <v>46129</v>
      </c>
      <c r="I2557">
        <v>10046.52</v>
      </c>
      <c r="J2557">
        <v>0</v>
      </c>
      <c r="K2557">
        <v>10046.52</v>
      </c>
    </row>
    <row r="2558" spans="1:11" x14ac:dyDescent="0.35">
      <c r="A2558">
        <v>9200000069</v>
      </c>
      <c r="B2558">
        <v>9400001505</v>
      </c>
      <c r="C2558" s="10">
        <v>46129</v>
      </c>
      <c r="D2558" t="s">
        <v>2032</v>
      </c>
      <c r="E2558" s="11">
        <v>18350663</v>
      </c>
      <c r="F2558" t="s">
        <v>425</v>
      </c>
      <c r="G2558" t="s">
        <v>426</v>
      </c>
      <c r="H2558" s="10">
        <v>46174</v>
      </c>
      <c r="I2558">
        <v>106238.84</v>
      </c>
      <c r="J2558">
        <v>0.06</v>
      </c>
      <c r="K2558">
        <v>106238.78</v>
      </c>
    </row>
    <row r="2559" spans="1:11" x14ac:dyDescent="0.35">
      <c r="A2559">
        <v>5200000030</v>
      </c>
      <c r="B2559">
        <v>9400001504</v>
      </c>
      <c r="C2559" s="10">
        <v>46129</v>
      </c>
      <c r="D2559" t="s">
        <v>2032</v>
      </c>
      <c r="E2559" s="11">
        <v>18194353</v>
      </c>
      <c r="F2559" t="s">
        <v>557</v>
      </c>
      <c r="G2559" t="s">
        <v>558</v>
      </c>
      <c r="H2559" s="10">
        <v>46129</v>
      </c>
      <c r="I2559">
        <v>7265.03</v>
      </c>
      <c r="J2559">
        <v>0</v>
      </c>
      <c r="K2559">
        <v>7265.03</v>
      </c>
    </row>
    <row r="2560" spans="1:11" x14ac:dyDescent="0.35">
      <c r="A2560">
        <v>2710000081</v>
      </c>
      <c r="B2560">
        <v>9400001470</v>
      </c>
      <c r="C2560" s="10">
        <v>46129</v>
      </c>
      <c r="D2560" t="s">
        <v>2032</v>
      </c>
      <c r="E2560" s="11">
        <v>18350678</v>
      </c>
      <c r="F2560" t="s">
        <v>134</v>
      </c>
      <c r="G2560" t="s">
        <v>135</v>
      </c>
      <c r="H2560" s="10">
        <v>46174</v>
      </c>
      <c r="I2560">
        <v>7736.08</v>
      </c>
      <c r="J2560">
        <v>7715.1</v>
      </c>
      <c r="K2560">
        <v>20.979999999999563</v>
      </c>
    </row>
    <row r="2561" spans="1:11" x14ac:dyDescent="0.35">
      <c r="A2561">
        <v>5100000075</v>
      </c>
      <c r="B2561">
        <v>9400001450</v>
      </c>
      <c r="C2561" s="10">
        <v>46129</v>
      </c>
      <c r="D2561" t="s">
        <v>2032</v>
      </c>
      <c r="E2561" s="11">
        <v>18350567</v>
      </c>
      <c r="F2561" t="s">
        <v>605</v>
      </c>
      <c r="G2561" t="s">
        <v>606</v>
      </c>
      <c r="H2561" s="10">
        <v>46174</v>
      </c>
      <c r="I2561">
        <v>22940.34</v>
      </c>
      <c r="J2561">
        <v>0</v>
      </c>
      <c r="K2561">
        <v>22940.34</v>
      </c>
    </row>
    <row r="2562" spans="1:11" x14ac:dyDescent="0.35">
      <c r="B2562">
        <v>1400001714</v>
      </c>
      <c r="C2562" s="10">
        <v>46129</v>
      </c>
      <c r="D2562" t="s">
        <v>2037</v>
      </c>
      <c r="E2562" s="11">
        <v>62</v>
      </c>
      <c r="F2562" t="s">
        <v>1159</v>
      </c>
      <c r="G2562" t="s">
        <v>1160</v>
      </c>
      <c r="H2562" s="10">
        <v>46129</v>
      </c>
      <c r="I2562">
        <v>155000</v>
      </c>
      <c r="J2562">
        <v>0</v>
      </c>
      <c r="K2562">
        <v>155000</v>
      </c>
    </row>
    <row r="2563" spans="1:11" x14ac:dyDescent="0.35">
      <c r="A2563">
        <v>9300000051</v>
      </c>
      <c r="B2563">
        <v>9400001346</v>
      </c>
      <c r="C2563" s="10">
        <v>46128</v>
      </c>
      <c r="D2563" t="s">
        <v>2032</v>
      </c>
      <c r="E2563" s="11">
        <v>18339513</v>
      </c>
      <c r="F2563" t="s">
        <v>703</v>
      </c>
      <c r="G2563" t="s">
        <v>704</v>
      </c>
      <c r="H2563" s="10">
        <v>46173</v>
      </c>
      <c r="I2563">
        <v>50026.1</v>
      </c>
      <c r="J2563">
        <v>48185.33</v>
      </c>
      <c r="K2563">
        <v>1840.7699999999968</v>
      </c>
    </row>
    <row r="2564" spans="1:11" x14ac:dyDescent="0.35">
      <c r="A2564">
        <v>2710000077</v>
      </c>
      <c r="B2564">
        <v>9400001318</v>
      </c>
      <c r="C2564" s="10">
        <v>46128</v>
      </c>
      <c r="D2564" t="s">
        <v>2032</v>
      </c>
      <c r="E2564" s="11">
        <v>18339499</v>
      </c>
      <c r="F2564" t="s">
        <v>1207</v>
      </c>
      <c r="G2564" t="s">
        <v>1208</v>
      </c>
      <c r="H2564" s="10">
        <v>46173</v>
      </c>
      <c r="I2564">
        <v>60031.32</v>
      </c>
      <c r="J2564">
        <v>762.46</v>
      </c>
      <c r="K2564">
        <v>59268.86</v>
      </c>
    </row>
    <row r="2565" spans="1:11" x14ac:dyDescent="0.35">
      <c r="A2565">
        <v>2710000073</v>
      </c>
      <c r="B2565">
        <v>9400001284</v>
      </c>
      <c r="C2565" s="10">
        <v>46128</v>
      </c>
      <c r="D2565" t="s">
        <v>2032</v>
      </c>
      <c r="E2565" s="11">
        <v>18339104</v>
      </c>
      <c r="F2565" t="s">
        <v>64</v>
      </c>
      <c r="G2565" t="s">
        <v>65</v>
      </c>
      <c r="H2565" s="10">
        <v>46173</v>
      </c>
      <c r="I2565">
        <v>33083.660000000003</v>
      </c>
      <c r="J2565">
        <v>0</v>
      </c>
      <c r="K2565">
        <v>33083.660000000003</v>
      </c>
    </row>
    <row r="2566" spans="1:11" x14ac:dyDescent="0.35">
      <c r="B2566">
        <v>1400001482</v>
      </c>
      <c r="C2566" s="10">
        <v>46128</v>
      </c>
      <c r="D2566" t="s">
        <v>2037</v>
      </c>
      <c r="E2566" s="11">
        <v>355513</v>
      </c>
      <c r="F2566" t="s">
        <v>1151</v>
      </c>
      <c r="G2566" t="s">
        <v>1152</v>
      </c>
      <c r="H2566" s="10">
        <v>46128</v>
      </c>
      <c r="I2566">
        <v>74500</v>
      </c>
      <c r="J2566">
        <v>0</v>
      </c>
      <c r="K2566">
        <v>74500</v>
      </c>
    </row>
    <row r="2567" spans="1:11" x14ac:dyDescent="0.35">
      <c r="B2567">
        <v>1400001481</v>
      </c>
      <c r="C2567" s="10">
        <v>46128</v>
      </c>
      <c r="D2567" t="s">
        <v>2037</v>
      </c>
      <c r="E2567" s="11">
        <v>31</v>
      </c>
      <c r="F2567" t="s">
        <v>1157</v>
      </c>
      <c r="G2567" t="s">
        <v>1158</v>
      </c>
      <c r="H2567" s="10">
        <v>46128</v>
      </c>
      <c r="I2567">
        <v>182200</v>
      </c>
      <c r="J2567">
        <v>2755.67</v>
      </c>
      <c r="K2567">
        <v>179444.33</v>
      </c>
    </row>
    <row r="2568" spans="1:11" x14ac:dyDescent="0.35">
      <c r="B2568">
        <v>1400001473</v>
      </c>
      <c r="C2568" s="10">
        <v>46128</v>
      </c>
      <c r="D2568" t="s">
        <v>2037</v>
      </c>
      <c r="E2568" s="11">
        <v>866022</v>
      </c>
      <c r="F2568" t="s">
        <v>1161</v>
      </c>
      <c r="G2568" t="s">
        <v>1162</v>
      </c>
      <c r="H2568" s="10">
        <v>46128</v>
      </c>
      <c r="I2568">
        <v>365000</v>
      </c>
      <c r="J2568">
        <v>0</v>
      </c>
      <c r="K2568">
        <v>365000</v>
      </c>
    </row>
    <row r="2569" spans="1:11" x14ac:dyDescent="0.35">
      <c r="B2569">
        <v>1400001472</v>
      </c>
      <c r="C2569" s="10">
        <v>46128</v>
      </c>
      <c r="D2569" t="s">
        <v>2037</v>
      </c>
      <c r="E2569" s="11" t="s">
        <v>1167</v>
      </c>
      <c r="F2569" t="s">
        <v>1167</v>
      </c>
      <c r="G2569" t="s">
        <v>1168</v>
      </c>
      <c r="H2569" s="10">
        <v>46128</v>
      </c>
      <c r="I2569">
        <v>1322000</v>
      </c>
      <c r="J2569">
        <v>935329.05</v>
      </c>
      <c r="K2569">
        <v>386670.94999999995</v>
      </c>
    </row>
    <row r="2570" spans="1:11" x14ac:dyDescent="0.35">
      <c r="B2570">
        <v>1400001471</v>
      </c>
      <c r="C2570" s="10">
        <v>46128</v>
      </c>
      <c r="D2570" t="s">
        <v>2037</v>
      </c>
      <c r="E2570" s="11">
        <v>619162</v>
      </c>
      <c r="F2570" t="s">
        <v>1067</v>
      </c>
      <c r="G2570" t="s">
        <v>1068</v>
      </c>
      <c r="H2570" s="10">
        <v>46128</v>
      </c>
      <c r="I2570">
        <v>1055000</v>
      </c>
      <c r="J2570">
        <v>636413.4</v>
      </c>
      <c r="K2570">
        <v>418586.6</v>
      </c>
    </row>
    <row r="2571" spans="1:11" x14ac:dyDescent="0.35">
      <c r="A2571">
        <v>3000000064</v>
      </c>
      <c r="B2571">
        <v>9400001536</v>
      </c>
      <c r="C2571" s="10">
        <v>46127</v>
      </c>
      <c r="D2571" t="s">
        <v>2032</v>
      </c>
      <c r="E2571" s="11" t="s">
        <v>2057</v>
      </c>
      <c r="F2571" t="s">
        <v>1211</v>
      </c>
      <c r="G2571" t="s">
        <v>1212</v>
      </c>
      <c r="H2571" s="10">
        <v>46127</v>
      </c>
      <c r="I2571">
        <v>2742.93</v>
      </c>
      <c r="J2571">
        <v>1592.88</v>
      </c>
      <c r="K2571">
        <v>1150.0499999999997</v>
      </c>
    </row>
    <row r="2572" spans="1:11" x14ac:dyDescent="0.35">
      <c r="A2572">
        <v>9300000046</v>
      </c>
      <c r="B2572">
        <v>9400001178</v>
      </c>
      <c r="C2572" s="10">
        <v>46127</v>
      </c>
      <c r="D2572" t="s">
        <v>2032</v>
      </c>
      <c r="E2572" s="11">
        <v>18295113</v>
      </c>
      <c r="F2572" t="s">
        <v>1213</v>
      </c>
      <c r="G2572" t="s">
        <v>1214</v>
      </c>
      <c r="H2572" s="10">
        <v>46172</v>
      </c>
      <c r="I2572">
        <v>29651.040000000001</v>
      </c>
      <c r="J2572">
        <v>28564.15</v>
      </c>
      <c r="K2572">
        <v>1086.8899999999994</v>
      </c>
    </row>
    <row r="2573" spans="1:11" x14ac:dyDescent="0.35">
      <c r="A2573">
        <v>2730000046</v>
      </c>
      <c r="B2573">
        <v>9400001147</v>
      </c>
      <c r="C2573" s="10">
        <v>46127</v>
      </c>
      <c r="D2573" t="s">
        <v>2032</v>
      </c>
      <c r="E2573" s="11">
        <v>18317706</v>
      </c>
      <c r="F2573" t="s">
        <v>1215</v>
      </c>
      <c r="G2573" t="s">
        <v>1216</v>
      </c>
      <c r="H2573" s="10">
        <v>46172</v>
      </c>
      <c r="I2573">
        <v>23052.48</v>
      </c>
      <c r="J2573">
        <v>0</v>
      </c>
      <c r="K2573">
        <v>23052.48</v>
      </c>
    </row>
    <row r="2574" spans="1:11" x14ac:dyDescent="0.35">
      <c r="B2574">
        <v>1400001288</v>
      </c>
      <c r="C2574" s="10">
        <v>46127</v>
      </c>
      <c r="D2574" t="s">
        <v>2037</v>
      </c>
      <c r="E2574" s="11">
        <v>142514</v>
      </c>
      <c r="F2574" t="s">
        <v>1153</v>
      </c>
      <c r="G2574" t="s">
        <v>1154</v>
      </c>
      <c r="H2574" s="10">
        <v>46127</v>
      </c>
      <c r="I2574">
        <v>330834</v>
      </c>
      <c r="J2574">
        <v>319802.94</v>
      </c>
      <c r="K2574">
        <v>11031.059999999998</v>
      </c>
    </row>
    <row r="2575" spans="1:11" x14ac:dyDescent="0.35">
      <c r="B2575">
        <v>1400001283</v>
      </c>
      <c r="C2575" s="10">
        <v>46127</v>
      </c>
      <c r="D2575" t="s">
        <v>2037</v>
      </c>
      <c r="E2575" s="11">
        <v>17</v>
      </c>
      <c r="F2575" t="s">
        <v>219</v>
      </c>
      <c r="G2575" t="s">
        <v>220</v>
      </c>
      <c r="H2575" s="10">
        <v>46127</v>
      </c>
      <c r="I2575">
        <v>221103</v>
      </c>
      <c r="J2575">
        <v>219513.26</v>
      </c>
      <c r="K2575">
        <v>1589.7399999999907</v>
      </c>
    </row>
    <row r="2576" spans="1:11" x14ac:dyDescent="0.35">
      <c r="B2576">
        <v>1400001278</v>
      </c>
      <c r="C2576" s="10">
        <v>46127</v>
      </c>
      <c r="D2576" t="s">
        <v>2037</v>
      </c>
      <c r="E2576" s="11">
        <v>702122</v>
      </c>
      <c r="F2576" t="s">
        <v>925</v>
      </c>
      <c r="G2576" t="s">
        <v>926</v>
      </c>
      <c r="H2576" s="10">
        <v>46127</v>
      </c>
      <c r="I2576">
        <v>194000</v>
      </c>
      <c r="J2576">
        <v>0</v>
      </c>
      <c r="K2576">
        <v>194000</v>
      </c>
    </row>
    <row r="2577" spans="1:11" x14ac:dyDescent="0.35">
      <c r="B2577">
        <v>1400001221</v>
      </c>
      <c r="C2577" s="10">
        <v>46127</v>
      </c>
      <c r="D2577" t="s">
        <v>2037</v>
      </c>
      <c r="E2577" s="11">
        <v>100790</v>
      </c>
      <c r="F2577" t="s">
        <v>1199</v>
      </c>
      <c r="G2577" t="s">
        <v>1200</v>
      </c>
      <c r="H2577" s="10">
        <v>46127</v>
      </c>
      <c r="I2577">
        <v>119524</v>
      </c>
      <c r="J2577">
        <v>18817.36</v>
      </c>
      <c r="K2577">
        <v>100706.64</v>
      </c>
    </row>
    <row r="2578" spans="1:11" x14ac:dyDescent="0.35">
      <c r="B2578">
        <v>1400001021</v>
      </c>
      <c r="C2578" s="10">
        <v>46127</v>
      </c>
      <c r="D2578" t="s">
        <v>2037</v>
      </c>
      <c r="E2578" s="11">
        <v>528256</v>
      </c>
      <c r="F2578" t="s">
        <v>1217</v>
      </c>
      <c r="G2578" t="s">
        <v>1218</v>
      </c>
      <c r="H2578" s="10">
        <v>46127</v>
      </c>
      <c r="I2578">
        <v>59</v>
      </c>
      <c r="J2578">
        <v>0</v>
      </c>
      <c r="K2578">
        <v>59</v>
      </c>
    </row>
    <row r="2579" spans="1:11" x14ac:dyDescent="0.35">
      <c r="B2579">
        <v>1400001019</v>
      </c>
      <c r="C2579" s="10">
        <v>46127</v>
      </c>
      <c r="D2579" t="s">
        <v>2037</v>
      </c>
      <c r="E2579" s="11">
        <v>6</v>
      </c>
      <c r="F2579" t="s">
        <v>415</v>
      </c>
      <c r="G2579" t="s">
        <v>416</v>
      </c>
      <c r="H2579" s="10">
        <v>46127</v>
      </c>
      <c r="I2579">
        <v>59</v>
      </c>
      <c r="J2579">
        <v>0</v>
      </c>
      <c r="K2579">
        <v>59</v>
      </c>
    </row>
    <row r="2580" spans="1:11" x14ac:dyDescent="0.35">
      <c r="A2580">
        <v>2000000017</v>
      </c>
      <c r="B2580">
        <v>9400000973</v>
      </c>
      <c r="C2580" s="10">
        <v>46126</v>
      </c>
      <c r="D2580" t="s">
        <v>2032</v>
      </c>
      <c r="E2580" s="11">
        <v>2030000001</v>
      </c>
      <c r="F2580" t="s">
        <v>683</v>
      </c>
      <c r="G2580" t="s">
        <v>684</v>
      </c>
      <c r="H2580" s="10">
        <v>46171</v>
      </c>
      <c r="I2580">
        <v>149884.78</v>
      </c>
      <c r="J2580">
        <v>0</v>
      </c>
      <c r="K2580">
        <v>149884.78</v>
      </c>
    </row>
    <row r="2581" spans="1:11" x14ac:dyDescent="0.35">
      <c r="A2581">
        <v>9100000090</v>
      </c>
      <c r="B2581">
        <v>9400000931</v>
      </c>
      <c r="C2581" s="10">
        <v>46125</v>
      </c>
      <c r="D2581" t="s">
        <v>2032</v>
      </c>
      <c r="E2581" s="11">
        <v>18306669</v>
      </c>
      <c r="F2581" t="s">
        <v>793</v>
      </c>
      <c r="G2581" t="s">
        <v>794</v>
      </c>
      <c r="H2581" s="10">
        <v>46170</v>
      </c>
      <c r="I2581">
        <v>64328.32</v>
      </c>
      <c r="J2581">
        <v>37881.67</v>
      </c>
      <c r="K2581">
        <v>26446.65</v>
      </c>
    </row>
    <row r="2582" spans="1:11" x14ac:dyDescent="0.35">
      <c r="A2582">
        <v>5100000049</v>
      </c>
      <c r="B2582">
        <v>9400000875</v>
      </c>
      <c r="C2582" s="10">
        <v>46125</v>
      </c>
      <c r="D2582" t="s">
        <v>2032</v>
      </c>
      <c r="E2582" s="11">
        <v>18306894</v>
      </c>
      <c r="F2582" t="s">
        <v>215</v>
      </c>
      <c r="G2582" t="s">
        <v>216</v>
      </c>
      <c r="H2582" s="10">
        <v>46170</v>
      </c>
      <c r="I2582">
        <v>40887</v>
      </c>
      <c r="J2582">
        <v>0</v>
      </c>
      <c r="K2582">
        <v>40887</v>
      </c>
    </row>
    <row r="2583" spans="1:11" x14ac:dyDescent="0.35">
      <c r="A2583">
        <v>9100000063</v>
      </c>
      <c r="B2583">
        <v>9400000638</v>
      </c>
      <c r="C2583" s="10">
        <v>46125</v>
      </c>
      <c r="D2583" t="s">
        <v>2032</v>
      </c>
      <c r="E2583" s="11">
        <v>123</v>
      </c>
      <c r="F2583" t="s">
        <v>1219</v>
      </c>
      <c r="G2583" t="s">
        <v>1220</v>
      </c>
      <c r="H2583" s="10">
        <v>46170</v>
      </c>
      <c r="I2583">
        <v>182642.76</v>
      </c>
      <c r="J2583">
        <v>54675.85</v>
      </c>
      <c r="K2583">
        <v>127966.91</v>
      </c>
    </row>
    <row r="2584" spans="1:11" x14ac:dyDescent="0.35">
      <c r="A2584">
        <v>2300000017</v>
      </c>
      <c r="B2584">
        <v>9400000681</v>
      </c>
      <c r="C2584" s="10">
        <v>46123</v>
      </c>
      <c r="D2584" t="s">
        <v>2032</v>
      </c>
      <c r="E2584" s="11">
        <v>18295645</v>
      </c>
      <c r="F2584" t="s">
        <v>465</v>
      </c>
      <c r="G2584" t="s">
        <v>466</v>
      </c>
      <c r="H2584" s="10">
        <v>46168</v>
      </c>
      <c r="I2584">
        <v>30139.56</v>
      </c>
      <c r="J2584">
        <v>0</v>
      </c>
      <c r="K2584">
        <v>30139.56</v>
      </c>
    </row>
    <row r="2585" spans="1:11" x14ac:dyDescent="0.35">
      <c r="A2585">
        <v>9300000034</v>
      </c>
      <c r="B2585">
        <v>9400000607</v>
      </c>
      <c r="C2585" s="10">
        <v>46122</v>
      </c>
      <c r="D2585" t="s">
        <v>2032</v>
      </c>
      <c r="E2585" s="11">
        <v>18295031</v>
      </c>
      <c r="F2585" t="s">
        <v>284</v>
      </c>
      <c r="G2585" t="s">
        <v>285</v>
      </c>
      <c r="H2585" s="10">
        <v>46167</v>
      </c>
      <c r="I2585">
        <v>11702.86</v>
      </c>
      <c r="J2585">
        <v>0</v>
      </c>
      <c r="K2585">
        <v>11702.86</v>
      </c>
    </row>
    <row r="2586" spans="1:11" x14ac:dyDescent="0.35">
      <c r="A2586">
        <v>9300000031</v>
      </c>
      <c r="B2586">
        <v>9400000601</v>
      </c>
      <c r="C2586" s="10">
        <v>46122</v>
      </c>
      <c r="D2586" t="s">
        <v>2032</v>
      </c>
      <c r="E2586" s="11">
        <v>18295031</v>
      </c>
      <c r="F2586" t="s">
        <v>284</v>
      </c>
      <c r="G2586" t="s">
        <v>285</v>
      </c>
      <c r="H2586" s="10">
        <v>46167</v>
      </c>
      <c r="I2586">
        <v>34408.42</v>
      </c>
      <c r="J2586">
        <v>0</v>
      </c>
      <c r="K2586">
        <v>34408.42</v>
      </c>
    </row>
    <row r="2587" spans="1:11" x14ac:dyDescent="0.35">
      <c r="A2587">
        <v>2710000048</v>
      </c>
      <c r="B2587">
        <v>9400000591</v>
      </c>
      <c r="C2587" s="10">
        <v>46122</v>
      </c>
      <c r="D2587" t="s">
        <v>2032</v>
      </c>
      <c r="E2587" s="11">
        <v>18294930</v>
      </c>
      <c r="F2587" t="s">
        <v>66</v>
      </c>
      <c r="G2587" t="s">
        <v>67</v>
      </c>
      <c r="H2587" s="10">
        <v>46167</v>
      </c>
      <c r="I2587">
        <v>34479.839999999997</v>
      </c>
      <c r="J2587">
        <v>0</v>
      </c>
      <c r="K2587">
        <v>34479.839999999997</v>
      </c>
    </row>
    <row r="2588" spans="1:11" x14ac:dyDescent="0.35">
      <c r="A2588">
        <v>5100000032</v>
      </c>
      <c r="B2588">
        <v>9400000577</v>
      </c>
      <c r="C2588" s="10">
        <v>46122</v>
      </c>
      <c r="D2588" t="s">
        <v>2032</v>
      </c>
      <c r="E2588" s="11">
        <v>18294861</v>
      </c>
      <c r="F2588" t="s">
        <v>331</v>
      </c>
      <c r="G2588" t="s">
        <v>332</v>
      </c>
      <c r="H2588" s="10">
        <v>46167</v>
      </c>
      <c r="I2588">
        <v>72887.42</v>
      </c>
      <c r="J2588">
        <v>72268.37</v>
      </c>
      <c r="K2588">
        <v>619.05000000000291</v>
      </c>
    </row>
    <row r="2589" spans="1:11" x14ac:dyDescent="0.35">
      <c r="A2589">
        <v>9200000025</v>
      </c>
      <c r="B2589">
        <v>9400000560</v>
      </c>
      <c r="C2589" s="10">
        <v>46122</v>
      </c>
      <c r="D2589" t="s">
        <v>2032</v>
      </c>
      <c r="E2589" s="11">
        <v>18284727</v>
      </c>
      <c r="F2589" t="s">
        <v>1221</v>
      </c>
      <c r="G2589" t="s">
        <v>1222</v>
      </c>
      <c r="H2589" s="10">
        <v>46167</v>
      </c>
      <c r="I2589">
        <v>39648</v>
      </c>
      <c r="J2589">
        <v>39271.57</v>
      </c>
      <c r="K2589">
        <v>376.43000000000029</v>
      </c>
    </row>
    <row r="2590" spans="1:11" x14ac:dyDescent="0.35">
      <c r="A2590">
        <v>9300000025</v>
      </c>
      <c r="B2590">
        <v>9400000507</v>
      </c>
      <c r="C2590" s="10">
        <v>46122</v>
      </c>
      <c r="D2590" t="s">
        <v>2032</v>
      </c>
      <c r="E2590" s="11">
        <v>18273979</v>
      </c>
      <c r="F2590" t="s">
        <v>1141</v>
      </c>
      <c r="G2590" t="s">
        <v>1142</v>
      </c>
      <c r="H2590" s="10">
        <v>46167</v>
      </c>
      <c r="I2590">
        <v>81861.56</v>
      </c>
      <c r="J2590">
        <v>81366.8</v>
      </c>
      <c r="K2590">
        <v>494.75999999999476</v>
      </c>
    </row>
    <row r="2591" spans="1:11" x14ac:dyDescent="0.35">
      <c r="A2591">
        <v>2710000036</v>
      </c>
      <c r="B2591">
        <v>9400000485</v>
      </c>
      <c r="C2591" s="10">
        <v>46122</v>
      </c>
      <c r="D2591" t="s">
        <v>2032</v>
      </c>
      <c r="E2591" s="11">
        <v>18274213</v>
      </c>
      <c r="F2591" t="s">
        <v>505</v>
      </c>
      <c r="G2591" t="s">
        <v>506</v>
      </c>
      <c r="H2591" s="10">
        <v>46167</v>
      </c>
      <c r="I2591">
        <v>10046.52</v>
      </c>
      <c r="J2591">
        <v>7820.69</v>
      </c>
      <c r="K2591">
        <v>2225.8300000000008</v>
      </c>
    </row>
    <row r="2592" spans="1:11" x14ac:dyDescent="0.35">
      <c r="B2592">
        <v>1400003828</v>
      </c>
      <c r="C2592" s="10">
        <v>46122</v>
      </c>
      <c r="D2592" t="s">
        <v>2037</v>
      </c>
      <c r="E2592" s="11"/>
      <c r="F2592" t="s">
        <v>1223</v>
      </c>
      <c r="G2592" t="s">
        <v>1224</v>
      </c>
      <c r="H2592" s="10">
        <v>46122</v>
      </c>
      <c r="I2592">
        <v>1543.92</v>
      </c>
      <c r="J2592">
        <v>0</v>
      </c>
      <c r="K2592">
        <v>1543.92</v>
      </c>
    </row>
    <row r="2593" spans="1:11" x14ac:dyDescent="0.35">
      <c r="A2593">
        <v>9300000023</v>
      </c>
      <c r="B2593">
        <v>9400000478</v>
      </c>
      <c r="C2593" s="10">
        <v>46121</v>
      </c>
      <c r="D2593" t="s">
        <v>2032</v>
      </c>
      <c r="E2593" s="11">
        <v>18272623</v>
      </c>
      <c r="F2593" t="s">
        <v>172</v>
      </c>
      <c r="G2593" t="s">
        <v>173</v>
      </c>
      <c r="H2593" s="10">
        <v>46166</v>
      </c>
      <c r="I2593">
        <v>34761.1</v>
      </c>
      <c r="J2593">
        <v>34447.97</v>
      </c>
      <c r="K2593">
        <v>313.12999999999738</v>
      </c>
    </row>
    <row r="2594" spans="1:11" x14ac:dyDescent="0.35">
      <c r="A2594">
        <v>9100000039</v>
      </c>
      <c r="B2594">
        <v>9400000405</v>
      </c>
      <c r="C2594" s="10">
        <v>46121</v>
      </c>
      <c r="D2594" t="s">
        <v>2032</v>
      </c>
      <c r="E2594" s="11">
        <v>18271696</v>
      </c>
      <c r="F2594" t="s">
        <v>419</v>
      </c>
      <c r="G2594" t="s">
        <v>420</v>
      </c>
      <c r="H2594" s="10">
        <v>46166</v>
      </c>
      <c r="I2594">
        <v>23803.200000000001</v>
      </c>
      <c r="J2594">
        <v>0</v>
      </c>
      <c r="K2594">
        <v>23803.200000000001</v>
      </c>
    </row>
    <row r="2595" spans="1:11" x14ac:dyDescent="0.35">
      <c r="B2595">
        <v>1400000444</v>
      </c>
      <c r="C2595" s="10">
        <v>46121</v>
      </c>
      <c r="D2595" t="s">
        <v>2037</v>
      </c>
      <c r="E2595" s="11">
        <v>1033</v>
      </c>
      <c r="F2595" t="s">
        <v>1225</v>
      </c>
      <c r="G2595" t="s">
        <v>1226</v>
      </c>
      <c r="H2595" s="10">
        <v>46121</v>
      </c>
      <c r="I2595">
        <v>59</v>
      </c>
      <c r="J2595">
        <v>0</v>
      </c>
      <c r="K2595">
        <v>59</v>
      </c>
    </row>
    <row r="2596" spans="1:11" x14ac:dyDescent="0.35">
      <c r="B2596">
        <v>1400000439</v>
      </c>
      <c r="C2596" s="10">
        <v>46121</v>
      </c>
      <c r="D2596" t="s">
        <v>2037</v>
      </c>
      <c r="E2596" s="11">
        <v>59</v>
      </c>
      <c r="F2596" t="s">
        <v>1159</v>
      </c>
      <c r="G2596" t="s">
        <v>1160</v>
      </c>
      <c r="H2596" s="10">
        <v>46121</v>
      </c>
      <c r="I2596">
        <v>59</v>
      </c>
      <c r="J2596">
        <v>0</v>
      </c>
      <c r="K2596">
        <v>59</v>
      </c>
    </row>
    <row r="2597" spans="1:11" x14ac:dyDescent="0.35">
      <c r="A2597">
        <v>2710000015</v>
      </c>
      <c r="B2597">
        <v>9400000256</v>
      </c>
      <c r="C2597" s="10">
        <v>46120</v>
      </c>
      <c r="D2597" t="s">
        <v>2032</v>
      </c>
      <c r="E2597" s="11">
        <v>18272659</v>
      </c>
      <c r="F2597" t="s">
        <v>687</v>
      </c>
      <c r="G2597" t="s">
        <v>688</v>
      </c>
      <c r="H2597" s="10">
        <v>46165</v>
      </c>
      <c r="I2597">
        <v>6458.66</v>
      </c>
      <c r="J2597">
        <v>6458.53</v>
      </c>
      <c r="K2597">
        <v>0.13000000000010914</v>
      </c>
    </row>
    <row r="2598" spans="1:11" x14ac:dyDescent="0.35">
      <c r="B2598">
        <v>1400000438</v>
      </c>
      <c r="C2598" s="10">
        <v>46120</v>
      </c>
      <c r="D2598" t="s">
        <v>2037</v>
      </c>
      <c r="E2598" s="11">
        <v>2</v>
      </c>
      <c r="F2598" t="s">
        <v>1193</v>
      </c>
      <c r="G2598" t="s">
        <v>1194</v>
      </c>
      <c r="H2598" s="10">
        <v>46120</v>
      </c>
      <c r="I2598">
        <v>87000</v>
      </c>
      <c r="J2598">
        <v>60376.13</v>
      </c>
      <c r="K2598">
        <v>26623.870000000003</v>
      </c>
    </row>
    <row r="2599" spans="1:11" x14ac:dyDescent="0.35">
      <c r="A2599">
        <v>2710000012</v>
      </c>
      <c r="B2599">
        <v>9400000251</v>
      </c>
      <c r="C2599" s="10">
        <v>46119</v>
      </c>
      <c r="D2599" t="s">
        <v>2032</v>
      </c>
      <c r="E2599" s="11">
        <v>18272085</v>
      </c>
      <c r="F2599" t="s">
        <v>509</v>
      </c>
      <c r="G2599" t="s">
        <v>510</v>
      </c>
      <c r="H2599" s="10">
        <v>46164</v>
      </c>
      <c r="I2599">
        <v>7736.08</v>
      </c>
      <c r="J2599">
        <v>0</v>
      </c>
      <c r="K2599">
        <v>7736.08</v>
      </c>
    </row>
    <row r="2600" spans="1:11" x14ac:dyDescent="0.35">
      <c r="A2600">
        <v>9200000001</v>
      </c>
      <c r="B2600">
        <v>9400000170</v>
      </c>
      <c r="C2600" s="10">
        <v>46119</v>
      </c>
      <c r="D2600" t="s">
        <v>2032</v>
      </c>
      <c r="E2600" s="11">
        <v>18271673</v>
      </c>
      <c r="F2600" t="s">
        <v>373</v>
      </c>
      <c r="G2600" t="s">
        <v>374</v>
      </c>
      <c r="H2600" s="10">
        <v>46164</v>
      </c>
      <c r="I2600">
        <v>708432</v>
      </c>
      <c r="J2600">
        <v>82690.22</v>
      </c>
      <c r="K2600">
        <v>625741.78</v>
      </c>
    </row>
    <row r="2601" spans="1:11" x14ac:dyDescent="0.35">
      <c r="A2601">
        <v>2000000001</v>
      </c>
      <c r="B2601">
        <v>9400000147</v>
      </c>
      <c r="C2601" s="10">
        <v>46119</v>
      </c>
      <c r="D2601" t="s">
        <v>2032</v>
      </c>
      <c r="E2601" s="11">
        <v>18271079</v>
      </c>
      <c r="F2601" t="s">
        <v>683</v>
      </c>
      <c r="G2601" t="s">
        <v>684</v>
      </c>
      <c r="H2601" s="10">
        <v>46164</v>
      </c>
      <c r="I2601">
        <v>191183.6</v>
      </c>
      <c r="J2601">
        <v>121152.13</v>
      </c>
      <c r="K2601">
        <v>70031.47</v>
      </c>
    </row>
    <row r="2602" spans="1:11" x14ac:dyDescent="0.35">
      <c r="A2602">
        <v>5100000005</v>
      </c>
      <c r="B2602">
        <v>9400000136</v>
      </c>
      <c r="C2602" s="10">
        <v>46119</v>
      </c>
      <c r="D2602" t="s">
        <v>2032</v>
      </c>
      <c r="E2602" s="11">
        <v>18271145</v>
      </c>
      <c r="F2602" t="s">
        <v>215</v>
      </c>
      <c r="G2602" t="s">
        <v>216</v>
      </c>
      <c r="H2602" s="10">
        <v>46164</v>
      </c>
      <c r="I2602">
        <v>79248.800000000003</v>
      </c>
      <c r="J2602">
        <v>0</v>
      </c>
      <c r="K2602">
        <v>79248.800000000003</v>
      </c>
    </row>
    <row r="2603" spans="1:11" x14ac:dyDescent="0.35">
      <c r="B2603">
        <v>1400000364</v>
      </c>
      <c r="C2603" s="10">
        <v>46119</v>
      </c>
      <c r="D2603" t="s">
        <v>2037</v>
      </c>
      <c r="E2603" s="11">
        <v>59</v>
      </c>
      <c r="F2603" t="s">
        <v>1159</v>
      </c>
      <c r="G2603" t="s">
        <v>1160</v>
      </c>
      <c r="H2603" s="10">
        <v>46119</v>
      </c>
      <c r="I2603">
        <v>122260</v>
      </c>
      <c r="J2603">
        <v>65042.96</v>
      </c>
      <c r="K2603">
        <v>57217.04</v>
      </c>
    </row>
    <row r="2604" spans="1:11" x14ac:dyDescent="0.35">
      <c r="B2604">
        <v>1400000172</v>
      </c>
      <c r="C2604" s="10">
        <v>46116</v>
      </c>
      <c r="D2604" t="s">
        <v>2037</v>
      </c>
      <c r="E2604" s="11">
        <v>702149</v>
      </c>
      <c r="F2604" t="s">
        <v>925</v>
      </c>
      <c r="G2604" t="s">
        <v>926</v>
      </c>
      <c r="H2604" s="10">
        <v>46116</v>
      </c>
      <c r="I2604">
        <v>115000</v>
      </c>
      <c r="J2604">
        <v>75611.740000000005</v>
      </c>
      <c r="K2604">
        <v>39388.259999999995</v>
      </c>
    </row>
    <row r="2605" spans="1:11" x14ac:dyDescent="0.35">
      <c r="B2605">
        <v>9400000694</v>
      </c>
      <c r="C2605" s="10">
        <v>46112</v>
      </c>
      <c r="D2605" t="s">
        <v>2032</v>
      </c>
      <c r="E2605" s="11" t="s">
        <v>2058</v>
      </c>
      <c r="F2605" t="s">
        <v>457</v>
      </c>
      <c r="G2605" t="s">
        <v>458</v>
      </c>
      <c r="H2605" s="10">
        <v>46157</v>
      </c>
      <c r="I2605">
        <v>119324.46</v>
      </c>
      <c r="J2605">
        <v>118931.39</v>
      </c>
      <c r="K2605">
        <v>393.07000000000698</v>
      </c>
    </row>
    <row r="2606" spans="1:11" x14ac:dyDescent="0.35">
      <c r="B2606">
        <v>9400000424</v>
      </c>
      <c r="C2606" s="10">
        <v>46112</v>
      </c>
      <c r="D2606" t="s">
        <v>2032</v>
      </c>
      <c r="E2606" s="11" t="s">
        <v>2059</v>
      </c>
      <c r="F2606" t="s">
        <v>557</v>
      </c>
      <c r="G2606" t="s">
        <v>558</v>
      </c>
      <c r="H2606" s="10">
        <v>46112</v>
      </c>
      <c r="I2606">
        <v>13454.01</v>
      </c>
      <c r="J2606">
        <v>0</v>
      </c>
      <c r="K2606">
        <v>13454.01</v>
      </c>
    </row>
    <row r="2607" spans="1:11" x14ac:dyDescent="0.35">
      <c r="B2607">
        <v>1800006264</v>
      </c>
      <c r="C2607" s="10">
        <v>46112</v>
      </c>
      <c r="D2607" t="s">
        <v>2052</v>
      </c>
      <c r="E2607" s="11" t="s">
        <v>2060</v>
      </c>
      <c r="F2607" t="s">
        <v>763</v>
      </c>
      <c r="G2607" t="s">
        <v>764</v>
      </c>
      <c r="H2607" s="10">
        <v>46157</v>
      </c>
      <c r="I2607">
        <v>42080.69</v>
      </c>
      <c r="J2607">
        <v>0</v>
      </c>
      <c r="K2607">
        <v>42080.69</v>
      </c>
    </row>
    <row r="2608" spans="1:11" x14ac:dyDescent="0.35">
      <c r="B2608">
        <v>1800006260</v>
      </c>
      <c r="C2608" s="10">
        <v>46112</v>
      </c>
      <c r="D2608" t="s">
        <v>2052</v>
      </c>
      <c r="E2608" s="11" t="s">
        <v>2061</v>
      </c>
      <c r="F2608" t="s">
        <v>791</v>
      </c>
      <c r="G2608" t="s">
        <v>792</v>
      </c>
      <c r="H2608" s="10">
        <v>46157</v>
      </c>
      <c r="I2608">
        <v>74209.960000000006</v>
      </c>
      <c r="J2608">
        <v>73650.52</v>
      </c>
      <c r="K2608">
        <v>559.44000000000233</v>
      </c>
    </row>
    <row r="2609" spans="2:11" x14ac:dyDescent="0.35">
      <c r="B2609">
        <v>1800006255</v>
      </c>
      <c r="C2609" s="10">
        <v>46112</v>
      </c>
      <c r="D2609" t="s">
        <v>2052</v>
      </c>
      <c r="E2609" s="11" t="s">
        <v>3683</v>
      </c>
      <c r="F2609" t="s">
        <v>503</v>
      </c>
      <c r="G2609" t="s">
        <v>504</v>
      </c>
      <c r="H2609" s="10">
        <v>46157</v>
      </c>
      <c r="I2609">
        <v>113499.95</v>
      </c>
      <c r="J2609">
        <v>0</v>
      </c>
      <c r="K2609">
        <v>113499.95</v>
      </c>
    </row>
    <row r="2610" spans="2:11" x14ac:dyDescent="0.35">
      <c r="B2610">
        <v>1800005454</v>
      </c>
      <c r="C2610" s="10">
        <v>46112</v>
      </c>
      <c r="D2610" t="s">
        <v>2052</v>
      </c>
      <c r="E2610" s="11" t="s">
        <v>2062</v>
      </c>
      <c r="F2610" t="s">
        <v>753</v>
      </c>
      <c r="G2610" t="s">
        <v>754</v>
      </c>
      <c r="H2610" s="10">
        <v>46157</v>
      </c>
      <c r="I2610">
        <v>20388.5</v>
      </c>
      <c r="J2610">
        <v>0</v>
      </c>
      <c r="K2610">
        <v>20388.5</v>
      </c>
    </row>
    <row r="2611" spans="2:11" x14ac:dyDescent="0.35">
      <c r="B2611">
        <v>1800005443</v>
      </c>
      <c r="C2611" s="10">
        <v>46112</v>
      </c>
      <c r="D2611" t="s">
        <v>2052</v>
      </c>
      <c r="E2611" s="11" t="s">
        <v>2063</v>
      </c>
      <c r="F2611" t="s">
        <v>64</v>
      </c>
      <c r="G2611" t="s">
        <v>65</v>
      </c>
      <c r="H2611" s="10">
        <v>46157</v>
      </c>
      <c r="I2611">
        <v>40186.080000000002</v>
      </c>
      <c r="J2611">
        <v>0</v>
      </c>
      <c r="K2611">
        <v>40186.080000000002</v>
      </c>
    </row>
    <row r="2612" spans="2:11" x14ac:dyDescent="0.35">
      <c r="B2612">
        <v>1800005441</v>
      </c>
      <c r="C2612" s="10">
        <v>46112</v>
      </c>
      <c r="D2612" t="s">
        <v>2052</v>
      </c>
      <c r="E2612" s="11" t="s">
        <v>2064</v>
      </c>
      <c r="F2612" t="s">
        <v>757</v>
      </c>
      <c r="G2612" t="s">
        <v>758</v>
      </c>
      <c r="H2612" s="10">
        <v>46157</v>
      </c>
      <c r="I2612">
        <v>129679.38</v>
      </c>
      <c r="J2612">
        <v>12346.84</v>
      </c>
      <c r="K2612">
        <v>117332.54000000001</v>
      </c>
    </row>
    <row r="2613" spans="2:11" x14ac:dyDescent="0.35">
      <c r="B2613">
        <v>1800005006</v>
      </c>
      <c r="C2613" s="10">
        <v>46112</v>
      </c>
      <c r="D2613" t="s">
        <v>2052</v>
      </c>
      <c r="E2613" s="11" t="s">
        <v>3684</v>
      </c>
      <c r="F2613" t="s">
        <v>3603</v>
      </c>
      <c r="G2613" t="s">
        <v>3604</v>
      </c>
      <c r="H2613" s="10">
        <v>46157</v>
      </c>
      <c r="I2613">
        <v>220289.37</v>
      </c>
      <c r="J2613">
        <v>178169.56</v>
      </c>
      <c r="K2613">
        <v>42119.81</v>
      </c>
    </row>
    <row r="2614" spans="2:11" x14ac:dyDescent="0.35">
      <c r="B2614">
        <v>1800004939</v>
      </c>
      <c r="C2614" s="10">
        <v>46112</v>
      </c>
      <c r="D2614" t="s">
        <v>2052</v>
      </c>
      <c r="E2614" s="11" t="s">
        <v>2065</v>
      </c>
      <c r="F2614" t="s">
        <v>347</v>
      </c>
      <c r="G2614" t="s">
        <v>348</v>
      </c>
      <c r="H2614" s="10">
        <v>46157</v>
      </c>
      <c r="I2614">
        <v>71487.210000000006</v>
      </c>
      <c r="J2614">
        <v>58124.43</v>
      </c>
      <c r="K2614">
        <v>13362.780000000006</v>
      </c>
    </row>
    <row r="2615" spans="2:11" x14ac:dyDescent="0.35">
      <c r="B2615">
        <v>1800004925</v>
      </c>
      <c r="C2615" s="10">
        <v>46112</v>
      </c>
      <c r="D2615" t="s">
        <v>2052</v>
      </c>
      <c r="E2615" s="11" t="s">
        <v>2066</v>
      </c>
      <c r="F2615" t="s">
        <v>86</v>
      </c>
      <c r="G2615" t="s">
        <v>87</v>
      </c>
      <c r="H2615" s="10">
        <v>46157</v>
      </c>
      <c r="I2615">
        <v>22701.31</v>
      </c>
      <c r="J2615">
        <v>22396.02</v>
      </c>
      <c r="K2615">
        <v>305.29000000000087</v>
      </c>
    </row>
    <row r="2616" spans="2:11" x14ac:dyDescent="0.35">
      <c r="B2616">
        <v>1800004210</v>
      </c>
      <c r="C2616" s="10">
        <v>46112</v>
      </c>
      <c r="D2616" t="s">
        <v>2052</v>
      </c>
      <c r="E2616" s="11" t="s">
        <v>2067</v>
      </c>
      <c r="F2616" t="s">
        <v>397</v>
      </c>
      <c r="G2616" t="s">
        <v>398</v>
      </c>
      <c r="H2616" s="10">
        <v>46157</v>
      </c>
      <c r="I2616">
        <v>5870.74</v>
      </c>
      <c r="J2616">
        <v>0</v>
      </c>
      <c r="K2616">
        <v>5870.74</v>
      </c>
    </row>
    <row r="2617" spans="2:11" x14ac:dyDescent="0.35">
      <c r="B2617">
        <v>1800004202</v>
      </c>
      <c r="C2617" s="10">
        <v>46112</v>
      </c>
      <c r="D2617" t="s">
        <v>2052</v>
      </c>
      <c r="E2617" s="11" t="s">
        <v>2068</v>
      </c>
      <c r="F2617" t="s">
        <v>817</v>
      </c>
      <c r="G2617" t="s">
        <v>818</v>
      </c>
      <c r="H2617" s="10">
        <v>46157</v>
      </c>
      <c r="I2617">
        <v>150197.92000000001</v>
      </c>
      <c r="J2617">
        <v>0</v>
      </c>
      <c r="K2617">
        <v>150197.92000000001</v>
      </c>
    </row>
    <row r="2618" spans="2:11" x14ac:dyDescent="0.35">
      <c r="B2618">
        <v>1800004180</v>
      </c>
      <c r="C2618" s="10">
        <v>46112</v>
      </c>
      <c r="D2618" t="s">
        <v>2052</v>
      </c>
      <c r="E2618" s="11" t="s">
        <v>2069</v>
      </c>
      <c r="F2618" t="s">
        <v>745</v>
      </c>
      <c r="G2618" t="s">
        <v>746</v>
      </c>
      <c r="H2618" s="10">
        <v>46157</v>
      </c>
      <c r="I2618">
        <v>47896.2</v>
      </c>
      <c r="J2618">
        <v>6653.55</v>
      </c>
      <c r="K2618">
        <v>41242.649999999994</v>
      </c>
    </row>
    <row r="2619" spans="2:11" x14ac:dyDescent="0.35">
      <c r="B2619">
        <v>1800004168</v>
      </c>
      <c r="C2619" s="10">
        <v>46112</v>
      </c>
      <c r="D2619" t="s">
        <v>2052</v>
      </c>
      <c r="E2619" s="11" t="s">
        <v>2071</v>
      </c>
      <c r="F2619" t="s">
        <v>817</v>
      </c>
      <c r="G2619" t="s">
        <v>818</v>
      </c>
      <c r="H2619" s="10">
        <v>46157</v>
      </c>
      <c r="I2619">
        <v>71708.490000000005</v>
      </c>
      <c r="J2619">
        <v>0</v>
      </c>
      <c r="K2619">
        <v>71708.490000000005</v>
      </c>
    </row>
    <row r="2620" spans="2:11" x14ac:dyDescent="0.35">
      <c r="B2620">
        <v>1800004164</v>
      </c>
      <c r="C2620" s="10">
        <v>46112</v>
      </c>
      <c r="D2620" t="s">
        <v>2052</v>
      </c>
      <c r="E2620" s="11" t="s">
        <v>2072</v>
      </c>
      <c r="F2620" t="s">
        <v>745</v>
      </c>
      <c r="G2620" t="s">
        <v>746</v>
      </c>
      <c r="H2620" s="10">
        <v>46157</v>
      </c>
      <c r="I2620">
        <v>62470.05</v>
      </c>
      <c r="J2620">
        <v>0</v>
      </c>
      <c r="K2620">
        <v>62470.05</v>
      </c>
    </row>
    <row r="2621" spans="2:11" x14ac:dyDescent="0.35">
      <c r="B2621">
        <v>1800004162</v>
      </c>
      <c r="C2621" s="10">
        <v>46112</v>
      </c>
      <c r="D2621" t="s">
        <v>2052</v>
      </c>
      <c r="E2621" s="11" t="s">
        <v>2073</v>
      </c>
      <c r="F2621" t="s">
        <v>1231</v>
      </c>
      <c r="G2621" t="s">
        <v>1232</v>
      </c>
      <c r="H2621" s="10">
        <v>46157</v>
      </c>
      <c r="I2621">
        <v>61972.18</v>
      </c>
      <c r="J2621">
        <v>61971.7</v>
      </c>
      <c r="K2621">
        <v>0.48000000000320142</v>
      </c>
    </row>
    <row r="2622" spans="2:11" x14ac:dyDescent="0.35">
      <c r="B2622">
        <v>1800004158</v>
      </c>
      <c r="C2622" s="10">
        <v>46112</v>
      </c>
      <c r="D2622" t="s">
        <v>2052</v>
      </c>
      <c r="E2622" s="11" t="s">
        <v>2074</v>
      </c>
      <c r="F2622" t="s">
        <v>817</v>
      </c>
      <c r="G2622" t="s">
        <v>818</v>
      </c>
      <c r="H2622" s="10">
        <v>46157</v>
      </c>
      <c r="I2622">
        <v>557614.87</v>
      </c>
      <c r="J2622">
        <v>0</v>
      </c>
      <c r="K2622">
        <v>557614.87</v>
      </c>
    </row>
    <row r="2623" spans="2:11" x14ac:dyDescent="0.35">
      <c r="B2623">
        <v>1800003923</v>
      </c>
      <c r="C2623" s="10">
        <v>46112</v>
      </c>
      <c r="D2623" t="s">
        <v>2052</v>
      </c>
      <c r="E2623" s="11" t="s">
        <v>2042</v>
      </c>
      <c r="F2623" t="s">
        <v>355</v>
      </c>
      <c r="G2623" t="s">
        <v>356</v>
      </c>
      <c r="H2623" s="10">
        <v>46157</v>
      </c>
      <c r="I2623">
        <v>137064.69</v>
      </c>
      <c r="J2623">
        <v>0</v>
      </c>
      <c r="K2623">
        <v>137064.69</v>
      </c>
    </row>
    <row r="2624" spans="2:11" x14ac:dyDescent="0.35">
      <c r="B2624">
        <v>1800003922</v>
      </c>
      <c r="C2624" s="10">
        <v>46112</v>
      </c>
      <c r="D2624" t="s">
        <v>2052</v>
      </c>
      <c r="E2624" s="11" t="s">
        <v>2075</v>
      </c>
      <c r="F2624" t="s">
        <v>308</v>
      </c>
      <c r="G2624" t="s">
        <v>309</v>
      </c>
      <c r="H2624" s="10">
        <v>46157</v>
      </c>
      <c r="I2624">
        <v>63640.87</v>
      </c>
      <c r="J2624">
        <v>6631.78</v>
      </c>
      <c r="K2624">
        <v>57009.090000000004</v>
      </c>
    </row>
    <row r="2625" spans="2:11" x14ac:dyDescent="0.35">
      <c r="B2625">
        <v>1800003913</v>
      </c>
      <c r="C2625" s="10">
        <v>46112</v>
      </c>
      <c r="D2625" t="s">
        <v>2052</v>
      </c>
      <c r="E2625" s="11" t="s">
        <v>2076</v>
      </c>
      <c r="F2625" t="s">
        <v>395</v>
      </c>
      <c r="G2625" t="s">
        <v>396</v>
      </c>
      <c r="H2625" s="10">
        <v>46157</v>
      </c>
      <c r="I2625">
        <v>150596.79</v>
      </c>
      <c r="J2625">
        <v>150593.34</v>
      </c>
      <c r="K2625">
        <v>3.4500000000116415</v>
      </c>
    </row>
    <row r="2626" spans="2:11" x14ac:dyDescent="0.35">
      <c r="B2626">
        <v>1800003404</v>
      </c>
      <c r="C2626" s="10">
        <v>46112</v>
      </c>
      <c r="D2626" t="s">
        <v>2052</v>
      </c>
      <c r="E2626" s="11" t="s">
        <v>2077</v>
      </c>
      <c r="F2626" t="s">
        <v>557</v>
      </c>
      <c r="G2626" t="s">
        <v>558</v>
      </c>
      <c r="H2626" s="10">
        <v>46114</v>
      </c>
      <c r="I2626">
        <v>3022.37</v>
      </c>
      <c r="J2626">
        <v>0</v>
      </c>
      <c r="K2626">
        <v>3022.37</v>
      </c>
    </row>
    <row r="2627" spans="2:11" x14ac:dyDescent="0.35">
      <c r="B2627">
        <v>1800003027</v>
      </c>
      <c r="C2627" s="10">
        <v>46112</v>
      </c>
      <c r="D2627" t="s">
        <v>2052</v>
      </c>
      <c r="E2627" s="11" t="s">
        <v>2078</v>
      </c>
      <c r="F2627" t="s">
        <v>1235</v>
      </c>
      <c r="G2627" t="s">
        <v>1236</v>
      </c>
      <c r="H2627" s="10">
        <v>46157</v>
      </c>
      <c r="I2627">
        <v>48144</v>
      </c>
      <c r="J2627">
        <v>47961.91</v>
      </c>
      <c r="K2627">
        <v>182.08999999999651</v>
      </c>
    </row>
    <row r="2628" spans="2:11" x14ac:dyDescent="0.35">
      <c r="B2628">
        <v>1800001645</v>
      </c>
      <c r="C2628" s="10">
        <v>46112</v>
      </c>
      <c r="D2628" t="s">
        <v>2052</v>
      </c>
      <c r="E2628" s="11" t="s">
        <v>2079</v>
      </c>
      <c r="F2628" t="s">
        <v>1239</v>
      </c>
      <c r="G2628" t="s">
        <v>1240</v>
      </c>
      <c r="H2628" s="10">
        <v>46157</v>
      </c>
      <c r="I2628">
        <v>201616.26</v>
      </c>
      <c r="J2628">
        <v>170000.33</v>
      </c>
      <c r="K2628">
        <v>31615.930000000022</v>
      </c>
    </row>
    <row r="2629" spans="2:11" x14ac:dyDescent="0.35">
      <c r="B2629">
        <v>1800001643</v>
      </c>
      <c r="C2629" s="10">
        <v>46112</v>
      </c>
      <c r="D2629" t="s">
        <v>2052</v>
      </c>
      <c r="E2629" s="11" t="s">
        <v>2080</v>
      </c>
      <c r="F2629" t="s">
        <v>1239</v>
      </c>
      <c r="G2629" t="s">
        <v>1240</v>
      </c>
      <c r="H2629" s="10">
        <v>46157</v>
      </c>
      <c r="I2629">
        <v>116021.85</v>
      </c>
      <c r="J2629">
        <v>0</v>
      </c>
      <c r="K2629">
        <v>116021.85</v>
      </c>
    </row>
    <row r="2630" spans="2:11" x14ac:dyDescent="0.35">
      <c r="B2630">
        <v>1800001634</v>
      </c>
      <c r="C2630" s="10">
        <v>46112</v>
      </c>
      <c r="D2630" t="s">
        <v>2052</v>
      </c>
      <c r="E2630" s="11" t="s">
        <v>2081</v>
      </c>
      <c r="F2630" t="s">
        <v>1241</v>
      </c>
      <c r="G2630" t="s">
        <v>1242</v>
      </c>
      <c r="H2630" s="10">
        <v>46127</v>
      </c>
      <c r="I2630">
        <v>405896.4</v>
      </c>
      <c r="J2630">
        <v>0</v>
      </c>
      <c r="K2630">
        <v>405896.4</v>
      </c>
    </row>
    <row r="2631" spans="2:11" x14ac:dyDescent="0.35">
      <c r="B2631">
        <v>1800001548</v>
      </c>
      <c r="C2631" s="10">
        <v>46112</v>
      </c>
      <c r="D2631" t="s">
        <v>2052</v>
      </c>
      <c r="E2631" s="11" t="s">
        <v>2082</v>
      </c>
      <c r="F2631" t="s">
        <v>66</v>
      </c>
      <c r="G2631" t="s">
        <v>67</v>
      </c>
      <c r="H2631" s="10">
        <v>46157</v>
      </c>
      <c r="I2631">
        <v>17675.8</v>
      </c>
      <c r="J2631">
        <v>0</v>
      </c>
      <c r="K2631">
        <v>17675.8</v>
      </c>
    </row>
    <row r="2632" spans="2:11" x14ac:dyDescent="0.35">
      <c r="B2632">
        <v>1800001547</v>
      </c>
      <c r="C2632" s="10">
        <v>46112</v>
      </c>
      <c r="D2632" t="s">
        <v>2052</v>
      </c>
      <c r="E2632" s="11" t="s">
        <v>2083</v>
      </c>
      <c r="F2632" t="s">
        <v>753</v>
      </c>
      <c r="G2632" t="s">
        <v>754</v>
      </c>
      <c r="H2632" s="10">
        <v>46157</v>
      </c>
      <c r="I2632">
        <v>21210.959999999999</v>
      </c>
      <c r="J2632">
        <v>0</v>
      </c>
      <c r="K2632">
        <v>21210.959999999999</v>
      </c>
    </row>
    <row r="2633" spans="2:11" x14ac:dyDescent="0.35">
      <c r="B2633">
        <v>1800001012</v>
      </c>
      <c r="C2633" s="10">
        <v>46112</v>
      </c>
      <c r="D2633" t="s">
        <v>2052</v>
      </c>
      <c r="E2633" s="11" t="s">
        <v>2084</v>
      </c>
      <c r="F2633" t="s">
        <v>215</v>
      </c>
      <c r="G2633" t="s">
        <v>216</v>
      </c>
      <c r="H2633" s="10">
        <v>46157</v>
      </c>
      <c r="I2633">
        <v>100932.48</v>
      </c>
      <c r="J2633">
        <v>0</v>
      </c>
      <c r="K2633">
        <v>100932.48</v>
      </c>
    </row>
    <row r="2634" spans="2:11" x14ac:dyDescent="0.35">
      <c r="B2634">
        <v>1800001010</v>
      </c>
      <c r="C2634" s="10">
        <v>46112</v>
      </c>
      <c r="D2634" t="s">
        <v>2052</v>
      </c>
      <c r="E2634" s="11" t="s">
        <v>2085</v>
      </c>
      <c r="F2634" t="s">
        <v>927</v>
      </c>
      <c r="G2634" t="s">
        <v>928</v>
      </c>
      <c r="H2634" s="10">
        <v>46157</v>
      </c>
      <c r="I2634">
        <v>186912</v>
      </c>
      <c r="J2634">
        <v>16757.95</v>
      </c>
      <c r="K2634">
        <v>170154.05</v>
      </c>
    </row>
    <row r="2635" spans="2:11" x14ac:dyDescent="0.35">
      <c r="B2635">
        <v>1800001009</v>
      </c>
      <c r="C2635" s="10">
        <v>46112</v>
      </c>
      <c r="D2635" t="s">
        <v>2052</v>
      </c>
      <c r="E2635" s="11" t="s">
        <v>2045</v>
      </c>
      <c r="F2635" t="s">
        <v>453</v>
      </c>
      <c r="G2635" t="s">
        <v>454</v>
      </c>
      <c r="H2635" s="10">
        <v>46157</v>
      </c>
      <c r="I2635">
        <v>373360.66</v>
      </c>
      <c r="J2635">
        <v>0</v>
      </c>
      <c r="K2635">
        <v>373360.66</v>
      </c>
    </row>
    <row r="2636" spans="2:11" x14ac:dyDescent="0.35">
      <c r="B2636">
        <v>1800000999</v>
      </c>
      <c r="C2636" s="10">
        <v>46112</v>
      </c>
      <c r="D2636" t="s">
        <v>2052</v>
      </c>
      <c r="E2636" s="11" t="s">
        <v>2086</v>
      </c>
      <c r="F2636" t="s">
        <v>292</v>
      </c>
      <c r="G2636" t="s">
        <v>293</v>
      </c>
      <c r="H2636" s="10">
        <v>46157</v>
      </c>
      <c r="I2636">
        <v>37526.83</v>
      </c>
      <c r="J2636">
        <v>0</v>
      </c>
      <c r="K2636">
        <v>37526.83</v>
      </c>
    </row>
    <row r="2637" spans="2:11" x14ac:dyDescent="0.35">
      <c r="B2637">
        <v>1800000812</v>
      </c>
      <c r="C2637" s="10">
        <v>46112</v>
      </c>
      <c r="D2637" t="s">
        <v>2052</v>
      </c>
      <c r="E2637" s="11" t="s">
        <v>2087</v>
      </c>
      <c r="F2637" t="s">
        <v>643</v>
      </c>
      <c r="G2637" t="s">
        <v>644</v>
      </c>
      <c r="H2637" s="10">
        <v>46157</v>
      </c>
      <c r="I2637">
        <v>15750.83</v>
      </c>
      <c r="J2637">
        <v>14960.69</v>
      </c>
      <c r="K2637">
        <v>790.13999999999942</v>
      </c>
    </row>
    <row r="2638" spans="2:11" x14ac:dyDescent="0.35">
      <c r="B2638">
        <v>1800000795</v>
      </c>
      <c r="C2638" s="10">
        <v>46112</v>
      </c>
      <c r="D2638" t="s">
        <v>2052</v>
      </c>
      <c r="E2638" s="11" t="s">
        <v>2088</v>
      </c>
      <c r="F2638" t="s">
        <v>875</v>
      </c>
      <c r="G2638" t="s">
        <v>876</v>
      </c>
      <c r="H2638" s="10">
        <v>46157</v>
      </c>
      <c r="I2638">
        <v>148049.64000000001</v>
      </c>
      <c r="J2638">
        <v>86154.42</v>
      </c>
      <c r="K2638">
        <v>61895.220000000016</v>
      </c>
    </row>
    <row r="2639" spans="2:11" x14ac:dyDescent="0.35">
      <c r="B2639">
        <v>1800000316</v>
      </c>
      <c r="C2639" s="10">
        <v>46112</v>
      </c>
      <c r="D2639" t="s">
        <v>2052</v>
      </c>
      <c r="E2639" s="11" t="s">
        <v>2089</v>
      </c>
      <c r="F2639" t="s">
        <v>885</v>
      </c>
      <c r="G2639" t="s">
        <v>886</v>
      </c>
      <c r="H2639" s="10">
        <v>46157</v>
      </c>
      <c r="I2639">
        <v>81633.17</v>
      </c>
      <c r="J2639">
        <v>78525.649999999994</v>
      </c>
      <c r="K2639">
        <v>3107.5200000000041</v>
      </c>
    </row>
    <row r="2640" spans="2:11" x14ac:dyDescent="0.35">
      <c r="B2640">
        <v>100001282</v>
      </c>
      <c r="C2640" s="10">
        <v>46112</v>
      </c>
      <c r="D2640" t="s">
        <v>2034</v>
      </c>
      <c r="E2640" s="11" t="s">
        <v>2090</v>
      </c>
      <c r="F2640" t="s">
        <v>1243</v>
      </c>
      <c r="G2640" t="s">
        <v>1244</v>
      </c>
      <c r="H2640" s="10">
        <v>46112</v>
      </c>
      <c r="I2640">
        <v>11786.68</v>
      </c>
      <c r="J2640">
        <v>0</v>
      </c>
      <c r="K2640">
        <v>11786.68</v>
      </c>
    </row>
    <row r="2641" spans="2:11" x14ac:dyDescent="0.35">
      <c r="B2641">
        <v>100001174</v>
      </c>
      <c r="C2641" s="10">
        <v>46112</v>
      </c>
      <c r="D2641" t="s">
        <v>2034</v>
      </c>
      <c r="E2641" s="11" t="s">
        <v>2091</v>
      </c>
      <c r="F2641" t="s">
        <v>1247</v>
      </c>
      <c r="G2641" t="s">
        <v>1248</v>
      </c>
      <c r="H2641" s="10">
        <v>46112</v>
      </c>
      <c r="I2641">
        <v>40788.69</v>
      </c>
      <c r="J2641">
        <v>0</v>
      </c>
      <c r="K2641">
        <v>40788.69</v>
      </c>
    </row>
    <row r="2642" spans="2:11" x14ac:dyDescent="0.35">
      <c r="B2642">
        <v>100001171</v>
      </c>
      <c r="C2642" s="10">
        <v>46112</v>
      </c>
      <c r="D2642" t="s">
        <v>2034</v>
      </c>
      <c r="E2642" s="11" t="s">
        <v>2092</v>
      </c>
      <c r="F2642" t="s">
        <v>1249</v>
      </c>
      <c r="G2642" t="s">
        <v>1250</v>
      </c>
      <c r="H2642" s="10">
        <v>46112</v>
      </c>
      <c r="I2642">
        <v>7385.19</v>
      </c>
      <c r="J2642">
        <v>0</v>
      </c>
      <c r="K2642">
        <v>7385.19</v>
      </c>
    </row>
    <row r="2643" spans="2:11" x14ac:dyDescent="0.35">
      <c r="B2643">
        <v>100001168</v>
      </c>
      <c r="C2643" s="10">
        <v>46112</v>
      </c>
      <c r="D2643" t="s">
        <v>2034</v>
      </c>
      <c r="E2643" s="11" t="s">
        <v>2093</v>
      </c>
      <c r="F2643" t="s">
        <v>1095</v>
      </c>
      <c r="G2643" t="s">
        <v>1096</v>
      </c>
      <c r="H2643" s="10">
        <v>46112</v>
      </c>
      <c r="I2643">
        <v>3310.25</v>
      </c>
      <c r="J2643">
        <v>0</v>
      </c>
      <c r="K2643">
        <v>3310.25</v>
      </c>
    </row>
    <row r="2644" spans="2:11" x14ac:dyDescent="0.35">
      <c r="B2644">
        <v>100001166</v>
      </c>
      <c r="C2644" s="10">
        <v>46112</v>
      </c>
      <c r="D2644" t="s">
        <v>2034</v>
      </c>
      <c r="E2644" s="11" t="s">
        <v>2094</v>
      </c>
      <c r="F2644" t="s">
        <v>1253</v>
      </c>
      <c r="G2644" t="s">
        <v>1254</v>
      </c>
      <c r="H2644" s="10">
        <v>46112</v>
      </c>
      <c r="I2644">
        <v>4329.7</v>
      </c>
      <c r="J2644">
        <v>0</v>
      </c>
      <c r="K2644">
        <v>4329.7</v>
      </c>
    </row>
    <row r="2645" spans="2:11" x14ac:dyDescent="0.35">
      <c r="B2645">
        <v>100001088</v>
      </c>
      <c r="C2645" s="10">
        <v>46112</v>
      </c>
      <c r="D2645" t="s">
        <v>2034</v>
      </c>
      <c r="E2645" s="11" t="s">
        <v>2095</v>
      </c>
      <c r="F2645" t="s">
        <v>1255</v>
      </c>
      <c r="G2645" t="s">
        <v>1256</v>
      </c>
      <c r="H2645" s="10">
        <v>46112</v>
      </c>
      <c r="I2645">
        <v>4350.6000000000004</v>
      </c>
      <c r="J2645">
        <v>0</v>
      </c>
      <c r="K2645">
        <v>4350.6000000000004</v>
      </c>
    </row>
    <row r="2646" spans="2:11" x14ac:dyDescent="0.35">
      <c r="B2646">
        <v>100001082</v>
      </c>
      <c r="C2646" s="10">
        <v>46112</v>
      </c>
      <c r="D2646" t="s">
        <v>2034</v>
      </c>
      <c r="E2646" s="11" t="s">
        <v>2096</v>
      </c>
      <c r="F2646" t="s">
        <v>1257</v>
      </c>
      <c r="G2646" t="s">
        <v>1258</v>
      </c>
      <c r="H2646" s="10">
        <v>46112</v>
      </c>
      <c r="I2646">
        <v>288.18</v>
      </c>
      <c r="J2646">
        <v>0</v>
      </c>
      <c r="K2646">
        <v>288.18</v>
      </c>
    </row>
    <row r="2647" spans="2:11" x14ac:dyDescent="0.35">
      <c r="B2647">
        <v>100001015</v>
      </c>
      <c r="C2647" s="10">
        <v>46112</v>
      </c>
      <c r="D2647" t="s">
        <v>2034</v>
      </c>
      <c r="E2647" s="11" t="s">
        <v>2097</v>
      </c>
      <c r="F2647" t="s">
        <v>1259</v>
      </c>
      <c r="G2647" t="s">
        <v>1260</v>
      </c>
      <c r="H2647" s="10">
        <v>46112</v>
      </c>
      <c r="I2647">
        <v>1173.79</v>
      </c>
      <c r="J2647">
        <v>1074.6400000000001</v>
      </c>
      <c r="K2647">
        <v>99.149999999999864</v>
      </c>
    </row>
    <row r="2648" spans="2:11" x14ac:dyDescent="0.35">
      <c r="B2648">
        <v>100001012</v>
      </c>
      <c r="C2648" s="10">
        <v>46112</v>
      </c>
      <c r="D2648" t="s">
        <v>2034</v>
      </c>
      <c r="E2648" s="11" t="s">
        <v>2098</v>
      </c>
      <c r="F2648" t="s">
        <v>723</v>
      </c>
      <c r="G2648" t="s">
        <v>724</v>
      </c>
      <c r="H2648" s="10">
        <v>46112</v>
      </c>
      <c r="I2648">
        <v>851.12</v>
      </c>
      <c r="J2648">
        <v>0</v>
      </c>
      <c r="K2648">
        <v>851.12</v>
      </c>
    </row>
    <row r="2649" spans="2:11" x14ac:dyDescent="0.35">
      <c r="B2649">
        <v>100001011</v>
      </c>
      <c r="C2649" s="10">
        <v>46112</v>
      </c>
      <c r="D2649" t="s">
        <v>2034</v>
      </c>
      <c r="E2649" s="11" t="s">
        <v>2099</v>
      </c>
      <c r="F2649" t="s">
        <v>1021</v>
      </c>
      <c r="G2649" t="s">
        <v>1022</v>
      </c>
      <c r="H2649" s="10">
        <v>46112</v>
      </c>
      <c r="I2649">
        <v>877.71</v>
      </c>
      <c r="J2649">
        <v>0</v>
      </c>
      <c r="K2649">
        <v>877.71</v>
      </c>
    </row>
    <row r="2650" spans="2:11" x14ac:dyDescent="0.35">
      <c r="B2650">
        <v>100001009</v>
      </c>
      <c r="C2650" s="10">
        <v>46112</v>
      </c>
      <c r="D2650" t="s">
        <v>2034</v>
      </c>
      <c r="E2650" s="11" t="s">
        <v>2100</v>
      </c>
      <c r="F2650" t="s">
        <v>1103</v>
      </c>
      <c r="G2650" t="s">
        <v>1104</v>
      </c>
      <c r="H2650" s="10">
        <v>46112</v>
      </c>
      <c r="I2650">
        <v>1756.49</v>
      </c>
      <c r="J2650">
        <v>0</v>
      </c>
      <c r="K2650">
        <v>1756.49</v>
      </c>
    </row>
    <row r="2651" spans="2:11" x14ac:dyDescent="0.35">
      <c r="B2651">
        <v>100000501</v>
      </c>
      <c r="C2651" s="10">
        <v>46112</v>
      </c>
      <c r="D2651" t="s">
        <v>2034</v>
      </c>
      <c r="E2651" s="11" t="s">
        <v>2101</v>
      </c>
      <c r="F2651" t="s">
        <v>1261</v>
      </c>
      <c r="G2651" t="s">
        <v>1262</v>
      </c>
      <c r="H2651" s="10">
        <v>46112</v>
      </c>
      <c r="I2651">
        <v>8475.17</v>
      </c>
      <c r="J2651">
        <v>0</v>
      </c>
      <c r="K2651">
        <v>8475.17</v>
      </c>
    </row>
    <row r="2652" spans="2:11" x14ac:dyDescent="0.35">
      <c r="B2652">
        <v>100000499</v>
      </c>
      <c r="C2652" s="10">
        <v>46112</v>
      </c>
      <c r="D2652" t="s">
        <v>2034</v>
      </c>
      <c r="E2652" s="11" t="s">
        <v>2102</v>
      </c>
      <c r="F2652" t="s">
        <v>1069</v>
      </c>
      <c r="G2652" t="s">
        <v>1070</v>
      </c>
      <c r="H2652" s="10">
        <v>46112</v>
      </c>
      <c r="I2652">
        <v>1044.49</v>
      </c>
      <c r="J2652">
        <v>0</v>
      </c>
      <c r="K2652">
        <v>1044.49</v>
      </c>
    </row>
    <row r="2653" spans="2:11" x14ac:dyDescent="0.35">
      <c r="B2653">
        <v>1800005434</v>
      </c>
      <c r="C2653" s="10">
        <v>46112</v>
      </c>
      <c r="D2653" t="s">
        <v>2052</v>
      </c>
      <c r="E2653" s="11" t="s">
        <v>2103</v>
      </c>
      <c r="F2653" t="s">
        <v>66</v>
      </c>
      <c r="G2653" t="s">
        <v>67</v>
      </c>
      <c r="H2653" s="10">
        <v>46156</v>
      </c>
      <c r="I2653">
        <v>15291.13</v>
      </c>
      <c r="J2653">
        <v>0</v>
      </c>
      <c r="K2653">
        <v>15291.13</v>
      </c>
    </row>
    <row r="2654" spans="2:11" x14ac:dyDescent="0.35">
      <c r="B2654">
        <v>1800005424</v>
      </c>
      <c r="C2654" s="10">
        <v>46112</v>
      </c>
      <c r="D2654" t="s">
        <v>2052</v>
      </c>
      <c r="E2654" s="11" t="s">
        <v>2104</v>
      </c>
      <c r="F2654" t="s">
        <v>64</v>
      </c>
      <c r="G2654" t="s">
        <v>65</v>
      </c>
      <c r="H2654" s="10">
        <v>46156</v>
      </c>
      <c r="I2654">
        <v>153802.32</v>
      </c>
      <c r="J2654">
        <v>35677.21</v>
      </c>
      <c r="K2654">
        <v>118125.11000000002</v>
      </c>
    </row>
    <row r="2655" spans="2:11" x14ac:dyDescent="0.35">
      <c r="B2655">
        <v>1800005001</v>
      </c>
      <c r="C2655" s="10">
        <v>46112</v>
      </c>
      <c r="D2655" t="s">
        <v>2052</v>
      </c>
      <c r="E2655" s="11" t="s">
        <v>2105</v>
      </c>
      <c r="F2655" t="s">
        <v>903</v>
      </c>
      <c r="G2655" t="s">
        <v>904</v>
      </c>
      <c r="H2655" s="10">
        <v>46156</v>
      </c>
      <c r="I2655">
        <v>187573.6</v>
      </c>
      <c r="J2655">
        <v>157452.56</v>
      </c>
      <c r="K2655">
        <v>30121.040000000008</v>
      </c>
    </row>
    <row r="2656" spans="2:11" x14ac:dyDescent="0.35">
      <c r="B2656">
        <v>1800004999</v>
      </c>
      <c r="C2656" s="10">
        <v>46112</v>
      </c>
      <c r="D2656" t="s">
        <v>2052</v>
      </c>
      <c r="E2656" s="11" t="s">
        <v>2041</v>
      </c>
      <c r="F2656" t="s">
        <v>345</v>
      </c>
      <c r="G2656" t="s">
        <v>346</v>
      </c>
      <c r="H2656" s="10">
        <v>46156</v>
      </c>
      <c r="I2656">
        <v>120412.99</v>
      </c>
      <c r="J2656">
        <v>30394.44</v>
      </c>
      <c r="K2656">
        <v>90018.55</v>
      </c>
    </row>
    <row r="2657" spans="2:11" x14ac:dyDescent="0.35">
      <c r="B2657">
        <v>1800004997</v>
      </c>
      <c r="C2657" s="10">
        <v>46112</v>
      </c>
      <c r="D2657" t="s">
        <v>2052</v>
      </c>
      <c r="E2657" s="11" t="s">
        <v>2106</v>
      </c>
      <c r="F2657" t="s">
        <v>495</v>
      </c>
      <c r="G2657" t="s">
        <v>496</v>
      </c>
      <c r="H2657" s="10">
        <v>46156</v>
      </c>
      <c r="I2657">
        <v>101312.64</v>
      </c>
      <c r="J2657">
        <v>55890.43</v>
      </c>
      <c r="K2657">
        <v>45422.21</v>
      </c>
    </row>
    <row r="2658" spans="2:11" x14ac:dyDescent="0.35">
      <c r="B2658">
        <v>1800004993</v>
      </c>
      <c r="C2658" s="10">
        <v>46112</v>
      </c>
      <c r="D2658" t="s">
        <v>2052</v>
      </c>
      <c r="E2658" s="11" t="s">
        <v>2107</v>
      </c>
      <c r="F2658" t="s">
        <v>815</v>
      </c>
      <c r="G2658" t="s">
        <v>816</v>
      </c>
      <c r="H2658" s="10">
        <v>46156</v>
      </c>
      <c r="I2658">
        <v>19906.72</v>
      </c>
      <c r="J2658">
        <v>19906.689999999999</v>
      </c>
      <c r="K2658">
        <v>3.0000000002473826E-2</v>
      </c>
    </row>
    <row r="2659" spans="2:11" x14ac:dyDescent="0.35">
      <c r="B2659">
        <v>1800004902</v>
      </c>
      <c r="C2659" s="10">
        <v>46112</v>
      </c>
      <c r="D2659" t="s">
        <v>2052</v>
      </c>
      <c r="E2659" s="11" t="s">
        <v>2108</v>
      </c>
      <c r="F2659" t="s">
        <v>253</v>
      </c>
      <c r="G2659" t="s">
        <v>254</v>
      </c>
      <c r="H2659" s="10">
        <v>46156</v>
      </c>
      <c r="I2659">
        <v>78679.12</v>
      </c>
      <c r="J2659">
        <v>0</v>
      </c>
      <c r="K2659">
        <v>78679.12</v>
      </c>
    </row>
    <row r="2660" spans="2:11" x14ac:dyDescent="0.35">
      <c r="B2660">
        <v>1800004140</v>
      </c>
      <c r="C2660" s="10">
        <v>46112</v>
      </c>
      <c r="D2660" t="s">
        <v>2052</v>
      </c>
      <c r="E2660" s="11" t="s">
        <v>2109</v>
      </c>
      <c r="F2660" t="s">
        <v>819</v>
      </c>
      <c r="G2660" t="s">
        <v>820</v>
      </c>
      <c r="H2660" s="10">
        <v>46156</v>
      </c>
      <c r="I2660">
        <v>39721.75</v>
      </c>
      <c r="J2660">
        <v>0</v>
      </c>
      <c r="K2660">
        <v>39721.75</v>
      </c>
    </row>
    <row r="2661" spans="2:11" x14ac:dyDescent="0.35">
      <c r="B2661">
        <v>1800002985</v>
      </c>
      <c r="C2661" s="10">
        <v>46112</v>
      </c>
      <c r="D2661" t="s">
        <v>2052</v>
      </c>
      <c r="E2661" s="11" t="s">
        <v>2110</v>
      </c>
      <c r="F2661" t="s">
        <v>324</v>
      </c>
      <c r="G2661" t="s">
        <v>325</v>
      </c>
      <c r="H2661" s="10">
        <v>46156</v>
      </c>
      <c r="I2661">
        <v>129342.87</v>
      </c>
      <c r="J2661">
        <v>111880.5</v>
      </c>
      <c r="K2661">
        <v>17462.369999999995</v>
      </c>
    </row>
    <row r="2662" spans="2:11" x14ac:dyDescent="0.35">
      <c r="B2662">
        <v>1800001464</v>
      </c>
      <c r="C2662" s="10">
        <v>46112</v>
      </c>
      <c r="D2662" t="s">
        <v>2052</v>
      </c>
      <c r="E2662" s="11" t="s">
        <v>2043</v>
      </c>
      <c r="F2662" t="s">
        <v>357</v>
      </c>
      <c r="G2662" t="s">
        <v>358</v>
      </c>
      <c r="H2662" s="10">
        <v>46156</v>
      </c>
      <c r="I2662">
        <v>193283.88</v>
      </c>
      <c r="J2662">
        <v>47934.89</v>
      </c>
      <c r="K2662">
        <v>145348.99</v>
      </c>
    </row>
    <row r="2663" spans="2:11" x14ac:dyDescent="0.35">
      <c r="B2663">
        <v>1800000982</v>
      </c>
      <c r="C2663" s="10">
        <v>46112</v>
      </c>
      <c r="D2663" t="s">
        <v>2052</v>
      </c>
      <c r="E2663" s="11" t="s">
        <v>2038</v>
      </c>
      <c r="F2663" t="s">
        <v>215</v>
      </c>
      <c r="G2663" t="s">
        <v>216</v>
      </c>
      <c r="H2663" s="10">
        <v>46156</v>
      </c>
      <c r="I2663">
        <v>317774</v>
      </c>
      <c r="J2663">
        <v>0</v>
      </c>
      <c r="K2663">
        <v>317774</v>
      </c>
    </row>
    <row r="2664" spans="2:11" x14ac:dyDescent="0.35">
      <c r="B2664">
        <v>1800000960</v>
      </c>
      <c r="C2664" s="10">
        <v>46112</v>
      </c>
      <c r="D2664" t="s">
        <v>2052</v>
      </c>
      <c r="E2664" s="11" t="s">
        <v>2040</v>
      </c>
      <c r="F2664" t="s">
        <v>302</v>
      </c>
      <c r="G2664" t="s">
        <v>303</v>
      </c>
      <c r="H2664" s="10">
        <v>46156</v>
      </c>
      <c r="I2664">
        <v>83442.92</v>
      </c>
      <c r="J2664">
        <v>0</v>
      </c>
      <c r="K2664">
        <v>83442.92</v>
      </c>
    </row>
    <row r="2665" spans="2:11" x14ac:dyDescent="0.35">
      <c r="B2665">
        <v>1800000957</v>
      </c>
      <c r="C2665" s="10">
        <v>46112</v>
      </c>
      <c r="D2665" t="s">
        <v>2052</v>
      </c>
      <c r="E2665" s="11" t="s">
        <v>2039</v>
      </c>
      <c r="F2665" t="s">
        <v>219</v>
      </c>
      <c r="G2665" t="s">
        <v>220</v>
      </c>
      <c r="H2665" s="10">
        <v>46156</v>
      </c>
      <c r="I2665">
        <v>119212.69</v>
      </c>
      <c r="J2665">
        <v>0</v>
      </c>
      <c r="K2665">
        <v>119212.69</v>
      </c>
    </row>
    <row r="2666" spans="2:11" x14ac:dyDescent="0.35">
      <c r="B2666">
        <v>1800000769</v>
      </c>
      <c r="C2666" s="10">
        <v>46112</v>
      </c>
      <c r="D2666" t="s">
        <v>2052</v>
      </c>
      <c r="E2666" s="11" t="s">
        <v>2111</v>
      </c>
      <c r="F2666" t="s">
        <v>1025</v>
      </c>
      <c r="G2666" t="s">
        <v>1026</v>
      </c>
      <c r="H2666" s="10">
        <v>46156</v>
      </c>
      <c r="I2666">
        <v>164407.85</v>
      </c>
      <c r="J2666">
        <v>132522.79</v>
      </c>
      <c r="K2666">
        <v>31885.059999999998</v>
      </c>
    </row>
    <row r="2667" spans="2:11" x14ac:dyDescent="0.35">
      <c r="B2667">
        <v>1800000279</v>
      </c>
      <c r="C2667" s="10">
        <v>46112</v>
      </c>
      <c r="D2667" t="s">
        <v>2052</v>
      </c>
      <c r="E2667" s="11" t="s">
        <v>2112</v>
      </c>
      <c r="F2667" t="s">
        <v>284</v>
      </c>
      <c r="G2667" t="s">
        <v>285</v>
      </c>
      <c r="H2667" s="10">
        <v>46156</v>
      </c>
      <c r="I2667">
        <v>312742.48</v>
      </c>
      <c r="J2667">
        <v>95686.58</v>
      </c>
      <c r="K2667">
        <v>217055.89999999997</v>
      </c>
    </row>
    <row r="2668" spans="2:11" x14ac:dyDescent="0.35">
      <c r="B2668">
        <v>9400000181</v>
      </c>
      <c r="C2668" s="10">
        <v>46112</v>
      </c>
      <c r="D2668" t="s">
        <v>2032</v>
      </c>
      <c r="E2668" s="11" t="s">
        <v>2113</v>
      </c>
      <c r="F2668" t="s">
        <v>1217</v>
      </c>
      <c r="G2668" t="s">
        <v>1218</v>
      </c>
      <c r="H2668" s="10">
        <v>46109</v>
      </c>
      <c r="I2668">
        <v>23.13</v>
      </c>
      <c r="J2668">
        <v>0</v>
      </c>
      <c r="K2668">
        <v>23.13</v>
      </c>
    </row>
    <row r="2669" spans="2:11" x14ac:dyDescent="0.35">
      <c r="B2669">
        <v>1800006217</v>
      </c>
      <c r="C2669" s="10">
        <v>46112</v>
      </c>
      <c r="D2669" t="s">
        <v>2052</v>
      </c>
      <c r="E2669" s="11" t="s">
        <v>2114</v>
      </c>
      <c r="F2669" t="s">
        <v>1263</v>
      </c>
      <c r="G2669" t="s">
        <v>1264</v>
      </c>
      <c r="H2669" s="10">
        <v>46154</v>
      </c>
      <c r="I2669">
        <v>20954.439999999999</v>
      </c>
      <c r="J2669">
        <v>20353.689999999999</v>
      </c>
      <c r="K2669">
        <v>600.75</v>
      </c>
    </row>
    <row r="2670" spans="2:11" x14ac:dyDescent="0.35">
      <c r="B2670">
        <v>1800004134</v>
      </c>
      <c r="C2670" s="10">
        <v>46112</v>
      </c>
      <c r="D2670" t="s">
        <v>2052</v>
      </c>
      <c r="E2670" s="11" t="s">
        <v>2115</v>
      </c>
      <c r="F2670" t="s">
        <v>819</v>
      </c>
      <c r="G2670" t="s">
        <v>820</v>
      </c>
      <c r="H2670" s="10">
        <v>46154</v>
      </c>
      <c r="I2670">
        <v>10572.8</v>
      </c>
      <c r="J2670">
        <v>0</v>
      </c>
      <c r="K2670">
        <v>10572.8</v>
      </c>
    </row>
    <row r="2671" spans="2:11" x14ac:dyDescent="0.35">
      <c r="B2671">
        <v>1800000950</v>
      </c>
      <c r="C2671" s="10">
        <v>46112</v>
      </c>
      <c r="D2671" t="s">
        <v>2052</v>
      </c>
      <c r="E2671" s="11" t="s">
        <v>2044</v>
      </c>
      <c r="F2671" t="s">
        <v>415</v>
      </c>
      <c r="G2671" t="s">
        <v>416</v>
      </c>
      <c r="H2671" s="10">
        <v>46154</v>
      </c>
      <c r="I2671">
        <v>24293.13</v>
      </c>
      <c r="J2671">
        <v>0</v>
      </c>
      <c r="K2671">
        <v>24293.13</v>
      </c>
    </row>
    <row r="2672" spans="2:11" x14ac:dyDescent="0.35">
      <c r="B2672">
        <v>1800000765</v>
      </c>
      <c r="C2672" s="10">
        <v>46112</v>
      </c>
      <c r="D2672" t="s">
        <v>2052</v>
      </c>
      <c r="E2672" s="11" t="s">
        <v>2116</v>
      </c>
      <c r="F2672" t="s">
        <v>785</v>
      </c>
      <c r="G2672" t="s">
        <v>786</v>
      </c>
      <c r="H2672" s="10">
        <v>46154</v>
      </c>
      <c r="I2672">
        <v>446240.67</v>
      </c>
      <c r="J2672">
        <v>446157.44</v>
      </c>
      <c r="K2672">
        <v>83.229999999981374</v>
      </c>
    </row>
    <row r="2673" spans="2:11" x14ac:dyDescent="0.35">
      <c r="B2673">
        <v>1800004868</v>
      </c>
      <c r="C2673" s="10">
        <v>46112</v>
      </c>
      <c r="D2673" t="s">
        <v>2052</v>
      </c>
      <c r="E2673" s="11" t="s">
        <v>2117</v>
      </c>
      <c r="F2673" t="s">
        <v>1267</v>
      </c>
      <c r="G2673" t="s">
        <v>1268</v>
      </c>
      <c r="H2673" s="10">
        <v>46153</v>
      </c>
      <c r="I2673">
        <v>27906.14</v>
      </c>
      <c r="J2673">
        <v>216.16</v>
      </c>
      <c r="K2673">
        <v>27689.98</v>
      </c>
    </row>
    <row r="2674" spans="2:11" x14ac:dyDescent="0.35">
      <c r="B2674">
        <v>1800002965</v>
      </c>
      <c r="C2674" s="10">
        <v>46112</v>
      </c>
      <c r="D2674" t="s">
        <v>2052</v>
      </c>
      <c r="E2674" s="11" t="s">
        <v>2118</v>
      </c>
      <c r="F2674" t="s">
        <v>891</v>
      </c>
      <c r="G2674" t="s">
        <v>892</v>
      </c>
      <c r="H2674" s="10">
        <v>46153</v>
      </c>
      <c r="I2674">
        <v>29024.46</v>
      </c>
      <c r="J2674">
        <v>28304.080000000002</v>
      </c>
      <c r="K2674">
        <v>720.37999999999738</v>
      </c>
    </row>
    <row r="2675" spans="2:11" x14ac:dyDescent="0.35">
      <c r="B2675">
        <v>1800001622</v>
      </c>
      <c r="C2675" s="10">
        <v>46112</v>
      </c>
      <c r="D2675" t="s">
        <v>2052</v>
      </c>
      <c r="E2675" s="11" t="s">
        <v>2119</v>
      </c>
      <c r="F2675" t="s">
        <v>1241</v>
      </c>
      <c r="G2675" t="s">
        <v>1242</v>
      </c>
      <c r="H2675" s="10">
        <v>46122</v>
      </c>
      <c r="I2675">
        <v>1227841.92</v>
      </c>
      <c r="J2675">
        <v>0</v>
      </c>
      <c r="K2675">
        <v>1227841.92</v>
      </c>
    </row>
    <row r="2676" spans="2:11" x14ac:dyDescent="0.35">
      <c r="B2676">
        <v>1800000942</v>
      </c>
      <c r="C2676" s="10">
        <v>46112</v>
      </c>
      <c r="D2676" t="s">
        <v>2052</v>
      </c>
      <c r="E2676" s="11" t="s">
        <v>2048</v>
      </c>
      <c r="F2676" t="s">
        <v>605</v>
      </c>
      <c r="G2676" t="s">
        <v>606</v>
      </c>
      <c r="H2676" s="10">
        <v>46152</v>
      </c>
      <c r="I2676">
        <v>32616.09</v>
      </c>
      <c r="J2676">
        <v>13950.93</v>
      </c>
      <c r="K2676">
        <v>18665.16</v>
      </c>
    </row>
    <row r="2677" spans="2:11" x14ac:dyDescent="0.35">
      <c r="B2677">
        <v>100001265</v>
      </c>
      <c r="C2677" s="10">
        <v>46112</v>
      </c>
      <c r="D2677" t="s">
        <v>2034</v>
      </c>
      <c r="E2677" s="11" t="s">
        <v>2120</v>
      </c>
      <c r="F2677" t="s">
        <v>1269</v>
      </c>
      <c r="G2677" t="s">
        <v>1270</v>
      </c>
      <c r="H2677" s="10">
        <v>46106</v>
      </c>
      <c r="I2677">
        <v>223.71</v>
      </c>
      <c r="J2677">
        <v>0</v>
      </c>
      <c r="K2677">
        <v>223.71</v>
      </c>
    </row>
    <row r="2678" spans="2:11" x14ac:dyDescent="0.35">
      <c r="B2678">
        <v>100001260</v>
      </c>
      <c r="C2678" s="10">
        <v>46112</v>
      </c>
      <c r="D2678" t="s">
        <v>2034</v>
      </c>
      <c r="E2678" s="11" t="s">
        <v>2121</v>
      </c>
      <c r="F2678" t="s">
        <v>1271</v>
      </c>
      <c r="G2678" t="s">
        <v>1272</v>
      </c>
      <c r="H2678" s="10">
        <v>46106</v>
      </c>
      <c r="I2678">
        <v>287.38</v>
      </c>
      <c r="J2678">
        <v>0</v>
      </c>
      <c r="K2678">
        <v>287.38</v>
      </c>
    </row>
    <row r="2679" spans="2:11" x14ac:dyDescent="0.35">
      <c r="B2679">
        <v>100001164</v>
      </c>
      <c r="C2679" s="10">
        <v>46112</v>
      </c>
      <c r="D2679" t="s">
        <v>2034</v>
      </c>
      <c r="E2679" s="11" t="s">
        <v>2122</v>
      </c>
      <c r="F2679" t="s">
        <v>1249</v>
      </c>
      <c r="G2679" t="s">
        <v>1250</v>
      </c>
      <c r="H2679" s="10">
        <v>46106</v>
      </c>
      <c r="I2679">
        <v>870.73</v>
      </c>
      <c r="J2679">
        <v>0</v>
      </c>
      <c r="K2679">
        <v>870.73</v>
      </c>
    </row>
    <row r="2680" spans="2:11" x14ac:dyDescent="0.35">
      <c r="B2680">
        <v>100001161</v>
      </c>
      <c r="C2680" s="10">
        <v>46112</v>
      </c>
      <c r="D2680" t="s">
        <v>2034</v>
      </c>
      <c r="E2680" s="11" t="s">
        <v>2123</v>
      </c>
      <c r="F2680" t="s">
        <v>1273</v>
      </c>
      <c r="G2680" t="s">
        <v>1274</v>
      </c>
      <c r="H2680" s="10">
        <v>46106</v>
      </c>
      <c r="I2680">
        <v>703.74</v>
      </c>
      <c r="J2680">
        <v>0</v>
      </c>
      <c r="K2680">
        <v>703.74</v>
      </c>
    </row>
    <row r="2681" spans="2:11" x14ac:dyDescent="0.35">
      <c r="B2681">
        <v>100001159</v>
      </c>
      <c r="C2681" s="10">
        <v>46112</v>
      </c>
      <c r="D2681" t="s">
        <v>2034</v>
      </c>
      <c r="E2681" s="11" t="s">
        <v>2124</v>
      </c>
      <c r="F2681" t="s">
        <v>1095</v>
      </c>
      <c r="G2681" t="s">
        <v>1096</v>
      </c>
      <c r="H2681" s="10">
        <v>46106</v>
      </c>
      <c r="I2681">
        <v>18577.2</v>
      </c>
      <c r="J2681">
        <v>0</v>
      </c>
      <c r="K2681">
        <v>18577.2</v>
      </c>
    </row>
    <row r="2682" spans="2:11" x14ac:dyDescent="0.35">
      <c r="B2682">
        <v>100001158</v>
      </c>
      <c r="C2682" s="10">
        <v>46112</v>
      </c>
      <c r="D2682" t="s">
        <v>2034</v>
      </c>
      <c r="E2682" s="11" t="s">
        <v>2125</v>
      </c>
      <c r="F2682" t="s">
        <v>1099</v>
      </c>
      <c r="G2682" t="s">
        <v>1100</v>
      </c>
      <c r="H2682" s="10">
        <v>46106</v>
      </c>
      <c r="I2682">
        <v>792.55</v>
      </c>
      <c r="J2682">
        <v>0</v>
      </c>
      <c r="K2682">
        <v>792.55</v>
      </c>
    </row>
    <row r="2683" spans="2:11" x14ac:dyDescent="0.35">
      <c r="B2683">
        <v>100001063</v>
      </c>
      <c r="C2683" s="10">
        <v>46112</v>
      </c>
      <c r="D2683" t="s">
        <v>2034</v>
      </c>
      <c r="E2683" s="11" t="s">
        <v>2126</v>
      </c>
      <c r="F2683" t="s">
        <v>1275</v>
      </c>
      <c r="G2683" t="s">
        <v>1276</v>
      </c>
      <c r="H2683" s="10">
        <v>46106</v>
      </c>
      <c r="I2683">
        <v>478.14</v>
      </c>
      <c r="J2683">
        <v>287.81</v>
      </c>
      <c r="K2683">
        <v>190.32999999999998</v>
      </c>
    </row>
    <row r="2684" spans="2:11" x14ac:dyDescent="0.35">
      <c r="B2684">
        <v>100001001</v>
      </c>
      <c r="C2684" s="10">
        <v>46112</v>
      </c>
      <c r="D2684" t="s">
        <v>2034</v>
      </c>
      <c r="E2684" s="11" t="s">
        <v>2127</v>
      </c>
      <c r="F2684" t="s">
        <v>723</v>
      </c>
      <c r="G2684" t="s">
        <v>724</v>
      </c>
      <c r="H2684" s="10">
        <v>46106</v>
      </c>
      <c r="I2684">
        <v>515.26</v>
      </c>
      <c r="J2684">
        <v>0</v>
      </c>
      <c r="K2684">
        <v>515.26</v>
      </c>
    </row>
    <row r="2685" spans="2:11" x14ac:dyDescent="0.35">
      <c r="B2685">
        <v>100000999</v>
      </c>
      <c r="C2685" s="10">
        <v>46112</v>
      </c>
      <c r="D2685" t="s">
        <v>2034</v>
      </c>
      <c r="E2685" s="11" t="s">
        <v>2128</v>
      </c>
      <c r="F2685" t="s">
        <v>1279</v>
      </c>
      <c r="G2685" t="s">
        <v>1280</v>
      </c>
      <c r="H2685" s="10">
        <v>46106</v>
      </c>
      <c r="I2685">
        <v>593.38</v>
      </c>
      <c r="J2685">
        <v>0</v>
      </c>
      <c r="K2685">
        <v>593.38</v>
      </c>
    </row>
    <row r="2686" spans="2:11" x14ac:dyDescent="0.35">
      <c r="B2686">
        <v>100000998</v>
      </c>
      <c r="C2686" s="10">
        <v>46112</v>
      </c>
      <c r="D2686" t="s">
        <v>2034</v>
      </c>
      <c r="E2686" s="11" t="s">
        <v>2129</v>
      </c>
      <c r="F2686" t="s">
        <v>1103</v>
      </c>
      <c r="G2686" t="s">
        <v>1104</v>
      </c>
      <c r="H2686" s="10">
        <v>46106</v>
      </c>
      <c r="I2686">
        <v>2826.62</v>
      </c>
      <c r="J2686">
        <v>0</v>
      </c>
      <c r="K2686">
        <v>2826.62</v>
      </c>
    </row>
    <row r="2687" spans="2:11" x14ac:dyDescent="0.35">
      <c r="B2687">
        <v>100000802</v>
      </c>
      <c r="C2687" s="10">
        <v>46112</v>
      </c>
      <c r="D2687" t="s">
        <v>2034</v>
      </c>
      <c r="E2687" s="11" t="s">
        <v>2130</v>
      </c>
      <c r="F2687" t="s">
        <v>1117</v>
      </c>
      <c r="G2687" t="s">
        <v>1118</v>
      </c>
      <c r="H2687" s="10">
        <v>46106</v>
      </c>
      <c r="I2687">
        <v>2989.64</v>
      </c>
      <c r="J2687">
        <v>0</v>
      </c>
      <c r="K2687">
        <v>2989.64</v>
      </c>
    </row>
    <row r="2688" spans="2:11" x14ac:dyDescent="0.35">
      <c r="B2688">
        <v>100000760</v>
      </c>
      <c r="C2688" s="10">
        <v>46112</v>
      </c>
      <c r="D2688" t="s">
        <v>2034</v>
      </c>
      <c r="E2688" s="11" t="s">
        <v>2131</v>
      </c>
      <c r="F2688" t="s">
        <v>1243</v>
      </c>
      <c r="G2688" t="s">
        <v>1244</v>
      </c>
      <c r="H2688" s="10">
        <v>46106</v>
      </c>
      <c r="I2688">
        <v>59</v>
      </c>
      <c r="J2688">
        <v>0</v>
      </c>
      <c r="K2688">
        <v>59</v>
      </c>
    </row>
    <row r="2689" spans="2:11" x14ac:dyDescent="0.35">
      <c r="B2689">
        <v>100000757</v>
      </c>
      <c r="C2689" s="10">
        <v>46112</v>
      </c>
      <c r="D2689" t="s">
        <v>2034</v>
      </c>
      <c r="E2689" s="11" t="s">
        <v>2131</v>
      </c>
      <c r="F2689" t="s">
        <v>1249</v>
      </c>
      <c r="G2689" t="s">
        <v>1250</v>
      </c>
      <c r="H2689" s="10">
        <v>46106</v>
      </c>
      <c r="I2689">
        <v>59</v>
      </c>
      <c r="J2689">
        <v>0</v>
      </c>
      <c r="K2689">
        <v>59</v>
      </c>
    </row>
    <row r="2690" spans="2:11" x14ac:dyDescent="0.35">
      <c r="B2690">
        <v>100000754</v>
      </c>
      <c r="C2690" s="10">
        <v>46112</v>
      </c>
      <c r="D2690" t="s">
        <v>2034</v>
      </c>
      <c r="E2690" s="11" t="s">
        <v>2131</v>
      </c>
      <c r="F2690" t="s">
        <v>1021</v>
      </c>
      <c r="G2690" t="s">
        <v>1022</v>
      </c>
      <c r="H2690" s="10">
        <v>46106</v>
      </c>
      <c r="I2690">
        <v>59</v>
      </c>
      <c r="J2690">
        <v>0</v>
      </c>
      <c r="K2690">
        <v>59</v>
      </c>
    </row>
    <row r="2691" spans="2:11" x14ac:dyDescent="0.35">
      <c r="B2691">
        <v>100000752</v>
      </c>
      <c r="C2691" s="10">
        <v>46112</v>
      </c>
      <c r="D2691" t="s">
        <v>2034</v>
      </c>
      <c r="E2691" s="11" t="s">
        <v>2131</v>
      </c>
      <c r="F2691" t="s">
        <v>1175</v>
      </c>
      <c r="G2691" t="s">
        <v>1176</v>
      </c>
      <c r="H2691" s="10">
        <v>46106</v>
      </c>
      <c r="I2691">
        <v>0.46</v>
      </c>
      <c r="J2691">
        <v>0</v>
      </c>
      <c r="K2691">
        <v>0.46</v>
      </c>
    </row>
    <row r="2692" spans="2:11" x14ac:dyDescent="0.35">
      <c r="B2692">
        <v>100000748</v>
      </c>
      <c r="C2692" s="10">
        <v>46112</v>
      </c>
      <c r="D2692" t="s">
        <v>2034</v>
      </c>
      <c r="E2692" s="11" t="s">
        <v>2131</v>
      </c>
      <c r="F2692" t="s">
        <v>1103</v>
      </c>
      <c r="G2692" t="s">
        <v>1104</v>
      </c>
      <c r="H2692" s="10">
        <v>46106</v>
      </c>
      <c r="I2692">
        <v>59</v>
      </c>
      <c r="J2692">
        <v>0</v>
      </c>
      <c r="K2692">
        <v>59</v>
      </c>
    </row>
    <row r="2693" spans="2:11" x14ac:dyDescent="0.35">
      <c r="B2693">
        <v>100000747</v>
      </c>
      <c r="C2693" s="10">
        <v>46112</v>
      </c>
      <c r="D2693" t="s">
        <v>2034</v>
      </c>
      <c r="E2693" s="11" t="s">
        <v>2131</v>
      </c>
      <c r="F2693" t="s">
        <v>1069</v>
      </c>
      <c r="G2693" t="s">
        <v>1070</v>
      </c>
      <c r="H2693" s="10">
        <v>46106</v>
      </c>
      <c r="I2693">
        <v>59</v>
      </c>
      <c r="J2693">
        <v>0</v>
      </c>
      <c r="K2693">
        <v>59</v>
      </c>
    </row>
    <row r="2694" spans="2:11" x14ac:dyDescent="0.35">
      <c r="B2694">
        <v>100000743</v>
      </c>
      <c r="C2694" s="10">
        <v>46112</v>
      </c>
      <c r="D2694" t="s">
        <v>2034</v>
      </c>
      <c r="E2694" s="11" t="s">
        <v>2131</v>
      </c>
      <c r="F2694" t="s">
        <v>1253</v>
      </c>
      <c r="G2694" t="s">
        <v>1254</v>
      </c>
      <c r="H2694" s="10">
        <v>46106</v>
      </c>
      <c r="I2694">
        <v>59</v>
      </c>
      <c r="J2694">
        <v>0</v>
      </c>
      <c r="K2694">
        <v>59</v>
      </c>
    </row>
    <row r="2695" spans="2:11" x14ac:dyDescent="0.35">
      <c r="B2695">
        <v>100000736</v>
      </c>
      <c r="C2695" s="10">
        <v>46112</v>
      </c>
      <c r="D2695" t="s">
        <v>2034</v>
      </c>
      <c r="E2695" s="11" t="s">
        <v>2132</v>
      </c>
      <c r="F2695" t="s">
        <v>723</v>
      </c>
      <c r="G2695" t="s">
        <v>724</v>
      </c>
      <c r="H2695" s="10">
        <v>46106</v>
      </c>
      <c r="I2695">
        <v>59</v>
      </c>
      <c r="J2695">
        <v>0</v>
      </c>
      <c r="K2695">
        <v>59</v>
      </c>
    </row>
    <row r="2696" spans="2:11" x14ac:dyDescent="0.35">
      <c r="B2696">
        <v>100000725</v>
      </c>
      <c r="C2696" s="10">
        <v>46112</v>
      </c>
      <c r="D2696" t="s">
        <v>2034</v>
      </c>
      <c r="E2696" s="11" t="s">
        <v>2133</v>
      </c>
      <c r="F2696" t="s">
        <v>1257</v>
      </c>
      <c r="G2696" t="s">
        <v>1258</v>
      </c>
      <c r="H2696" s="10">
        <v>46106</v>
      </c>
      <c r="I2696">
        <v>58.8</v>
      </c>
      <c r="J2696">
        <v>0</v>
      </c>
      <c r="K2696">
        <v>58.8</v>
      </c>
    </row>
    <row r="2697" spans="2:11" x14ac:dyDescent="0.35">
      <c r="B2697">
        <v>100000721</v>
      </c>
      <c r="C2697" s="10">
        <v>46112</v>
      </c>
      <c r="D2697" t="s">
        <v>2034</v>
      </c>
      <c r="E2697" s="11" t="s">
        <v>2133</v>
      </c>
      <c r="F2697" t="s">
        <v>1281</v>
      </c>
      <c r="G2697" t="s">
        <v>1282</v>
      </c>
      <c r="H2697" s="10">
        <v>46106</v>
      </c>
      <c r="I2697">
        <v>59</v>
      </c>
      <c r="J2697">
        <v>0</v>
      </c>
      <c r="K2697">
        <v>59</v>
      </c>
    </row>
    <row r="2698" spans="2:11" x14ac:dyDescent="0.35">
      <c r="B2698">
        <v>100000531</v>
      </c>
      <c r="C2698" s="10">
        <v>46112</v>
      </c>
      <c r="D2698" t="s">
        <v>2034</v>
      </c>
      <c r="E2698" s="11" t="s">
        <v>2134</v>
      </c>
      <c r="F2698" t="s">
        <v>1283</v>
      </c>
      <c r="G2698" t="s">
        <v>1284</v>
      </c>
      <c r="H2698" s="10">
        <v>46106</v>
      </c>
      <c r="I2698">
        <v>190.94</v>
      </c>
      <c r="J2698">
        <v>0</v>
      </c>
      <c r="K2698">
        <v>190.94</v>
      </c>
    </row>
    <row r="2699" spans="2:11" x14ac:dyDescent="0.35">
      <c r="B2699">
        <v>100000495</v>
      </c>
      <c r="C2699" s="10">
        <v>46112</v>
      </c>
      <c r="D2699" t="s">
        <v>2034</v>
      </c>
      <c r="E2699" s="11" t="s">
        <v>2135</v>
      </c>
      <c r="F2699" t="s">
        <v>1285</v>
      </c>
      <c r="G2699" t="s">
        <v>1286</v>
      </c>
      <c r="H2699" s="10">
        <v>46106</v>
      </c>
      <c r="I2699">
        <v>1030.8800000000001</v>
      </c>
      <c r="J2699">
        <v>0</v>
      </c>
      <c r="K2699">
        <v>1030.8800000000001</v>
      </c>
    </row>
    <row r="2700" spans="2:11" x14ac:dyDescent="0.35">
      <c r="B2700">
        <v>100000493</v>
      </c>
      <c r="C2700" s="10">
        <v>46112</v>
      </c>
      <c r="D2700" t="s">
        <v>2034</v>
      </c>
      <c r="E2700" s="11" t="s">
        <v>2136</v>
      </c>
      <c r="F2700" t="s">
        <v>1069</v>
      </c>
      <c r="G2700" t="s">
        <v>1070</v>
      </c>
      <c r="H2700" s="10">
        <v>46106</v>
      </c>
      <c r="I2700">
        <v>3300.51</v>
      </c>
      <c r="J2700">
        <v>0</v>
      </c>
      <c r="K2700">
        <v>3300.51</v>
      </c>
    </row>
    <row r="2701" spans="2:11" x14ac:dyDescent="0.35">
      <c r="B2701">
        <v>100000293</v>
      </c>
      <c r="C2701" s="10">
        <v>46112</v>
      </c>
      <c r="D2701" t="s">
        <v>2034</v>
      </c>
      <c r="E2701" s="11" t="s">
        <v>2137</v>
      </c>
      <c r="F2701" t="s">
        <v>1287</v>
      </c>
      <c r="G2701" t="s">
        <v>1288</v>
      </c>
      <c r="H2701" s="10">
        <v>46106</v>
      </c>
      <c r="I2701">
        <v>0.2</v>
      </c>
      <c r="J2701">
        <v>0</v>
      </c>
      <c r="K2701">
        <v>0.2</v>
      </c>
    </row>
    <row r="2702" spans="2:11" x14ac:dyDescent="0.35">
      <c r="B2702">
        <v>1800002943</v>
      </c>
      <c r="C2702" s="10">
        <v>46112</v>
      </c>
      <c r="D2702" t="s">
        <v>2052</v>
      </c>
      <c r="E2702" s="11" t="s">
        <v>2138</v>
      </c>
      <c r="F2702" t="s">
        <v>829</v>
      </c>
      <c r="G2702" t="s">
        <v>830</v>
      </c>
      <c r="H2702" s="10">
        <v>46150</v>
      </c>
      <c r="I2702">
        <v>43308.6</v>
      </c>
      <c r="J2702">
        <v>42860.49</v>
      </c>
      <c r="K2702">
        <v>448.11000000000058</v>
      </c>
    </row>
    <row r="2703" spans="2:11" x14ac:dyDescent="0.35">
      <c r="B2703">
        <v>1400004739</v>
      </c>
      <c r="C2703" s="10">
        <v>46112</v>
      </c>
      <c r="D2703" t="s">
        <v>2037</v>
      </c>
      <c r="E2703" s="11" t="s">
        <v>2139</v>
      </c>
      <c r="F2703" t="s">
        <v>1247</v>
      </c>
      <c r="G2703" t="s">
        <v>1248</v>
      </c>
      <c r="H2703" s="10">
        <v>46104</v>
      </c>
      <c r="I2703">
        <v>1359622.27</v>
      </c>
      <c r="J2703">
        <v>656713.76</v>
      </c>
      <c r="K2703">
        <v>702908.51</v>
      </c>
    </row>
    <row r="2704" spans="2:11" x14ac:dyDescent="0.35">
      <c r="B2704">
        <v>9400000311</v>
      </c>
      <c r="C2704" s="10">
        <v>46112</v>
      </c>
      <c r="D2704" t="s">
        <v>2032</v>
      </c>
      <c r="E2704" s="11" t="s">
        <v>2140</v>
      </c>
      <c r="F2704" t="s">
        <v>1289</v>
      </c>
      <c r="G2704" t="s">
        <v>1290</v>
      </c>
      <c r="H2704" s="10">
        <v>46101</v>
      </c>
      <c r="I2704">
        <v>207.95</v>
      </c>
      <c r="J2704">
        <v>0</v>
      </c>
      <c r="K2704">
        <v>207.95</v>
      </c>
    </row>
    <row r="2705" spans="2:11" x14ac:dyDescent="0.35">
      <c r="B2705">
        <v>100001287</v>
      </c>
      <c r="C2705" s="10">
        <v>46112</v>
      </c>
      <c r="D2705" t="s">
        <v>2034</v>
      </c>
      <c r="E2705" s="11" t="s">
        <v>2141</v>
      </c>
      <c r="F2705" t="s">
        <v>1291</v>
      </c>
      <c r="G2705" t="s">
        <v>1292</v>
      </c>
      <c r="H2705" s="10">
        <v>46101</v>
      </c>
      <c r="I2705">
        <v>403.84</v>
      </c>
      <c r="J2705">
        <v>0</v>
      </c>
      <c r="K2705">
        <v>403.84</v>
      </c>
    </row>
    <row r="2706" spans="2:11" x14ac:dyDescent="0.35">
      <c r="B2706">
        <v>100001245</v>
      </c>
      <c r="C2706" s="10">
        <v>46112</v>
      </c>
      <c r="D2706" t="s">
        <v>2034</v>
      </c>
      <c r="E2706" s="11" t="s">
        <v>2142</v>
      </c>
      <c r="F2706" t="s">
        <v>1269</v>
      </c>
      <c r="G2706" t="s">
        <v>1270</v>
      </c>
      <c r="H2706" s="10">
        <v>46101</v>
      </c>
      <c r="I2706">
        <v>254.86</v>
      </c>
      <c r="J2706">
        <v>0</v>
      </c>
      <c r="K2706">
        <v>254.86</v>
      </c>
    </row>
    <row r="2707" spans="2:11" x14ac:dyDescent="0.35">
      <c r="B2707">
        <v>100001240</v>
      </c>
      <c r="C2707" s="10">
        <v>46112</v>
      </c>
      <c r="D2707" t="s">
        <v>2034</v>
      </c>
      <c r="E2707" s="11" t="s">
        <v>2143</v>
      </c>
      <c r="F2707" t="s">
        <v>1271</v>
      </c>
      <c r="G2707" t="s">
        <v>1272</v>
      </c>
      <c r="H2707" s="10">
        <v>46101</v>
      </c>
      <c r="I2707">
        <v>8274.98</v>
      </c>
      <c r="J2707">
        <v>0</v>
      </c>
      <c r="K2707">
        <v>8274.98</v>
      </c>
    </row>
    <row r="2708" spans="2:11" x14ac:dyDescent="0.35">
      <c r="B2708">
        <v>100001156</v>
      </c>
      <c r="C2708" s="10">
        <v>46112</v>
      </c>
      <c r="D2708" t="s">
        <v>2034</v>
      </c>
      <c r="E2708" s="11" t="s">
        <v>2144</v>
      </c>
      <c r="F2708" t="s">
        <v>1293</v>
      </c>
      <c r="G2708" t="s">
        <v>1294</v>
      </c>
      <c r="H2708" s="10">
        <v>46101</v>
      </c>
      <c r="I2708">
        <v>2072.7600000000002</v>
      </c>
      <c r="J2708">
        <v>0</v>
      </c>
      <c r="K2708">
        <v>2072.7600000000002</v>
      </c>
    </row>
    <row r="2709" spans="2:11" x14ac:dyDescent="0.35">
      <c r="B2709">
        <v>100001155</v>
      </c>
      <c r="C2709" s="10">
        <v>46112</v>
      </c>
      <c r="D2709" t="s">
        <v>2034</v>
      </c>
      <c r="E2709" s="11" t="s">
        <v>2145</v>
      </c>
      <c r="F2709" t="s">
        <v>1273</v>
      </c>
      <c r="G2709" t="s">
        <v>1274</v>
      </c>
      <c r="H2709" s="10">
        <v>46101</v>
      </c>
      <c r="I2709">
        <v>462.9</v>
      </c>
      <c r="J2709">
        <v>0</v>
      </c>
      <c r="K2709">
        <v>462.9</v>
      </c>
    </row>
    <row r="2710" spans="2:11" x14ac:dyDescent="0.35">
      <c r="B2710">
        <v>100001152</v>
      </c>
      <c r="C2710" s="10">
        <v>46112</v>
      </c>
      <c r="D2710" t="s">
        <v>2034</v>
      </c>
      <c r="E2710" s="11" t="s">
        <v>2146</v>
      </c>
      <c r="F2710" t="s">
        <v>1095</v>
      </c>
      <c r="G2710" t="s">
        <v>1096</v>
      </c>
      <c r="H2710" s="10">
        <v>46101</v>
      </c>
      <c r="I2710">
        <v>609.74</v>
      </c>
      <c r="J2710">
        <v>0</v>
      </c>
      <c r="K2710">
        <v>609.74</v>
      </c>
    </row>
    <row r="2711" spans="2:11" x14ac:dyDescent="0.35">
      <c r="B2711">
        <v>100001151</v>
      </c>
      <c r="C2711" s="10">
        <v>46112</v>
      </c>
      <c r="D2711" t="s">
        <v>2034</v>
      </c>
      <c r="E2711" s="11" t="s">
        <v>2147</v>
      </c>
      <c r="F2711" t="s">
        <v>1099</v>
      </c>
      <c r="G2711" t="s">
        <v>1100</v>
      </c>
      <c r="H2711" s="10">
        <v>46101</v>
      </c>
      <c r="I2711">
        <v>15686.33</v>
      </c>
      <c r="J2711">
        <v>2215.5500000000002</v>
      </c>
      <c r="K2711">
        <v>13470.779999999999</v>
      </c>
    </row>
    <row r="2712" spans="2:11" x14ac:dyDescent="0.35">
      <c r="B2712">
        <v>100000994</v>
      </c>
      <c r="C2712" s="10">
        <v>46112</v>
      </c>
      <c r="D2712" t="s">
        <v>2034</v>
      </c>
      <c r="E2712" s="11" t="s">
        <v>2148</v>
      </c>
      <c r="F2712" t="s">
        <v>1295</v>
      </c>
      <c r="G2712" t="s">
        <v>1296</v>
      </c>
      <c r="H2712" s="10">
        <v>46101</v>
      </c>
      <c r="I2712">
        <v>17218.22</v>
      </c>
      <c r="J2712">
        <v>0</v>
      </c>
      <c r="K2712">
        <v>17218.22</v>
      </c>
    </row>
    <row r="2713" spans="2:11" x14ac:dyDescent="0.35">
      <c r="B2713">
        <v>100000993</v>
      </c>
      <c r="C2713" s="10">
        <v>46112</v>
      </c>
      <c r="D2713" t="s">
        <v>2034</v>
      </c>
      <c r="E2713" s="11" t="s">
        <v>2149</v>
      </c>
      <c r="F2713" t="s">
        <v>1297</v>
      </c>
      <c r="G2713" t="s">
        <v>1298</v>
      </c>
      <c r="H2713" s="10">
        <v>46101</v>
      </c>
      <c r="I2713">
        <v>4624.22</v>
      </c>
      <c r="J2713">
        <v>4415.55</v>
      </c>
      <c r="K2713">
        <v>208.67000000000007</v>
      </c>
    </row>
    <row r="2714" spans="2:11" x14ac:dyDescent="0.35">
      <c r="B2714">
        <v>100000991</v>
      </c>
      <c r="C2714" s="10">
        <v>46112</v>
      </c>
      <c r="D2714" t="s">
        <v>2034</v>
      </c>
      <c r="E2714" s="11" t="s">
        <v>2150</v>
      </c>
      <c r="F2714" t="s">
        <v>1299</v>
      </c>
      <c r="G2714" t="s">
        <v>1300</v>
      </c>
      <c r="H2714" s="10">
        <v>46101</v>
      </c>
      <c r="I2714">
        <v>445.16</v>
      </c>
      <c r="J2714">
        <v>0</v>
      </c>
      <c r="K2714">
        <v>445.16</v>
      </c>
    </row>
    <row r="2715" spans="2:11" x14ac:dyDescent="0.35">
      <c r="B2715">
        <v>100000989</v>
      </c>
      <c r="C2715" s="10">
        <v>46112</v>
      </c>
      <c r="D2715" t="s">
        <v>2034</v>
      </c>
      <c r="E2715" s="11" t="s">
        <v>2151</v>
      </c>
      <c r="F2715" t="s">
        <v>1301</v>
      </c>
      <c r="G2715" t="s">
        <v>1302</v>
      </c>
      <c r="H2715" s="10">
        <v>46101</v>
      </c>
      <c r="I2715">
        <v>1698.99</v>
      </c>
      <c r="J2715">
        <v>0</v>
      </c>
      <c r="K2715">
        <v>1698.99</v>
      </c>
    </row>
    <row r="2716" spans="2:11" x14ac:dyDescent="0.35">
      <c r="B2716">
        <v>100000983</v>
      </c>
      <c r="C2716" s="10">
        <v>46112</v>
      </c>
      <c r="D2716" t="s">
        <v>2034</v>
      </c>
      <c r="E2716" s="11" t="s">
        <v>2152</v>
      </c>
      <c r="F2716" t="s">
        <v>1303</v>
      </c>
      <c r="G2716" t="s">
        <v>1304</v>
      </c>
      <c r="H2716" s="10">
        <v>46101</v>
      </c>
      <c r="I2716">
        <v>3583.97</v>
      </c>
      <c r="J2716">
        <v>0</v>
      </c>
      <c r="K2716">
        <v>3583.97</v>
      </c>
    </row>
    <row r="2717" spans="2:11" x14ac:dyDescent="0.35">
      <c r="B2717">
        <v>100000982</v>
      </c>
      <c r="C2717" s="10">
        <v>46112</v>
      </c>
      <c r="D2717" t="s">
        <v>2034</v>
      </c>
      <c r="E2717" s="11" t="s">
        <v>2153</v>
      </c>
      <c r="F2717" t="s">
        <v>1305</v>
      </c>
      <c r="G2717" t="s">
        <v>1306</v>
      </c>
      <c r="H2717" s="10">
        <v>46101</v>
      </c>
      <c r="I2717">
        <v>3664.17</v>
      </c>
      <c r="J2717">
        <v>0</v>
      </c>
      <c r="K2717">
        <v>3664.17</v>
      </c>
    </row>
    <row r="2718" spans="2:11" x14ac:dyDescent="0.35">
      <c r="B2718">
        <v>100000979</v>
      </c>
      <c r="C2718" s="10">
        <v>46112</v>
      </c>
      <c r="D2718" t="s">
        <v>2034</v>
      </c>
      <c r="E2718" s="11" t="s">
        <v>2154</v>
      </c>
      <c r="F2718" t="s">
        <v>1103</v>
      </c>
      <c r="G2718" t="s">
        <v>1104</v>
      </c>
      <c r="H2718" s="10">
        <v>46101</v>
      </c>
      <c r="I2718">
        <v>525.25</v>
      </c>
      <c r="J2718">
        <v>0</v>
      </c>
      <c r="K2718">
        <v>525.25</v>
      </c>
    </row>
    <row r="2719" spans="2:11" x14ac:dyDescent="0.35">
      <c r="B2719">
        <v>100000976</v>
      </c>
      <c r="C2719" s="10">
        <v>46112</v>
      </c>
      <c r="D2719" t="s">
        <v>2034</v>
      </c>
      <c r="E2719" s="11" t="s">
        <v>2155</v>
      </c>
      <c r="F2719" t="s">
        <v>1307</v>
      </c>
      <c r="G2719" t="s">
        <v>1308</v>
      </c>
      <c r="H2719" s="10">
        <v>46101</v>
      </c>
      <c r="I2719">
        <v>576.78</v>
      </c>
      <c r="J2719">
        <v>0</v>
      </c>
      <c r="K2719">
        <v>576.78</v>
      </c>
    </row>
    <row r="2720" spans="2:11" x14ac:dyDescent="0.35">
      <c r="B2720">
        <v>100000974</v>
      </c>
      <c r="C2720" s="10">
        <v>46112</v>
      </c>
      <c r="D2720" t="s">
        <v>2034</v>
      </c>
      <c r="E2720" s="11" t="s">
        <v>2156</v>
      </c>
      <c r="F2720" t="s">
        <v>1309</v>
      </c>
      <c r="G2720" t="s">
        <v>1310</v>
      </c>
      <c r="H2720" s="10">
        <v>46101</v>
      </c>
      <c r="I2720">
        <v>497.02</v>
      </c>
      <c r="J2720">
        <v>0</v>
      </c>
      <c r="K2720">
        <v>497.02</v>
      </c>
    </row>
    <row r="2721" spans="2:11" x14ac:dyDescent="0.35">
      <c r="B2721">
        <v>100000922</v>
      </c>
      <c r="C2721" s="10">
        <v>46112</v>
      </c>
      <c r="D2721" t="s">
        <v>2034</v>
      </c>
      <c r="E2721" s="11" t="s">
        <v>2157</v>
      </c>
      <c r="F2721" t="s">
        <v>1311</v>
      </c>
      <c r="G2721" t="s">
        <v>1312</v>
      </c>
      <c r="H2721" s="10">
        <v>46101</v>
      </c>
      <c r="I2721">
        <v>9022.7099999999991</v>
      </c>
      <c r="J2721">
        <v>0</v>
      </c>
      <c r="K2721">
        <v>9022.7099999999991</v>
      </c>
    </row>
    <row r="2722" spans="2:11" x14ac:dyDescent="0.35">
      <c r="B2722">
        <v>100000712</v>
      </c>
      <c r="C2722" s="10">
        <v>46112</v>
      </c>
      <c r="D2722" t="s">
        <v>2034</v>
      </c>
      <c r="E2722" s="11" t="s">
        <v>2158</v>
      </c>
      <c r="F2722" t="s">
        <v>1255</v>
      </c>
      <c r="G2722" t="s">
        <v>1256</v>
      </c>
      <c r="H2722" s="10">
        <v>46101</v>
      </c>
      <c r="I2722">
        <v>145815.13</v>
      </c>
      <c r="J2722">
        <v>0</v>
      </c>
      <c r="K2722">
        <v>145815.13</v>
      </c>
    </row>
    <row r="2723" spans="2:11" x14ac:dyDescent="0.35">
      <c r="B2723">
        <v>100000709</v>
      </c>
      <c r="C2723" s="10">
        <v>46112</v>
      </c>
      <c r="D2723" t="s">
        <v>2034</v>
      </c>
      <c r="E2723" s="11" t="s">
        <v>2159</v>
      </c>
      <c r="F2723" t="s">
        <v>1021</v>
      </c>
      <c r="G2723" t="s">
        <v>1022</v>
      </c>
      <c r="H2723" s="10">
        <v>46101</v>
      </c>
      <c r="I2723">
        <v>29334.68</v>
      </c>
      <c r="J2723">
        <v>29071.85</v>
      </c>
      <c r="K2723">
        <v>262.83000000000175</v>
      </c>
    </row>
    <row r="2724" spans="2:11" x14ac:dyDescent="0.35">
      <c r="B2724">
        <v>100000704</v>
      </c>
      <c r="C2724" s="10">
        <v>46112</v>
      </c>
      <c r="D2724" t="s">
        <v>2034</v>
      </c>
      <c r="E2724" s="11" t="s">
        <v>2159</v>
      </c>
      <c r="F2724" t="s">
        <v>1103</v>
      </c>
      <c r="G2724" t="s">
        <v>1104</v>
      </c>
      <c r="H2724" s="10">
        <v>46101</v>
      </c>
      <c r="I2724">
        <v>58550</v>
      </c>
      <c r="J2724">
        <v>0</v>
      </c>
      <c r="K2724">
        <v>58550</v>
      </c>
    </row>
    <row r="2725" spans="2:11" x14ac:dyDescent="0.35">
      <c r="B2725">
        <v>100000703</v>
      </c>
      <c r="C2725" s="10">
        <v>46112</v>
      </c>
      <c r="D2725" t="s">
        <v>2034</v>
      </c>
      <c r="E2725" s="11" t="s">
        <v>2159</v>
      </c>
      <c r="F2725" t="s">
        <v>1069</v>
      </c>
      <c r="G2725" t="s">
        <v>1070</v>
      </c>
      <c r="H2725" s="10">
        <v>46101</v>
      </c>
      <c r="I2725">
        <v>34816</v>
      </c>
      <c r="J2725">
        <v>14092.78</v>
      </c>
      <c r="K2725">
        <v>20723.22</v>
      </c>
    </row>
    <row r="2726" spans="2:11" x14ac:dyDescent="0.35">
      <c r="B2726">
        <v>100000489</v>
      </c>
      <c r="C2726" s="10">
        <v>46112</v>
      </c>
      <c r="D2726" t="s">
        <v>2034</v>
      </c>
      <c r="E2726" s="11" t="s">
        <v>2160</v>
      </c>
      <c r="F2726" t="s">
        <v>1313</v>
      </c>
      <c r="G2726" t="s">
        <v>1314</v>
      </c>
      <c r="H2726" s="10">
        <v>46101</v>
      </c>
      <c r="I2726">
        <v>2637.92</v>
      </c>
      <c r="J2726">
        <v>0</v>
      </c>
      <c r="K2726">
        <v>2637.92</v>
      </c>
    </row>
    <row r="2727" spans="2:11" x14ac:dyDescent="0.35">
      <c r="B2727">
        <v>100000487</v>
      </c>
      <c r="C2727" s="10">
        <v>46112</v>
      </c>
      <c r="D2727" t="s">
        <v>2034</v>
      </c>
      <c r="E2727" s="11" t="s">
        <v>2161</v>
      </c>
      <c r="F2727" t="s">
        <v>1315</v>
      </c>
      <c r="G2727" t="s">
        <v>1316</v>
      </c>
      <c r="H2727" s="10">
        <v>46101</v>
      </c>
      <c r="I2727">
        <v>11168.76</v>
      </c>
      <c r="J2727">
        <v>0</v>
      </c>
      <c r="K2727">
        <v>11168.76</v>
      </c>
    </row>
    <row r="2728" spans="2:11" x14ac:dyDescent="0.35">
      <c r="B2728">
        <v>1400004734</v>
      </c>
      <c r="C2728" s="10">
        <v>46112</v>
      </c>
      <c r="D2728" t="s">
        <v>2037</v>
      </c>
      <c r="E2728" s="11" t="s">
        <v>2162</v>
      </c>
      <c r="F2728" t="s">
        <v>1095</v>
      </c>
      <c r="G2728" t="s">
        <v>1096</v>
      </c>
      <c r="H2728" s="10">
        <v>46100</v>
      </c>
      <c r="I2728">
        <v>110344</v>
      </c>
      <c r="J2728">
        <v>0</v>
      </c>
      <c r="K2728">
        <v>110344</v>
      </c>
    </row>
    <row r="2729" spans="2:11" x14ac:dyDescent="0.35">
      <c r="B2729">
        <v>100000695</v>
      </c>
      <c r="C2729" s="10">
        <v>46112</v>
      </c>
      <c r="D2729" t="s">
        <v>2034</v>
      </c>
      <c r="E2729" s="11" t="s">
        <v>2163</v>
      </c>
      <c r="F2729" t="s">
        <v>1249</v>
      </c>
      <c r="G2729" t="s">
        <v>1250</v>
      </c>
      <c r="H2729" s="10">
        <v>46100</v>
      </c>
      <c r="I2729">
        <v>246173</v>
      </c>
      <c r="J2729">
        <v>0</v>
      </c>
      <c r="K2729">
        <v>246173</v>
      </c>
    </row>
    <row r="2730" spans="2:11" x14ac:dyDescent="0.35">
      <c r="B2730">
        <v>100000694</v>
      </c>
      <c r="C2730" s="10">
        <v>46112</v>
      </c>
      <c r="D2730" t="s">
        <v>2034</v>
      </c>
      <c r="E2730" s="11" t="s">
        <v>2163</v>
      </c>
      <c r="F2730" t="s">
        <v>1253</v>
      </c>
      <c r="G2730" t="s">
        <v>1254</v>
      </c>
      <c r="H2730" s="10">
        <v>46100</v>
      </c>
      <c r="I2730">
        <v>718234.15</v>
      </c>
      <c r="J2730">
        <v>248440.69</v>
      </c>
      <c r="K2730">
        <v>469793.46</v>
      </c>
    </row>
    <row r="2731" spans="2:11" x14ac:dyDescent="0.35">
      <c r="B2731">
        <v>9400000594</v>
      </c>
      <c r="C2731" s="10">
        <v>46112</v>
      </c>
      <c r="D2731" t="s">
        <v>2032</v>
      </c>
      <c r="E2731" s="11" t="s">
        <v>2164</v>
      </c>
      <c r="F2731" t="s">
        <v>1317</v>
      </c>
      <c r="G2731" t="s">
        <v>1318</v>
      </c>
      <c r="H2731" s="10">
        <v>46099</v>
      </c>
      <c r="I2731">
        <v>7.0000000000000007E-2</v>
      </c>
      <c r="J2731">
        <v>0</v>
      </c>
      <c r="K2731">
        <v>7.0000000000000007E-2</v>
      </c>
    </row>
    <row r="2732" spans="2:11" x14ac:dyDescent="0.35">
      <c r="B2732">
        <v>100000686</v>
      </c>
      <c r="C2732" s="10">
        <v>46112</v>
      </c>
      <c r="D2732" t="s">
        <v>2034</v>
      </c>
      <c r="E2732" s="11" t="s">
        <v>2165</v>
      </c>
      <c r="F2732" t="s">
        <v>723</v>
      </c>
      <c r="G2732" t="s">
        <v>724</v>
      </c>
      <c r="H2732" s="10">
        <v>46098</v>
      </c>
      <c r="I2732">
        <v>28371</v>
      </c>
      <c r="J2732">
        <v>27634.16</v>
      </c>
      <c r="K2732">
        <v>736.84000000000015</v>
      </c>
    </row>
    <row r="2733" spans="2:11" x14ac:dyDescent="0.35">
      <c r="B2733">
        <v>1800002905</v>
      </c>
      <c r="C2733" s="10">
        <v>46112</v>
      </c>
      <c r="D2733" t="s">
        <v>2052</v>
      </c>
      <c r="E2733" s="11" t="s">
        <v>2047</v>
      </c>
      <c r="F2733" t="s">
        <v>603</v>
      </c>
      <c r="G2733" t="s">
        <v>604</v>
      </c>
      <c r="H2733" s="10">
        <v>46142</v>
      </c>
      <c r="I2733">
        <v>83398.149999999994</v>
      </c>
      <c r="J2733">
        <v>82910.86</v>
      </c>
      <c r="K2733">
        <v>487.2899999999936</v>
      </c>
    </row>
    <row r="2734" spans="2:11" x14ac:dyDescent="0.35">
      <c r="B2734">
        <v>100001225</v>
      </c>
      <c r="C2734" s="10">
        <v>46112</v>
      </c>
      <c r="D2734" t="s">
        <v>2034</v>
      </c>
      <c r="E2734" s="11" t="s">
        <v>2166</v>
      </c>
      <c r="F2734" t="s">
        <v>1319</v>
      </c>
      <c r="G2734" t="s">
        <v>1320</v>
      </c>
      <c r="H2734" s="10">
        <v>46096</v>
      </c>
      <c r="I2734">
        <v>2217.9699999999998</v>
      </c>
      <c r="J2734">
        <v>0</v>
      </c>
      <c r="K2734">
        <v>2217.9699999999998</v>
      </c>
    </row>
    <row r="2735" spans="2:11" x14ac:dyDescent="0.35">
      <c r="B2735">
        <v>100001220</v>
      </c>
      <c r="C2735" s="10">
        <v>46112</v>
      </c>
      <c r="D2735" t="s">
        <v>2034</v>
      </c>
      <c r="E2735" s="11" t="s">
        <v>2167</v>
      </c>
      <c r="F2735" t="s">
        <v>1269</v>
      </c>
      <c r="G2735" t="s">
        <v>1270</v>
      </c>
      <c r="H2735" s="10">
        <v>46096</v>
      </c>
      <c r="I2735">
        <v>383.11</v>
      </c>
      <c r="J2735">
        <v>0</v>
      </c>
      <c r="K2735">
        <v>383.11</v>
      </c>
    </row>
    <row r="2736" spans="2:11" x14ac:dyDescent="0.35">
      <c r="B2736">
        <v>100001218</v>
      </c>
      <c r="C2736" s="10">
        <v>46112</v>
      </c>
      <c r="D2736" t="s">
        <v>2034</v>
      </c>
      <c r="E2736" s="11" t="s">
        <v>2168</v>
      </c>
      <c r="F2736" t="s">
        <v>1321</v>
      </c>
      <c r="G2736" t="s">
        <v>1322</v>
      </c>
      <c r="H2736" s="10">
        <v>46096</v>
      </c>
      <c r="I2736">
        <v>3686.87</v>
      </c>
      <c r="J2736">
        <v>0</v>
      </c>
      <c r="K2736">
        <v>3686.87</v>
      </c>
    </row>
    <row r="2737" spans="2:11" x14ac:dyDescent="0.35">
      <c r="B2737">
        <v>100001215</v>
      </c>
      <c r="C2737" s="10">
        <v>46112</v>
      </c>
      <c r="D2737" t="s">
        <v>2034</v>
      </c>
      <c r="E2737" s="11" t="s">
        <v>2169</v>
      </c>
      <c r="F2737" t="s">
        <v>1323</v>
      </c>
      <c r="G2737" t="s">
        <v>1324</v>
      </c>
      <c r="H2737" s="10">
        <v>46096</v>
      </c>
      <c r="I2737">
        <v>1831.33</v>
      </c>
      <c r="J2737">
        <v>0</v>
      </c>
      <c r="K2737">
        <v>1831.33</v>
      </c>
    </row>
    <row r="2738" spans="2:11" x14ac:dyDescent="0.35">
      <c r="B2738">
        <v>100001145</v>
      </c>
      <c r="C2738" s="10">
        <v>46112</v>
      </c>
      <c r="D2738" t="s">
        <v>2034</v>
      </c>
      <c r="E2738" s="11" t="s">
        <v>2170</v>
      </c>
      <c r="F2738" t="s">
        <v>1095</v>
      </c>
      <c r="G2738" t="s">
        <v>1096</v>
      </c>
      <c r="H2738" s="10">
        <v>46096</v>
      </c>
      <c r="I2738">
        <v>299.26</v>
      </c>
      <c r="J2738">
        <v>0</v>
      </c>
      <c r="K2738">
        <v>299.26</v>
      </c>
    </row>
    <row r="2739" spans="2:11" x14ac:dyDescent="0.35">
      <c r="B2739">
        <v>100001144</v>
      </c>
      <c r="C2739" s="10">
        <v>46112</v>
      </c>
      <c r="D2739" t="s">
        <v>2034</v>
      </c>
      <c r="E2739" s="11" t="s">
        <v>2171</v>
      </c>
      <c r="F2739" t="s">
        <v>1089</v>
      </c>
      <c r="G2739" t="s">
        <v>1090</v>
      </c>
      <c r="H2739" s="10">
        <v>46096</v>
      </c>
      <c r="I2739">
        <v>433.11</v>
      </c>
      <c r="J2739">
        <v>0</v>
      </c>
      <c r="K2739">
        <v>433.11</v>
      </c>
    </row>
    <row r="2740" spans="2:11" x14ac:dyDescent="0.35">
      <c r="B2740">
        <v>100001110</v>
      </c>
      <c r="C2740" s="10">
        <v>46112</v>
      </c>
      <c r="D2740" t="s">
        <v>2034</v>
      </c>
      <c r="E2740" s="11" t="s">
        <v>2172</v>
      </c>
      <c r="F2740" t="s">
        <v>1325</v>
      </c>
      <c r="G2740" t="s">
        <v>1326</v>
      </c>
      <c r="H2740" s="10">
        <v>46096</v>
      </c>
      <c r="I2740">
        <v>2044.13</v>
      </c>
      <c r="J2740">
        <v>0</v>
      </c>
      <c r="K2740">
        <v>2044.13</v>
      </c>
    </row>
    <row r="2741" spans="2:11" x14ac:dyDescent="0.35">
      <c r="B2741">
        <v>100001108</v>
      </c>
      <c r="C2741" s="10">
        <v>46112</v>
      </c>
      <c r="D2741" t="s">
        <v>2034</v>
      </c>
      <c r="E2741" s="11" t="s">
        <v>2173</v>
      </c>
      <c r="F2741" t="s">
        <v>1327</v>
      </c>
      <c r="G2741" t="s">
        <v>1328</v>
      </c>
      <c r="H2741" s="10">
        <v>46096</v>
      </c>
      <c r="I2741">
        <v>765.34</v>
      </c>
      <c r="J2741">
        <v>0</v>
      </c>
      <c r="K2741">
        <v>765.34</v>
      </c>
    </row>
    <row r="2742" spans="2:11" x14ac:dyDescent="0.35">
      <c r="B2742">
        <v>100001045</v>
      </c>
      <c r="C2742" s="10">
        <v>46112</v>
      </c>
      <c r="D2742" t="s">
        <v>2034</v>
      </c>
      <c r="E2742" s="11" t="s">
        <v>2174</v>
      </c>
      <c r="F2742" t="s">
        <v>1329</v>
      </c>
      <c r="G2742" t="s">
        <v>1330</v>
      </c>
      <c r="H2742" s="10">
        <v>46096</v>
      </c>
      <c r="I2742">
        <v>5584.69</v>
      </c>
      <c r="J2742">
        <v>0</v>
      </c>
      <c r="K2742">
        <v>5584.69</v>
      </c>
    </row>
    <row r="2743" spans="2:11" x14ac:dyDescent="0.35">
      <c r="B2743">
        <v>100001042</v>
      </c>
      <c r="C2743" s="10">
        <v>46112</v>
      </c>
      <c r="D2743" t="s">
        <v>2034</v>
      </c>
      <c r="E2743" s="11" t="s">
        <v>2175</v>
      </c>
      <c r="F2743" t="s">
        <v>1331</v>
      </c>
      <c r="G2743" t="s">
        <v>1332</v>
      </c>
      <c r="H2743" s="10">
        <v>46096</v>
      </c>
      <c r="I2743">
        <v>86.11</v>
      </c>
      <c r="J2743">
        <v>0.08</v>
      </c>
      <c r="K2743">
        <v>86.03</v>
      </c>
    </row>
    <row r="2744" spans="2:11" x14ac:dyDescent="0.35">
      <c r="B2744">
        <v>100000973</v>
      </c>
      <c r="C2744" s="10">
        <v>46112</v>
      </c>
      <c r="D2744" t="s">
        <v>2034</v>
      </c>
      <c r="E2744" s="11" t="s">
        <v>2176</v>
      </c>
      <c r="F2744" t="s">
        <v>1295</v>
      </c>
      <c r="G2744" t="s">
        <v>1296</v>
      </c>
      <c r="H2744" s="10">
        <v>46096</v>
      </c>
      <c r="I2744">
        <v>723.98</v>
      </c>
      <c r="J2744">
        <v>0</v>
      </c>
      <c r="K2744">
        <v>723.98</v>
      </c>
    </row>
    <row r="2745" spans="2:11" x14ac:dyDescent="0.35">
      <c r="B2745">
        <v>100000964</v>
      </c>
      <c r="C2745" s="10">
        <v>46112</v>
      </c>
      <c r="D2745" t="s">
        <v>2034</v>
      </c>
      <c r="E2745" s="11" t="s">
        <v>2177</v>
      </c>
      <c r="F2745" t="s">
        <v>1303</v>
      </c>
      <c r="G2745" t="s">
        <v>1304</v>
      </c>
      <c r="H2745" s="10">
        <v>46096</v>
      </c>
      <c r="I2745">
        <v>2281.3200000000002</v>
      </c>
      <c r="J2745">
        <v>0</v>
      </c>
      <c r="K2745">
        <v>2281.3200000000002</v>
      </c>
    </row>
    <row r="2746" spans="2:11" x14ac:dyDescent="0.35">
      <c r="B2746">
        <v>100000963</v>
      </c>
      <c r="C2746" s="10">
        <v>46112</v>
      </c>
      <c r="D2746" t="s">
        <v>2034</v>
      </c>
      <c r="E2746" s="11" t="s">
        <v>2178</v>
      </c>
      <c r="F2746" t="s">
        <v>1333</v>
      </c>
      <c r="G2746" t="s">
        <v>1334</v>
      </c>
      <c r="H2746" s="10">
        <v>46096</v>
      </c>
      <c r="I2746">
        <v>1511.42</v>
      </c>
      <c r="J2746">
        <v>0</v>
      </c>
      <c r="K2746">
        <v>1511.42</v>
      </c>
    </row>
    <row r="2747" spans="2:11" x14ac:dyDescent="0.35">
      <c r="B2747">
        <v>100000955</v>
      </c>
      <c r="C2747" s="10">
        <v>46112</v>
      </c>
      <c r="D2747" t="s">
        <v>2034</v>
      </c>
      <c r="E2747" s="11" t="s">
        <v>2179</v>
      </c>
      <c r="F2747" t="s">
        <v>1307</v>
      </c>
      <c r="G2747" t="s">
        <v>1308</v>
      </c>
      <c r="H2747" s="10">
        <v>46096</v>
      </c>
      <c r="I2747">
        <v>1859.51</v>
      </c>
      <c r="J2747">
        <v>175.85</v>
      </c>
      <c r="K2747">
        <v>1683.66</v>
      </c>
    </row>
    <row r="2748" spans="2:11" x14ac:dyDescent="0.35">
      <c r="B2748">
        <v>100000954</v>
      </c>
      <c r="C2748" s="10">
        <v>46112</v>
      </c>
      <c r="D2748" t="s">
        <v>2034</v>
      </c>
      <c r="E2748" s="11" t="s">
        <v>2180</v>
      </c>
      <c r="F2748" t="s">
        <v>1281</v>
      </c>
      <c r="G2748" t="s">
        <v>1282</v>
      </c>
      <c r="H2748" s="10">
        <v>46096</v>
      </c>
      <c r="I2748">
        <v>125.03</v>
      </c>
      <c r="J2748">
        <v>0</v>
      </c>
      <c r="K2748">
        <v>125.03</v>
      </c>
    </row>
    <row r="2749" spans="2:11" x14ac:dyDescent="0.35">
      <c r="B2749">
        <v>100000953</v>
      </c>
      <c r="C2749" s="10">
        <v>46112</v>
      </c>
      <c r="D2749" t="s">
        <v>2034</v>
      </c>
      <c r="E2749" s="11" t="s">
        <v>2181</v>
      </c>
      <c r="F2749" t="s">
        <v>1309</v>
      </c>
      <c r="G2749" t="s">
        <v>1310</v>
      </c>
      <c r="H2749" s="10">
        <v>46096</v>
      </c>
      <c r="I2749">
        <v>496.22</v>
      </c>
      <c r="J2749">
        <v>0.12</v>
      </c>
      <c r="K2749">
        <v>496.1</v>
      </c>
    </row>
    <row r="2750" spans="2:11" x14ac:dyDescent="0.35">
      <c r="B2750">
        <v>100000917</v>
      </c>
      <c r="C2750" s="10">
        <v>46112</v>
      </c>
      <c r="D2750" t="s">
        <v>2034</v>
      </c>
      <c r="E2750" s="11" t="s">
        <v>2182</v>
      </c>
      <c r="F2750" t="s">
        <v>1311</v>
      </c>
      <c r="G2750" t="s">
        <v>1312</v>
      </c>
      <c r="H2750" s="10">
        <v>46096</v>
      </c>
      <c r="I2750">
        <v>2017.34</v>
      </c>
      <c r="J2750">
        <v>0</v>
      </c>
      <c r="K2750">
        <v>2017.34</v>
      </c>
    </row>
    <row r="2751" spans="2:11" x14ac:dyDescent="0.35">
      <c r="B2751">
        <v>100000869</v>
      </c>
      <c r="C2751" s="10">
        <v>46112</v>
      </c>
      <c r="D2751" t="s">
        <v>2034</v>
      </c>
      <c r="E2751" s="11" t="s">
        <v>2183</v>
      </c>
      <c r="F2751" t="s">
        <v>1335</v>
      </c>
      <c r="G2751" t="s">
        <v>1336</v>
      </c>
      <c r="H2751" s="10">
        <v>46096</v>
      </c>
      <c r="I2751">
        <v>2974.65</v>
      </c>
      <c r="J2751">
        <v>0</v>
      </c>
      <c r="K2751">
        <v>2974.65</v>
      </c>
    </row>
    <row r="2752" spans="2:11" x14ac:dyDescent="0.35">
      <c r="B2752">
        <v>100000868</v>
      </c>
      <c r="C2752" s="10">
        <v>46112</v>
      </c>
      <c r="D2752" t="s">
        <v>2034</v>
      </c>
      <c r="E2752" s="11" t="s">
        <v>2184</v>
      </c>
      <c r="F2752" t="s">
        <v>1337</v>
      </c>
      <c r="G2752" t="s">
        <v>1338</v>
      </c>
      <c r="H2752" s="10">
        <v>46096</v>
      </c>
      <c r="I2752">
        <v>8384.32</v>
      </c>
      <c r="J2752">
        <v>0</v>
      </c>
      <c r="K2752">
        <v>8384.32</v>
      </c>
    </row>
    <row r="2753" spans="2:11" x14ac:dyDescent="0.35">
      <c r="B2753">
        <v>100000863</v>
      </c>
      <c r="C2753" s="10">
        <v>46112</v>
      </c>
      <c r="D2753" t="s">
        <v>2034</v>
      </c>
      <c r="E2753" s="11" t="s">
        <v>2185</v>
      </c>
      <c r="F2753" t="s">
        <v>1339</v>
      </c>
      <c r="G2753" t="s">
        <v>1340</v>
      </c>
      <c r="H2753" s="10">
        <v>46096</v>
      </c>
      <c r="I2753">
        <v>2744.42</v>
      </c>
      <c r="J2753">
        <v>39.04</v>
      </c>
      <c r="K2753">
        <v>2705.38</v>
      </c>
    </row>
    <row r="2754" spans="2:11" x14ac:dyDescent="0.35">
      <c r="B2754">
        <v>100000827</v>
      </c>
      <c r="C2754" s="10">
        <v>46112</v>
      </c>
      <c r="D2754" t="s">
        <v>2034</v>
      </c>
      <c r="E2754" s="11" t="s">
        <v>2186</v>
      </c>
      <c r="F2754" t="s">
        <v>1341</v>
      </c>
      <c r="G2754" t="s">
        <v>1342</v>
      </c>
      <c r="H2754" s="10">
        <v>46096</v>
      </c>
      <c r="I2754">
        <v>281.3</v>
      </c>
      <c r="J2754">
        <v>0</v>
      </c>
      <c r="K2754">
        <v>281.3</v>
      </c>
    </row>
    <row r="2755" spans="2:11" x14ac:dyDescent="0.35">
      <c r="B2755">
        <v>100000826</v>
      </c>
      <c r="C2755" s="10">
        <v>46112</v>
      </c>
      <c r="D2755" t="s">
        <v>2034</v>
      </c>
      <c r="E2755" s="11" t="s">
        <v>2187</v>
      </c>
      <c r="F2755" t="s">
        <v>1343</v>
      </c>
      <c r="G2755" t="s">
        <v>1344</v>
      </c>
      <c r="H2755" s="10">
        <v>46096</v>
      </c>
      <c r="I2755">
        <v>3456.74</v>
      </c>
      <c r="J2755">
        <v>0</v>
      </c>
      <c r="K2755">
        <v>3456.74</v>
      </c>
    </row>
    <row r="2756" spans="2:11" x14ac:dyDescent="0.35">
      <c r="B2756">
        <v>100000484</v>
      </c>
      <c r="C2756" s="10">
        <v>46112</v>
      </c>
      <c r="D2756" t="s">
        <v>2034</v>
      </c>
      <c r="E2756" s="11" t="s">
        <v>2188</v>
      </c>
      <c r="F2756" t="s">
        <v>1313</v>
      </c>
      <c r="G2756" t="s">
        <v>1314</v>
      </c>
      <c r="H2756" s="10">
        <v>46096</v>
      </c>
      <c r="I2756">
        <v>6228.05</v>
      </c>
      <c r="J2756">
        <v>0</v>
      </c>
      <c r="K2756">
        <v>6228.05</v>
      </c>
    </row>
    <row r="2757" spans="2:11" x14ac:dyDescent="0.35">
      <c r="B2757">
        <v>100000482</v>
      </c>
      <c r="C2757" s="10">
        <v>46112</v>
      </c>
      <c r="D2757" t="s">
        <v>2034</v>
      </c>
      <c r="E2757" s="11" t="s">
        <v>2189</v>
      </c>
      <c r="F2757" t="s">
        <v>1051</v>
      </c>
      <c r="G2757" t="s">
        <v>1052</v>
      </c>
      <c r="H2757" s="10">
        <v>46096</v>
      </c>
      <c r="I2757">
        <v>2507.36</v>
      </c>
      <c r="J2757">
        <v>1364.17</v>
      </c>
      <c r="K2757">
        <v>1143.19</v>
      </c>
    </row>
    <row r="2758" spans="2:11" x14ac:dyDescent="0.35">
      <c r="B2758">
        <v>1800001606</v>
      </c>
      <c r="C2758" s="10">
        <v>46112</v>
      </c>
      <c r="D2758" t="s">
        <v>2052</v>
      </c>
      <c r="E2758" s="11" t="s">
        <v>2190</v>
      </c>
      <c r="F2758" t="s">
        <v>925</v>
      </c>
      <c r="G2758" t="s">
        <v>926</v>
      </c>
      <c r="H2758" s="10">
        <v>46140</v>
      </c>
      <c r="I2758">
        <v>97858.82</v>
      </c>
      <c r="J2758">
        <v>0</v>
      </c>
      <c r="K2758">
        <v>97858.82</v>
      </c>
    </row>
    <row r="2759" spans="2:11" x14ac:dyDescent="0.35">
      <c r="B2759">
        <v>1800000739</v>
      </c>
      <c r="C2759" s="10">
        <v>46112</v>
      </c>
      <c r="D2759" t="s">
        <v>2052</v>
      </c>
      <c r="E2759" s="11" t="s">
        <v>2191</v>
      </c>
      <c r="F2759" t="s">
        <v>101</v>
      </c>
      <c r="G2759" t="s">
        <v>102</v>
      </c>
      <c r="H2759" s="10">
        <v>46140</v>
      </c>
      <c r="I2759">
        <v>158752</v>
      </c>
      <c r="J2759">
        <v>139822.24</v>
      </c>
      <c r="K2759">
        <v>18929.760000000009</v>
      </c>
    </row>
    <row r="2760" spans="2:11" x14ac:dyDescent="0.35">
      <c r="B2760">
        <v>1800002873</v>
      </c>
      <c r="C2760" s="10">
        <v>46112</v>
      </c>
      <c r="D2760" t="s">
        <v>2052</v>
      </c>
      <c r="E2760" s="11" t="s">
        <v>2192</v>
      </c>
      <c r="F2760" t="s">
        <v>1165</v>
      </c>
      <c r="G2760" t="s">
        <v>1166</v>
      </c>
      <c r="H2760" s="10">
        <v>46136</v>
      </c>
      <c r="I2760">
        <v>607119.43999999994</v>
      </c>
      <c r="J2760">
        <v>602048.30000000005</v>
      </c>
      <c r="K2760">
        <v>5071.1399999998976</v>
      </c>
    </row>
    <row r="2761" spans="2:11" x14ac:dyDescent="0.35">
      <c r="B2761">
        <v>100001208</v>
      </c>
      <c r="C2761" s="10">
        <v>46112</v>
      </c>
      <c r="D2761" t="s">
        <v>2034</v>
      </c>
      <c r="E2761" s="11" t="s">
        <v>2193</v>
      </c>
      <c r="F2761" t="s">
        <v>1319</v>
      </c>
      <c r="G2761" t="s">
        <v>1320</v>
      </c>
      <c r="H2761" s="10">
        <v>46089</v>
      </c>
      <c r="I2761">
        <v>5425.62</v>
      </c>
      <c r="J2761">
        <v>0</v>
      </c>
      <c r="K2761">
        <v>5425.62</v>
      </c>
    </row>
    <row r="2762" spans="2:11" x14ac:dyDescent="0.35">
      <c r="B2762">
        <v>100001202</v>
      </c>
      <c r="C2762" s="10">
        <v>46112</v>
      </c>
      <c r="D2762" t="s">
        <v>2034</v>
      </c>
      <c r="E2762" s="11" t="s">
        <v>2194</v>
      </c>
      <c r="F2762" t="s">
        <v>1321</v>
      </c>
      <c r="G2762" t="s">
        <v>1322</v>
      </c>
      <c r="H2762" s="10">
        <v>46089</v>
      </c>
      <c r="I2762">
        <v>13061.24</v>
      </c>
      <c r="J2762">
        <v>0</v>
      </c>
      <c r="K2762">
        <v>13061.24</v>
      </c>
    </row>
    <row r="2763" spans="2:11" x14ac:dyDescent="0.35">
      <c r="B2763">
        <v>100001198</v>
      </c>
      <c r="C2763" s="10">
        <v>46112</v>
      </c>
      <c r="D2763" t="s">
        <v>2034</v>
      </c>
      <c r="E2763" s="11" t="s">
        <v>2195</v>
      </c>
      <c r="F2763" t="s">
        <v>1345</v>
      </c>
      <c r="G2763" t="s">
        <v>1346</v>
      </c>
      <c r="H2763" s="10">
        <v>46089</v>
      </c>
      <c r="I2763">
        <v>5145.62</v>
      </c>
      <c r="J2763">
        <v>0</v>
      </c>
      <c r="K2763">
        <v>5145.62</v>
      </c>
    </row>
    <row r="2764" spans="2:11" x14ac:dyDescent="0.35">
      <c r="B2764">
        <v>100001195</v>
      </c>
      <c r="C2764" s="10">
        <v>46112</v>
      </c>
      <c r="D2764" t="s">
        <v>2034</v>
      </c>
      <c r="E2764" s="11" t="s">
        <v>2196</v>
      </c>
      <c r="F2764" t="s">
        <v>1347</v>
      </c>
      <c r="G2764" t="s">
        <v>1348</v>
      </c>
      <c r="H2764" s="10">
        <v>46089</v>
      </c>
      <c r="I2764">
        <v>791.67</v>
      </c>
      <c r="J2764">
        <v>191.29</v>
      </c>
      <c r="K2764">
        <v>600.38</v>
      </c>
    </row>
    <row r="2765" spans="2:11" x14ac:dyDescent="0.35">
      <c r="B2765">
        <v>100001102</v>
      </c>
      <c r="C2765" s="10">
        <v>46112</v>
      </c>
      <c r="D2765" t="s">
        <v>2034</v>
      </c>
      <c r="E2765" s="11" t="s">
        <v>2197</v>
      </c>
      <c r="F2765" t="s">
        <v>1175</v>
      </c>
      <c r="G2765" t="s">
        <v>1176</v>
      </c>
      <c r="H2765" s="10">
        <v>46089</v>
      </c>
      <c r="I2765">
        <v>739.89</v>
      </c>
      <c r="J2765">
        <v>0</v>
      </c>
      <c r="K2765">
        <v>739.89</v>
      </c>
    </row>
    <row r="2766" spans="2:11" x14ac:dyDescent="0.35">
      <c r="B2766">
        <v>100001040</v>
      </c>
      <c r="C2766" s="10">
        <v>46112</v>
      </c>
      <c r="D2766" t="s">
        <v>2034</v>
      </c>
      <c r="E2766" s="11" t="s">
        <v>2198</v>
      </c>
      <c r="F2766" t="s">
        <v>1135</v>
      </c>
      <c r="G2766" t="s">
        <v>1136</v>
      </c>
      <c r="H2766" s="10">
        <v>46089</v>
      </c>
      <c r="I2766">
        <v>133.52000000000001</v>
      </c>
      <c r="J2766">
        <v>0</v>
      </c>
      <c r="K2766">
        <v>133.52000000000001</v>
      </c>
    </row>
    <row r="2767" spans="2:11" x14ac:dyDescent="0.35">
      <c r="B2767">
        <v>100001036</v>
      </c>
      <c r="C2767" s="10">
        <v>46112</v>
      </c>
      <c r="D2767" t="s">
        <v>2034</v>
      </c>
      <c r="E2767" s="11" t="s">
        <v>2199</v>
      </c>
      <c r="F2767" t="s">
        <v>1329</v>
      </c>
      <c r="G2767" t="s">
        <v>1330</v>
      </c>
      <c r="H2767" s="10">
        <v>46089</v>
      </c>
      <c r="I2767">
        <v>8453.0499999999993</v>
      </c>
      <c r="J2767">
        <v>0</v>
      </c>
      <c r="K2767">
        <v>8453.0499999999993</v>
      </c>
    </row>
    <row r="2768" spans="2:11" x14ac:dyDescent="0.35">
      <c r="B2768">
        <v>100001030</v>
      </c>
      <c r="C2768" s="10">
        <v>46112</v>
      </c>
      <c r="D2768" t="s">
        <v>2034</v>
      </c>
      <c r="E2768" s="11" t="s">
        <v>2200</v>
      </c>
      <c r="F2768" t="s">
        <v>1349</v>
      </c>
      <c r="G2768" t="s">
        <v>1350</v>
      </c>
      <c r="H2768" s="10">
        <v>46089</v>
      </c>
      <c r="I2768">
        <v>419.26</v>
      </c>
      <c r="J2768">
        <v>0</v>
      </c>
      <c r="K2768">
        <v>419.26</v>
      </c>
    </row>
    <row r="2769" spans="2:11" x14ac:dyDescent="0.35">
      <c r="B2769">
        <v>100001029</v>
      </c>
      <c r="C2769" s="10">
        <v>46112</v>
      </c>
      <c r="D2769" t="s">
        <v>2034</v>
      </c>
      <c r="E2769" s="11" t="s">
        <v>2201</v>
      </c>
      <c r="F2769" t="s">
        <v>1351</v>
      </c>
      <c r="G2769" t="s">
        <v>1352</v>
      </c>
      <c r="H2769" s="10">
        <v>46089</v>
      </c>
      <c r="I2769">
        <v>1536.53</v>
      </c>
      <c r="J2769">
        <v>814.52</v>
      </c>
      <c r="K2769">
        <v>722.01</v>
      </c>
    </row>
    <row r="2770" spans="2:11" x14ac:dyDescent="0.35">
      <c r="B2770">
        <v>100000951</v>
      </c>
      <c r="C2770" s="10">
        <v>46112</v>
      </c>
      <c r="D2770" t="s">
        <v>2034</v>
      </c>
      <c r="E2770" s="11" t="s">
        <v>2202</v>
      </c>
      <c r="F2770" t="s">
        <v>1353</v>
      </c>
      <c r="G2770" t="s">
        <v>1354</v>
      </c>
      <c r="H2770" s="10">
        <v>46089</v>
      </c>
      <c r="I2770">
        <v>1373.1</v>
      </c>
      <c r="J2770">
        <v>0</v>
      </c>
      <c r="K2770">
        <v>1373.1</v>
      </c>
    </row>
    <row r="2771" spans="2:11" x14ac:dyDescent="0.35">
      <c r="B2771">
        <v>100000950</v>
      </c>
      <c r="C2771" s="10">
        <v>46112</v>
      </c>
      <c r="D2771" t="s">
        <v>2034</v>
      </c>
      <c r="E2771" s="11" t="s">
        <v>2203</v>
      </c>
      <c r="F2771" t="s">
        <v>1355</v>
      </c>
      <c r="G2771" t="s">
        <v>1356</v>
      </c>
      <c r="H2771" s="10">
        <v>46089</v>
      </c>
      <c r="I2771">
        <v>5043.55</v>
      </c>
      <c r="J2771">
        <v>0</v>
      </c>
      <c r="K2771">
        <v>5043.55</v>
      </c>
    </row>
    <row r="2772" spans="2:11" x14ac:dyDescent="0.35">
      <c r="B2772">
        <v>100000945</v>
      </c>
      <c r="C2772" s="10">
        <v>46112</v>
      </c>
      <c r="D2772" t="s">
        <v>2034</v>
      </c>
      <c r="E2772" s="11" t="s">
        <v>2204</v>
      </c>
      <c r="F2772" t="s">
        <v>1357</v>
      </c>
      <c r="G2772" t="s">
        <v>1358</v>
      </c>
      <c r="H2772" s="10">
        <v>46089</v>
      </c>
      <c r="I2772">
        <v>68.239999999999995</v>
      </c>
      <c r="J2772">
        <v>0</v>
      </c>
      <c r="K2772">
        <v>68.239999999999995</v>
      </c>
    </row>
    <row r="2773" spans="2:11" x14ac:dyDescent="0.35">
      <c r="B2773">
        <v>100000912</v>
      </c>
      <c r="C2773" s="10">
        <v>46112</v>
      </c>
      <c r="D2773" t="s">
        <v>2034</v>
      </c>
      <c r="E2773" s="11" t="s">
        <v>2205</v>
      </c>
      <c r="F2773" t="s">
        <v>1359</v>
      </c>
      <c r="G2773" t="s">
        <v>1360</v>
      </c>
      <c r="H2773" s="10">
        <v>46089</v>
      </c>
      <c r="I2773">
        <v>18479.07</v>
      </c>
      <c r="J2773">
        <v>0</v>
      </c>
      <c r="K2773">
        <v>18479.07</v>
      </c>
    </row>
    <row r="2774" spans="2:11" x14ac:dyDescent="0.35">
      <c r="B2774">
        <v>100000911</v>
      </c>
      <c r="C2774" s="10">
        <v>46112</v>
      </c>
      <c r="D2774" t="s">
        <v>2034</v>
      </c>
      <c r="E2774" s="11" t="s">
        <v>2206</v>
      </c>
      <c r="F2774" t="s">
        <v>1361</v>
      </c>
      <c r="G2774" t="s">
        <v>1362</v>
      </c>
      <c r="H2774" s="10">
        <v>46089</v>
      </c>
      <c r="I2774">
        <v>2648.14</v>
      </c>
      <c r="J2774">
        <v>0</v>
      </c>
      <c r="K2774">
        <v>2648.14</v>
      </c>
    </row>
    <row r="2775" spans="2:11" x14ac:dyDescent="0.35">
      <c r="B2775">
        <v>100000909</v>
      </c>
      <c r="C2775" s="10">
        <v>46112</v>
      </c>
      <c r="D2775" t="s">
        <v>2034</v>
      </c>
      <c r="E2775" s="11" t="s">
        <v>2207</v>
      </c>
      <c r="F2775" t="s">
        <v>1363</v>
      </c>
      <c r="G2775" t="s">
        <v>1364</v>
      </c>
      <c r="H2775" s="10">
        <v>46089</v>
      </c>
      <c r="I2775">
        <v>975.64</v>
      </c>
      <c r="J2775">
        <v>0</v>
      </c>
      <c r="K2775">
        <v>975.64</v>
      </c>
    </row>
    <row r="2776" spans="2:11" x14ac:dyDescent="0.35">
      <c r="B2776">
        <v>100000907</v>
      </c>
      <c r="C2776" s="10">
        <v>46112</v>
      </c>
      <c r="D2776" t="s">
        <v>2034</v>
      </c>
      <c r="E2776" s="11" t="s">
        <v>2208</v>
      </c>
      <c r="F2776" t="s">
        <v>1365</v>
      </c>
      <c r="G2776" t="s">
        <v>1366</v>
      </c>
      <c r="H2776" s="10">
        <v>46089</v>
      </c>
      <c r="I2776">
        <v>778.76</v>
      </c>
      <c r="J2776">
        <v>0</v>
      </c>
      <c r="K2776">
        <v>778.76</v>
      </c>
    </row>
    <row r="2777" spans="2:11" x14ac:dyDescent="0.35">
      <c r="B2777">
        <v>100000861</v>
      </c>
      <c r="C2777" s="10">
        <v>46112</v>
      </c>
      <c r="D2777" t="s">
        <v>2034</v>
      </c>
      <c r="E2777" s="11" t="s">
        <v>2209</v>
      </c>
      <c r="F2777" t="s">
        <v>1055</v>
      </c>
      <c r="G2777" t="s">
        <v>1056</v>
      </c>
      <c r="H2777" s="10">
        <v>46089</v>
      </c>
      <c r="I2777">
        <v>28568.400000000001</v>
      </c>
      <c r="J2777">
        <v>0</v>
      </c>
      <c r="K2777">
        <v>28568.400000000001</v>
      </c>
    </row>
    <row r="2778" spans="2:11" x14ac:dyDescent="0.35">
      <c r="B2778">
        <v>100000860</v>
      </c>
      <c r="C2778" s="10">
        <v>46112</v>
      </c>
      <c r="D2778" t="s">
        <v>2034</v>
      </c>
      <c r="E2778" s="11" t="s">
        <v>2210</v>
      </c>
      <c r="F2778" t="s">
        <v>1337</v>
      </c>
      <c r="G2778" t="s">
        <v>1338</v>
      </c>
      <c r="H2778" s="10">
        <v>46089</v>
      </c>
      <c r="I2778">
        <v>2723.64</v>
      </c>
      <c r="J2778">
        <v>0</v>
      </c>
      <c r="K2778">
        <v>2723.64</v>
      </c>
    </row>
    <row r="2779" spans="2:11" x14ac:dyDescent="0.35">
      <c r="B2779">
        <v>100000858</v>
      </c>
      <c r="C2779" s="10">
        <v>46112</v>
      </c>
      <c r="D2779" t="s">
        <v>2034</v>
      </c>
      <c r="E2779" s="11" t="s">
        <v>2211</v>
      </c>
      <c r="F2779" t="s">
        <v>1369</v>
      </c>
      <c r="G2779" t="s">
        <v>1370</v>
      </c>
      <c r="H2779" s="10">
        <v>46089</v>
      </c>
      <c r="I2779">
        <v>13543.3</v>
      </c>
      <c r="J2779">
        <v>0</v>
      </c>
      <c r="K2779">
        <v>13543.3</v>
      </c>
    </row>
    <row r="2780" spans="2:11" x14ac:dyDescent="0.35">
      <c r="B2780">
        <v>100000820</v>
      </c>
      <c r="C2780" s="10">
        <v>46112</v>
      </c>
      <c r="D2780" t="s">
        <v>2034</v>
      </c>
      <c r="E2780" s="11" t="s">
        <v>2212</v>
      </c>
      <c r="F2780" t="s">
        <v>1343</v>
      </c>
      <c r="G2780" t="s">
        <v>1344</v>
      </c>
      <c r="H2780" s="10">
        <v>46089</v>
      </c>
      <c r="I2780">
        <v>2802.97</v>
      </c>
      <c r="J2780">
        <v>0</v>
      </c>
      <c r="K2780">
        <v>2802.97</v>
      </c>
    </row>
    <row r="2781" spans="2:11" x14ac:dyDescent="0.35">
      <c r="B2781">
        <v>100000791</v>
      </c>
      <c r="C2781" s="10">
        <v>46112</v>
      </c>
      <c r="D2781" t="s">
        <v>2034</v>
      </c>
      <c r="E2781" s="11" t="s">
        <v>2213</v>
      </c>
      <c r="F2781" t="s">
        <v>1371</v>
      </c>
      <c r="G2781" t="s">
        <v>1372</v>
      </c>
      <c r="H2781" s="10">
        <v>46089</v>
      </c>
      <c r="I2781">
        <v>23676.79</v>
      </c>
      <c r="J2781">
        <v>0</v>
      </c>
      <c r="K2781">
        <v>23676.79</v>
      </c>
    </row>
    <row r="2782" spans="2:11" x14ac:dyDescent="0.35">
      <c r="B2782">
        <v>100000790</v>
      </c>
      <c r="C2782" s="10">
        <v>46112</v>
      </c>
      <c r="D2782" t="s">
        <v>2034</v>
      </c>
      <c r="E2782" s="11" t="s">
        <v>2214</v>
      </c>
      <c r="F2782" t="s">
        <v>1373</v>
      </c>
      <c r="G2782" t="s">
        <v>1374</v>
      </c>
      <c r="H2782" s="10">
        <v>46089</v>
      </c>
      <c r="I2782">
        <v>22794.16</v>
      </c>
      <c r="J2782">
        <v>0</v>
      </c>
      <c r="K2782">
        <v>22794.16</v>
      </c>
    </row>
    <row r="2783" spans="2:11" x14ac:dyDescent="0.35">
      <c r="B2783">
        <v>100000788</v>
      </c>
      <c r="C2783" s="10">
        <v>46112</v>
      </c>
      <c r="D2783" t="s">
        <v>2034</v>
      </c>
      <c r="E2783" s="11" t="s">
        <v>2215</v>
      </c>
      <c r="F2783" t="s">
        <v>1375</v>
      </c>
      <c r="G2783" t="s">
        <v>1376</v>
      </c>
      <c r="H2783" s="10">
        <v>46089</v>
      </c>
      <c r="I2783">
        <v>8025.78</v>
      </c>
      <c r="J2783">
        <v>0</v>
      </c>
      <c r="K2783">
        <v>8025.78</v>
      </c>
    </row>
    <row r="2784" spans="2:11" x14ac:dyDescent="0.35">
      <c r="B2784">
        <v>100000786</v>
      </c>
      <c r="C2784" s="10">
        <v>46112</v>
      </c>
      <c r="D2784" t="s">
        <v>2034</v>
      </c>
      <c r="E2784" s="11" t="s">
        <v>2216</v>
      </c>
      <c r="F2784" t="s">
        <v>1377</v>
      </c>
      <c r="G2784" t="s">
        <v>1378</v>
      </c>
      <c r="H2784" s="10">
        <v>46089</v>
      </c>
      <c r="I2784">
        <v>1804.73</v>
      </c>
      <c r="J2784">
        <v>0</v>
      </c>
      <c r="K2784">
        <v>1804.73</v>
      </c>
    </row>
    <row r="2785" spans="2:11" x14ac:dyDescent="0.35">
      <c r="B2785">
        <v>100000783</v>
      </c>
      <c r="C2785" s="10">
        <v>46112</v>
      </c>
      <c r="D2785" t="s">
        <v>2034</v>
      </c>
      <c r="E2785" s="11" t="s">
        <v>2217</v>
      </c>
      <c r="F2785" t="s">
        <v>1379</v>
      </c>
      <c r="G2785" t="s">
        <v>1380</v>
      </c>
      <c r="H2785" s="10">
        <v>46089</v>
      </c>
      <c r="I2785">
        <v>714.94</v>
      </c>
      <c r="J2785">
        <v>0</v>
      </c>
      <c r="K2785">
        <v>714.94</v>
      </c>
    </row>
    <row r="2786" spans="2:11" x14ac:dyDescent="0.35">
      <c r="B2786">
        <v>100000514</v>
      </c>
      <c r="C2786" s="10">
        <v>46112</v>
      </c>
      <c r="D2786" t="s">
        <v>2034</v>
      </c>
      <c r="E2786" s="11" t="s">
        <v>2218</v>
      </c>
      <c r="F2786" t="s">
        <v>1059</v>
      </c>
      <c r="G2786" t="s">
        <v>1060</v>
      </c>
      <c r="H2786" s="10">
        <v>46089</v>
      </c>
      <c r="I2786">
        <v>12170.84</v>
      </c>
      <c r="J2786">
        <v>0</v>
      </c>
      <c r="K2786">
        <v>12170.84</v>
      </c>
    </row>
    <row r="2787" spans="2:11" x14ac:dyDescent="0.35">
      <c r="B2787">
        <v>100000511</v>
      </c>
      <c r="C2787" s="10">
        <v>46112</v>
      </c>
      <c r="D2787" t="s">
        <v>2034</v>
      </c>
      <c r="E2787" s="11" t="s">
        <v>2219</v>
      </c>
      <c r="F2787" t="s">
        <v>1381</v>
      </c>
      <c r="G2787" t="s">
        <v>1382</v>
      </c>
      <c r="H2787" s="10">
        <v>46089</v>
      </c>
      <c r="I2787">
        <v>1844.26</v>
      </c>
      <c r="J2787">
        <v>0</v>
      </c>
      <c r="K2787">
        <v>1844.26</v>
      </c>
    </row>
    <row r="2788" spans="2:11" x14ac:dyDescent="0.35">
      <c r="B2788">
        <v>1800001604</v>
      </c>
      <c r="C2788" s="10">
        <v>46112</v>
      </c>
      <c r="D2788" t="s">
        <v>2052</v>
      </c>
      <c r="E2788" s="11" t="s">
        <v>2220</v>
      </c>
      <c r="F2788" t="s">
        <v>1193</v>
      </c>
      <c r="G2788" t="s">
        <v>1194</v>
      </c>
      <c r="H2788" s="10">
        <v>46132</v>
      </c>
      <c r="I2788">
        <v>22467.200000000001</v>
      </c>
      <c r="J2788">
        <v>0</v>
      </c>
      <c r="K2788">
        <v>22467.200000000001</v>
      </c>
    </row>
    <row r="2789" spans="2:11" x14ac:dyDescent="0.35">
      <c r="B2789">
        <v>100000679</v>
      </c>
      <c r="C2789" s="10">
        <v>46112</v>
      </c>
      <c r="D2789" t="s">
        <v>2034</v>
      </c>
      <c r="E2789" s="11" t="s">
        <v>2221</v>
      </c>
      <c r="F2789" t="s">
        <v>1281</v>
      </c>
      <c r="G2789" t="s">
        <v>1282</v>
      </c>
      <c r="H2789" s="10">
        <v>46087</v>
      </c>
      <c r="I2789">
        <v>4133.8900000000003</v>
      </c>
      <c r="J2789">
        <v>0</v>
      </c>
      <c r="K2789">
        <v>4133.8900000000003</v>
      </c>
    </row>
    <row r="2790" spans="2:11" x14ac:dyDescent="0.35">
      <c r="B2790">
        <v>9400000510</v>
      </c>
      <c r="C2790" s="10">
        <v>46112</v>
      </c>
      <c r="D2790" t="s">
        <v>2032</v>
      </c>
      <c r="E2790" s="11" t="s">
        <v>2222</v>
      </c>
      <c r="F2790" t="s">
        <v>1323</v>
      </c>
      <c r="G2790" t="s">
        <v>1324</v>
      </c>
      <c r="H2790" s="10">
        <v>46084</v>
      </c>
      <c r="I2790">
        <v>2064.58</v>
      </c>
      <c r="J2790">
        <v>0</v>
      </c>
      <c r="K2790">
        <v>2064.58</v>
      </c>
    </row>
    <row r="2791" spans="2:11" x14ac:dyDescent="0.35">
      <c r="B2791">
        <v>9400000304</v>
      </c>
      <c r="C2791" s="10">
        <v>46112</v>
      </c>
      <c r="D2791" t="s">
        <v>2032</v>
      </c>
      <c r="E2791" s="11" t="s">
        <v>2223</v>
      </c>
      <c r="F2791" t="s">
        <v>1383</v>
      </c>
      <c r="G2791" t="s">
        <v>1384</v>
      </c>
      <c r="H2791" s="10">
        <v>46084</v>
      </c>
      <c r="I2791">
        <v>71.010000000000005</v>
      </c>
      <c r="J2791">
        <v>0</v>
      </c>
      <c r="K2791">
        <v>71.010000000000005</v>
      </c>
    </row>
    <row r="2792" spans="2:11" x14ac:dyDescent="0.35">
      <c r="B2792">
        <v>1800004112</v>
      </c>
      <c r="C2792" s="10">
        <v>46112</v>
      </c>
      <c r="D2792" t="s">
        <v>2052</v>
      </c>
      <c r="E2792" s="11" t="s">
        <v>2224</v>
      </c>
      <c r="F2792" t="s">
        <v>1157</v>
      </c>
      <c r="G2792" t="s">
        <v>1158</v>
      </c>
      <c r="H2792" s="10">
        <v>46129</v>
      </c>
      <c r="I2792">
        <v>2682.19</v>
      </c>
      <c r="J2792">
        <v>0</v>
      </c>
      <c r="K2792">
        <v>2682.19</v>
      </c>
    </row>
    <row r="2793" spans="2:11" x14ac:dyDescent="0.35">
      <c r="B2793">
        <v>100000291</v>
      </c>
      <c r="C2793" s="10">
        <v>46112</v>
      </c>
      <c r="D2793" t="s">
        <v>2034</v>
      </c>
      <c r="E2793" s="11" t="s">
        <v>2225</v>
      </c>
      <c r="F2793" t="s">
        <v>1385</v>
      </c>
      <c r="G2793" t="s">
        <v>1386</v>
      </c>
      <c r="H2793" s="10">
        <v>46084</v>
      </c>
      <c r="I2793">
        <v>0.1</v>
      </c>
      <c r="J2793">
        <v>0</v>
      </c>
      <c r="K2793">
        <v>0.1</v>
      </c>
    </row>
    <row r="2794" spans="2:11" x14ac:dyDescent="0.35">
      <c r="B2794">
        <v>100001187</v>
      </c>
      <c r="C2794" s="10">
        <v>46112</v>
      </c>
      <c r="D2794" t="s">
        <v>2034</v>
      </c>
      <c r="E2794" s="11" t="s">
        <v>2226</v>
      </c>
      <c r="F2794" t="s">
        <v>1243</v>
      </c>
      <c r="G2794" t="s">
        <v>1244</v>
      </c>
      <c r="H2794" s="10">
        <v>46082</v>
      </c>
      <c r="I2794">
        <v>14564.29</v>
      </c>
      <c r="J2794">
        <v>0</v>
      </c>
      <c r="K2794">
        <v>14564.29</v>
      </c>
    </row>
    <row r="2795" spans="2:11" x14ac:dyDescent="0.35">
      <c r="B2795">
        <v>100001183</v>
      </c>
      <c r="C2795" s="10">
        <v>46112</v>
      </c>
      <c r="D2795" t="s">
        <v>2034</v>
      </c>
      <c r="E2795" s="11" t="s">
        <v>2227</v>
      </c>
      <c r="F2795" t="s">
        <v>1321</v>
      </c>
      <c r="G2795" t="s">
        <v>1322</v>
      </c>
      <c r="H2795" s="10">
        <v>46082</v>
      </c>
      <c r="I2795">
        <v>917.9</v>
      </c>
      <c r="J2795">
        <v>0</v>
      </c>
      <c r="K2795">
        <v>917.9</v>
      </c>
    </row>
    <row r="2796" spans="2:11" x14ac:dyDescent="0.35">
      <c r="B2796">
        <v>100001180</v>
      </c>
      <c r="C2796" s="10">
        <v>46112</v>
      </c>
      <c r="D2796" t="s">
        <v>2034</v>
      </c>
      <c r="E2796" s="11" t="s">
        <v>2228</v>
      </c>
      <c r="F2796" t="s">
        <v>1271</v>
      </c>
      <c r="G2796" t="s">
        <v>1272</v>
      </c>
      <c r="H2796" s="10">
        <v>46082</v>
      </c>
      <c r="I2796">
        <v>554.36</v>
      </c>
      <c r="J2796">
        <v>0</v>
      </c>
      <c r="K2796">
        <v>554.36</v>
      </c>
    </row>
    <row r="2797" spans="2:11" x14ac:dyDescent="0.35">
      <c r="B2797">
        <v>100001179</v>
      </c>
      <c r="C2797" s="10">
        <v>46112</v>
      </c>
      <c r="D2797" t="s">
        <v>2034</v>
      </c>
      <c r="E2797" s="11" t="s">
        <v>2229</v>
      </c>
      <c r="F2797" t="s">
        <v>1387</v>
      </c>
      <c r="G2797" t="s">
        <v>1388</v>
      </c>
      <c r="H2797" s="10">
        <v>46082</v>
      </c>
      <c r="I2797">
        <v>9074.67</v>
      </c>
      <c r="J2797">
        <v>0</v>
      </c>
      <c r="K2797">
        <v>9074.67</v>
      </c>
    </row>
    <row r="2798" spans="2:11" x14ac:dyDescent="0.35">
      <c r="B2798">
        <v>100001175</v>
      </c>
      <c r="C2798" s="10">
        <v>46112</v>
      </c>
      <c r="D2798" t="s">
        <v>2034</v>
      </c>
      <c r="E2798" s="11" t="s">
        <v>2230</v>
      </c>
      <c r="F2798" t="s">
        <v>1389</v>
      </c>
      <c r="G2798" t="s">
        <v>1390</v>
      </c>
      <c r="H2798" s="10">
        <v>46082</v>
      </c>
      <c r="I2798">
        <v>2986.1</v>
      </c>
      <c r="J2798">
        <v>0</v>
      </c>
      <c r="K2798">
        <v>2986.1</v>
      </c>
    </row>
    <row r="2799" spans="2:11" x14ac:dyDescent="0.35">
      <c r="B2799">
        <v>100001136</v>
      </c>
      <c r="C2799" s="10">
        <v>46112</v>
      </c>
      <c r="D2799" t="s">
        <v>2034</v>
      </c>
      <c r="E2799" s="11" t="s">
        <v>2231</v>
      </c>
      <c r="F2799" t="s">
        <v>1391</v>
      </c>
      <c r="G2799" t="s">
        <v>1392</v>
      </c>
      <c r="H2799" s="10">
        <v>46082</v>
      </c>
      <c r="I2799">
        <v>2903.2</v>
      </c>
      <c r="J2799">
        <v>0</v>
      </c>
      <c r="K2799">
        <v>2903.2</v>
      </c>
    </row>
    <row r="2800" spans="2:11" x14ac:dyDescent="0.35">
      <c r="B2800">
        <v>100001093</v>
      </c>
      <c r="C2800" s="10">
        <v>46112</v>
      </c>
      <c r="D2800" t="s">
        <v>2034</v>
      </c>
      <c r="E2800" s="11" t="s">
        <v>2232</v>
      </c>
      <c r="F2800" t="s">
        <v>1113</v>
      </c>
      <c r="G2800" t="s">
        <v>1114</v>
      </c>
      <c r="H2800" s="10">
        <v>46082</v>
      </c>
      <c r="I2800">
        <v>4873.8599999999997</v>
      </c>
      <c r="J2800">
        <v>3482.03</v>
      </c>
      <c r="K2800">
        <v>1391.8299999999995</v>
      </c>
    </row>
    <row r="2801" spans="2:11" x14ac:dyDescent="0.35">
      <c r="B2801">
        <v>100001025</v>
      </c>
      <c r="C2801" s="10">
        <v>46112</v>
      </c>
      <c r="D2801" t="s">
        <v>2034</v>
      </c>
      <c r="E2801" s="11" t="s">
        <v>2233</v>
      </c>
      <c r="F2801" t="s">
        <v>1393</v>
      </c>
      <c r="G2801" t="s">
        <v>1394</v>
      </c>
      <c r="H2801" s="10">
        <v>46082</v>
      </c>
      <c r="I2801">
        <v>537.32000000000005</v>
      </c>
      <c r="J2801">
        <v>435.1</v>
      </c>
      <c r="K2801">
        <v>102.22000000000003</v>
      </c>
    </row>
    <row r="2802" spans="2:11" x14ac:dyDescent="0.35">
      <c r="B2802">
        <v>100001023</v>
      </c>
      <c r="C2802" s="10">
        <v>46112</v>
      </c>
      <c r="D2802" t="s">
        <v>2034</v>
      </c>
      <c r="E2802" s="11" t="s">
        <v>2234</v>
      </c>
      <c r="F2802" t="s">
        <v>1329</v>
      </c>
      <c r="G2802" t="s">
        <v>1330</v>
      </c>
      <c r="H2802" s="10">
        <v>46082</v>
      </c>
      <c r="I2802">
        <v>618</v>
      </c>
      <c r="J2802">
        <v>0</v>
      </c>
      <c r="K2802">
        <v>618</v>
      </c>
    </row>
    <row r="2803" spans="2:11" x14ac:dyDescent="0.35">
      <c r="B2803">
        <v>100001016</v>
      </c>
      <c r="C2803" s="10">
        <v>46112</v>
      </c>
      <c r="D2803" t="s">
        <v>2034</v>
      </c>
      <c r="E2803" s="11" t="s">
        <v>2235</v>
      </c>
      <c r="F2803" t="s">
        <v>1395</v>
      </c>
      <c r="G2803" t="s">
        <v>1396</v>
      </c>
      <c r="H2803" s="10">
        <v>46082</v>
      </c>
      <c r="I2803">
        <v>1120.26</v>
      </c>
      <c r="J2803">
        <v>0</v>
      </c>
      <c r="K2803">
        <v>1120.26</v>
      </c>
    </row>
    <row r="2804" spans="2:11" x14ac:dyDescent="0.35">
      <c r="B2804">
        <v>100000944</v>
      </c>
      <c r="C2804" s="10">
        <v>46112</v>
      </c>
      <c r="D2804" t="s">
        <v>2034</v>
      </c>
      <c r="E2804" s="11" t="s">
        <v>2236</v>
      </c>
      <c r="F2804" t="s">
        <v>1397</v>
      </c>
      <c r="G2804" t="s">
        <v>1398</v>
      </c>
      <c r="H2804" s="10">
        <v>46082</v>
      </c>
      <c r="I2804">
        <v>6113.36</v>
      </c>
      <c r="J2804">
        <v>0</v>
      </c>
      <c r="K2804">
        <v>6113.36</v>
      </c>
    </row>
    <row r="2805" spans="2:11" x14ac:dyDescent="0.35">
      <c r="B2805">
        <v>100000942</v>
      </c>
      <c r="C2805" s="10">
        <v>46112</v>
      </c>
      <c r="D2805" t="s">
        <v>2034</v>
      </c>
      <c r="E2805" s="11" t="s">
        <v>2237</v>
      </c>
      <c r="F2805" t="s">
        <v>1355</v>
      </c>
      <c r="G2805" t="s">
        <v>1356</v>
      </c>
      <c r="H2805" s="10">
        <v>46082</v>
      </c>
      <c r="I2805">
        <v>2932.81</v>
      </c>
      <c r="J2805">
        <v>0</v>
      </c>
      <c r="K2805">
        <v>2932.81</v>
      </c>
    </row>
    <row r="2806" spans="2:11" x14ac:dyDescent="0.35">
      <c r="B2806">
        <v>100000940</v>
      </c>
      <c r="C2806" s="10">
        <v>46112</v>
      </c>
      <c r="D2806" t="s">
        <v>2034</v>
      </c>
      <c r="E2806" s="11" t="s">
        <v>2238</v>
      </c>
      <c r="F2806" t="s">
        <v>993</v>
      </c>
      <c r="G2806" t="s">
        <v>994</v>
      </c>
      <c r="H2806" s="10">
        <v>46082</v>
      </c>
      <c r="I2806">
        <v>286.52999999999997</v>
      </c>
      <c r="J2806">
        <v>0</v>
      </c>
      <c r="K2806">
        <v>286.52999999999997</v>
      </c>
    </row>
    <row r="2807" spans="2:11" x14ac:dyDescent="0.35">
      <c r="B2807">
        <v>100000939</v>
      </c>
      <c r="C2807" s="10">
        <v>46112</v>
      </c>
      <c r="D2807" t="s">
        <v>2034</v>
      </c>
      <c r="E2807" s="11" t="s">
        <v>2239</v>
      </c>
      <c r="F2807" t="s">
        <v>1399</v>
      </c>
      <c r="G2807" t="s">
        <v>1400</v>
      </c>
      <c r="H2807" s="10">
        <v>46082</v>
      </c>
      <c r="I2807">
        <v>1020.26</v>
      </c>
      <c r="J2807">
        <v>9.31</v>
      </c>
      <c r="K2807">
        <v>1010.95</v>
      </c>
    </row>
    <row r="2808" spans="2:11" x14ac:dyDescent="0.35">
      <c r="B2808">
        <v>100000937</v>
      </c>
      <c r="C2808" s="10">
        <v>46112</v>
      </c>
      <c r="D2808" t="s">
        <v>2034</v>
      </c>
      <c r="E2808" s="11" t="s">
        <v>2240</v>
      </c>
      <c r="F2808" t="s">
        <v>1401</v>
      </c>
      <c r="G2808" t="s">
        <v>1402</v>
      </c>
      <c r="H2808" s="10">
        <v>46082</v>
      </c>
      <c r="I2808">
        <v>248.53</v>
      </c>
      <c r="J2808">
        <v>0</v>
      </c>
      <c r="K2808">
        <v>248.53</v>
      </c>
    </row>
    <row r="2809" spans="2:11" x14ac:dyDescent="0.35">
      <c r="B2809">
        <v>100000902</v>
      </c>
      <c r="C2809" s="10">
        <v>46112</v>
      </c>
      <c r="D2809" t="s">
        <v>2034</v>
      </c>
      <c r="E2809" s="11" t="s">
        <v>2241</v>
      </c>
      <c r="F2809" t="s">
        <v>1403</v>
      </c>
      <c r="G2809" t="s">
        <v>1404</v>
      </c>
      <c r="H2809" s="10">
        <v>46082</v>
      </c>
      <c r="I2809">
        <v>21607.85</v>
      </c>
      <c r="J2809">
        <v>0</v>
      </c>
      <c r="K2809">
        <v>21607.85</v>
      </c>
    </row>
    <row r="2810" spans="2:11" x14ac:dyDescent="0.35">
      <c r="B2810">
        <v>100000901</v>
      </c>
      <c r="C2810" s="10">
        <v>46112</v>
      </c>
      <c r="D2810" t="s">
        <v>2034</v>
      </c>
      <c r="E2810" s="11" t="s">
        <v>2242</v>
      </c>
      <c r="F2810" t="s">
        <v>1359</v>
      </c>
      <c r="G2810" t="s">
        <v>1360</v>
      </c>
      <c r="H2810" s="10">
        <v>46082</v>
      </c>
      <c r="I2810">
        <v>8582.49</v>
      </c>
      <c r="J2810">
        <v>0</v>
      </c>
      <c r="K2810">
        <v>8582.49</v>
      </c>
    </row>
    <row r="2811" spans="2:11" x14ac:dyDescent="0.35">
      <c r="B2811">
        <v>100000900</v>
      </c>
      <c r="C2811" s="10">
        <v>46112</v>
      </c>
      <c r="D2811" t="s">
        <v>2034</v>
      </c>
      <c r="E2811" s="11" t="s">
        <v>2243</v>
      </c>
      <c r="F2811" t="s">
        <v>1311</v>
      </c>
      <c r="G2811" t="s">
        <v>1312</v>
      </c>
      <c r="H2811" s="10">
        <v>46082</v>
      </c>
      <c r="I2811">
        <v>11.59</v>
      </c>
      <c r="J2811">
        <v>0</v>
      </c>
      <c r="K2811">
        <v>11.59</v>
      </c>
    </row>
    <row r="2812" spans="2:11" x14ac:dyDescent="0.35">
      <c r="B2812">
        <v>100000899</v>
      </c>
      <c r="C2812" s="10">
        <v>46112</v>
      </c>
      <c r="D2812" t="s">
        <v>2034</v>
      </c>
      <c r="E2812" s="11" t="s">
        <v>2244</v>
      </c>
      <c r="F2812" t="s">
        <v>1361</v>
      </c>
      <c r="G2812" t="s">
        <v>1362</v>
      </c>
      <c r="H2812" s="10">
        <v>46082</v>
      </c>
      <c r="I2812">
        <v>3518.1</v>
      </c>
      <c r="J2812">
        <v>2038.83</v>
      </c>
      <c r="K2812">
        <v>1479.27</v>
      </c>
    </row>
    <row r="2813" spans="2:11" x14ac:dyDescent="0.35">
      <c r="B2813">
        <v>100000897</v>
      </c>
      <c r="C2813" s="10">
        <v>46112</v>
      </c>
      <c r="D2813" t="s">
        <v>2034</v>
      </c>
      <c r="E2813" s="11" t="s">
        <v>2245</v>
      </c>
      <c r="F2813" t="s">
        <v>1119</v>
      </c>
      <c r="G2813" t="s">
        <v>1120</v>
      </c>
      <c r="H2813" s="10">
        <v>46082</v>
      </c>
      <c r="I2813">
        <v>851.02</v>
      </c>
      <c r="J2813">
        <v>0</v>
      </c>
      <c r="K2813">
        <v>851.02</v>
      </c>
    </row>
    <row r="2814" spans="2:11" x14ac:dyDescent="0.35">
      <c r="B2814">
        <v>100000895</v>
      </c>
      <c r="C2814" s="10">
        <v>46112</v>
      </c>
      <c r="D2814" t="s">
        <v>2034</v>
      </c>
      <c r="E2814" s="11" t="s">
        <v>2246</v>
      </c>
      <c r="F2814" t="s">
        <v>1363</v>
      </c>
      <c r="G2814" t="s">
        <v>1364</v>
      </c>
      <c r="H2814" s="10">
        <v>46082</v>
      </c>
      <c r="I2814">
        <v>1342.69</v>
      </c>
      <c r="J2814">
        <v>28.46</v>
      </c>
      <c r="K2814">
        <v>1314.23</v>
      </c>
    </row>
    <row r="2815" spans="2:11" x14ac:dyDescent="0.35">
      <c r="B2815">
        <v>100000893</v>
      </c>
      <c r="C2815" s="10">
        <v>46112</v>
      </c>
      <c r="D2815" t="s">
        <v>2034</v>
      </c>
      <c r="E2815" s="11" t="s">
        <v>2247</v>
      </c>
      <c r="F2815" t="s">
        <v>1405</v>
      </c>
      <c r="G2815" t="s">
        <v>1406</v>
      </c>
      <c r="H2815" s="10">
        <v>46082</v>
      </c>
      <c r="I2815">
        <v>291.2</v>
      </c>
      <c r="J2815">
        <v>0</v>
      </c>
      <c r="K2815">
        <v>291.2</v>
      </c>
    </row>
    <row r="2816" spans="2:11" x14ac:dyDescent="0.35">
      <c r="B2816">
        <v>100000856</v>
      </c>
      <c r="C2816" s="10">
        <v>46112</v>
      </c>
      <c r="D2816" t="s">
        <v>2034</v>
      </c>
      <c r="E2816" s="11" t="s">
        <v>2248</v>
      </c>
      <c r="F2816" t="s">
        <v>1055</v>
      </c>
      <c r="G2816" t="s">
        <v>1056</v>
      </c>
      <c r="H2816" s="10">
        <v>46082</v>
      </c>
      <c r="I2816">
        <v>8150.11</v>
      </c>
      <c r="J2816">
        <v>0</v>
      </c>
      <c r="K2816">
        <v>8150.11</v>
      </c>
    </row>
    <row r="2817" spans="2:11" x14ac:dyDescent="0.35">
      <c r="B2817">
        <v>100000853</v>
      </c>
      <c r="C2817" s="10">
        <v>46112</v>
      </c>
      <c r="D2817" t="s">
        <v>2034</v>
      </c>
      <c r="E2817" s="11" t="s">
        <v>2249</v>
      </c>
      <c r="F2817" t="s">
        <v>1337</v>
      </c>
      <c r="G2817" t="s">
        <v>1338</v>
      </c>
      <c r="H2817" s="10">
        <v>46082</v>
      </c>
      <c r="I2817">
        <v>2212.44</v>
      </c>
      <c r="J2817">
        <v>0</v>
      </c>
      <c r="K2817">
        <v>2212.44</v>
      </c>
    </row>
    <row r="2818" spans="2:11" x14ac:dyDescent="0.35">
      <c r="B2818">
        <v>100000850</v>
      </c>
      <c r="C2818" s="10">
        <v>46112</v>
      </c>
      <c r="D2818" t="s">
        <v>2034</v>
      </c>
      <c r="E2818" s="11" t="s">
        <v>2250</v>
      </c>
      <c r="F2818" t="s">
        <v>1407</v>
      </c>
      <c r="G2818" t="s">
        <v>1408</v>
      </c>
      <c r="H2818" s="10">
        <v>46082</v>
      </c>
      <c r="I2818">
        <v>15255.5</v>
      </c>
      <c r="J2818">
        <v>0</v>
      </c>
      <c r="K2818">
        <v>15255.5</v>
      </c>
    </row>
    <row r="2819" spans="2:11" x14ac:dyDescent="0.35">
      <c r="B2819">
        <v>100000782</v>
      </c>
      <c r="C2819" s="10">
        <v>46112</v>
      </c>
      <c r="D2819" t="s">
        <v>2034</v>
      </c>
      <c r="E2819" s="11" t="s">
        <v>2251</v>
      </c>
      <c r="F2819" t="s">
        <v>1371</v>
      </c>
      <c r="G2819" t="s">
        <v>1372</v>
      </c>
      <c r="H2819" s="10">
        <v>46082</v>
      </c>
      <c r="I2819">
        <v>8665.94</v>
      </c>
      <c r="J2819">
        <v>0</v>
      </c>
      <c r="K2819">
        <v>8665.94</v>
      </c>
    </row>
    <row r="2820" spans="2:11" x14ac:dyDescent="0.35">
      <c r="B2820">
        <v>100000781</v>
      </c>
      <c r="C2820" s="10">
        <v>46112</v>
      </c>
      <c r="D2820" t="s">
        <v>2034</v>
      </c>
      <c r="E2820" s="11" t="s">
        <v>2252</v>
      </c>
      <c r="F2820" t="s">
        <v>1373</v>
      </c>
      <c r="G2820" t="s">
        <v>1374</v>
      </c>
      <c r="H2820" s="10">
        <v>46082</v>
      </c>
      <c r="I2820">
        <v>3120.41</v>
      </c>
      <c r="J2820">
        <v>0</v>
      </c>
      <c r="K2820">
        <v>3120.41</v>
      </c>
    </row>
    <row r="2821" spans="2:11" x14ac:dyDescent="0.35">
      <c r="B2821">
        <v>100000779</v>
      </c>
      <c r="C2821" s="10">
        <v>46112</v>
      </c>
      <c r="D2821" t="s">
        <v>2034</v>
      </c>
      <c r="E2821" s="11" t="s">
        <v>2253</v>
      </c>
      <c r="F2821" t="s">
        <v>1375</v>
      </c>
      <c r="G2821" t="s">
        <v>1376</v>
      </c>
      <c r="H2821" s="10">
        <v>46082</v>
      </c>
      <c r="I2821">
        <v>5115.37</v>
      </c>
      <c r="J2821">
        <v>0</v>
      </c>
      <c r="K2821">
        <v>5115.37</v>
      </c>
    </row>
    <row r="2822" spans="2:11" x14ac:dyDescent="0.35">
      <c r="B2822">
        <v>100000777</v>
      </c>
      <c r="C2822" s="10">
        <v>46112</v>
      </c>
      <c r="D2822" t="s">
        <v>2034</v>
      </c>
      <c r="E2822" s="11" t="s">
        <v>2254</v>
      </c>
      <c r="F2822" t="s">
        <v>1409</v>
      </c>
      <c r="G2822" t="s">
        <v>1410</v>
      </c>
      <c r="H2822" s="10">
        <v>46082</v>
      </c>
      <c r="I2822">
        <v>1910.13</v>
      </c>
      <c r="J2822">
        <v>64.63</v>
      </c>
      <c r="K2822">
        <v>1845.5</v>
      </c>
    </row>
    <row r="2823" spans="2:11" x14ac:dyDescent="0.35">
      <c r="B2823">
        <v>100000774</v>
      </c>
      <c r="C2823" s="10">
        <v>46112</v>
      </c>
      <c r="D2823" t="s">
        <v>2034</v>
      </c>
      <c r="E2823" s="11" t="s">
        <v>2255</v>
      </c>
      <c r="F2823" t="s">
        <v>1379</v>
      </c>
      <c r="G2823" t="s">
        <v>1380</v>
      </c>
      <c r="H2823" s="10">
        <v>46082</v>
      </c>
      <c r="I2823">
        <v>4186.6099999999997</v>
      </c>
      <c r="J2823">
        <v>0</v>
      </c>
      <c r="K2823">
        <v>4186.6099999999997</v>
      </c>
    </row>
    <row r="2824" spans="2:11" x14ac:dyDescent="0.35">
      <c r="B2824">
        <v>100000510</v>
      </c>
      <c r="C2824" s="10">
        <v>46112</v>
      </c>
      <c r="D2824" t="s">
        <v>2034</v>
      </c>
      <c r="E2824" s="11" t="s">
        <v>2256</v>
      </c>
      <c r="F2824" t="s">
        <v>1059</v>
      </c>
      <c r="G2824" t="s">
        <v>1060</v>
      </c>
      <c r="H2824" s="10">
        <v>46082</v>
      </c>
      <c r="I2824">
        <v>6375.34</v>
      </c>
      <c r="J2824">
        <v>0</v>
      </c>
      <c r="K2824">
        <v>6375.34</v>
      </c>
    </row>
    <row r="2825" spans="2:11" x14ac:dyDescent="0.35">
      <c r="B2825">
        <v>100000509</v>
      </c>
      <c r="C2825" s="10">
        <v>46112</v>
      </c>
      <c r="D2825" t="s">
        <v>2034</v>
      </c>
      <c r="E2825" s="11" t="s">
        <v>2257</v>
      </c>
      <c r="F2825" t="s">
        <v>1381</v>
      </c>
      <c r="G2825" t="s">
        <v>1382</v>
      </c>
      <c r="H2825" s="10">
        <v>46082</v>
      </c>
      <c r="I2825">
        <v>762.1</v>
      </c>
      <c r="J2825">
        <v>0</v>
      </c>
      <c r="K2825">
        <v>762.1</v>
      </c>
    </row>
    <row r="2826" spans="2:11" x14ac:dyDescent="0.35">
      <c r="B2826">
        <v>100000507</v>
      </c>
      <c r="C2826" s="10">
        <v>46112</v>
      </c>
      <c r="D2826" t="s">
        <v>2034</v>
      </c>
      <c r="E2826" s="11" t="s">
        <v>2258</v>
      </c>
      <c r="F2826" t="s">
        <v>1411</v>
      </c>
      <c r="G2826" t="s">
        <v>1412</v>
      </c>
      <c r="H2826" s="10">
        <v>46082</v>
      </c>
      <c r="I2826">
        <v>764.64</v>
      </c>
      <c r="J2826">
        <v>0</v>
      </c>
      <c r="K2826">
        <v>764.64</v>
      </c>
    </row>
    <row r="2827" spans="2:11" x14ac:dyDescent="0.35">
      <c r="B2827">
        <v>100000506</v>
      </c>
      <c r="C2827" s="10">
        <v>46112</v>
      </c>
      <c r="D2827" t="s">
        <v>2034</v>
      </c>
      <c r="E2827" s="11" t="s">
        <v>2259</v>
      </c>
      <c r="F2827" t="s">
        <v>1413</v>
      </c>
      <c r="G2827" t="s">
        <v>1414</v>
      </c>
      <c r="H2827" s="10">
        <v>46082</v>
      </c>
      <c r="I2827">
        <v>1354.2</v>
      </c>
      <c r="J2827">
        <v>0</v>
      </c>
      <c r="K2827">
        <v>1354.2</v>
      </c>
    </row>
    <row r="2828" spans="2:11" x14ac:dyDescent="0.35">
      <c r="B2828">
        <v>100000474</v>
      </c>
      <c r="C2828" s="10">
        <v>46112</v>
      </c>
      <c r="D2828" t="s">
        <v>2034</v>
      </c>
      <c r="E2828" s="11" t="s">
        <v>2260</v>
      </c>
      <c r="F2828" t="s">
        <v>1315</v>
      </c>
      <c r="G2828" t="s">
        <v>1316</v>
      </c>
      <c r="H2828" s="10">
        <v>46082</v>
      </c>
      <c r="I2828">
        <v>3808.72</v>
      </c>
      <c r="J2828">
        <v>0</v>
      </c>
      <c r="K2828">
        <v>3808.72</v>
      </c>
    </row>
    <row r="2829" spans="2:11" x14ac:dyDescent="0.35">
      <c r="B2829">
        <v>9400000508</v>
      </c>
      <c r="C2829" s="10">
        <v>46112</v>
      </c>
      <c r="D2829" t="s">
        <v>2032</v>
      </c>
      <c r="E2829" s="11" t="s">
        <v>2261</v>
      </c>
      <c r="F2829" t="s">
        <v>1415</v>
      </c>
      <c r="G2829" t="s">
        <v>1416</v>
      </c>
      <c r="H2829" s="10">
        <v>46081</v>
      </c>
      <c r="I2829">
        <v>102372.54</v>
      </c>
      <c r="J2829">
        <v>0</v>
      </c>
      <c r="K2829">
        <v>102372.54</v>
      </c>
    </row>
    <row r="2830" spans="2:11" x14ac:dyDescent="0.35">
      <c r="B2830">
        <v>9400000296</v>
      </c>
      <c r="C2830" s="10">
        <v>46112</v>
      </c>
      <c r="D2830" t="s">
        <v>2032</v>
      </c>
      <c r="E2830" s="11" t="s">
        <v>2262</v>
      </c>
      <c r="F2830" t="s">
        <v>1383</v>
      </c>
      <c r="G2830" t="s">
        <v>1384</v>
      </c>
      <c r="H2830" s="10">
        <v>46081</v>
      </c>
      <c r="I2830">
        <v>680.68</v>
      </c>
      <c r="J2830">
        <v>0</v>
      </c>
      <c r="K2830">
        <v>680.68</v>
      </c>
    </row>
    <row r="2831" spans="2:11" x14ac:dyDescent="0.35">
      <c r="B2831">
        <v>1800004977</v>
      </c>
      <c r="C2831" s="10">
        <v>46112</v>
      </c>
      <c r="D2831" t="s">
        <v>2052</v>
      </c>
      <c r="E2831" s="11" t="s">
        <v>2263</v>
      </c>
      <c r="F2831" t="s">
        <v>903</v>
      </c>
      <c r="G2831" t="s">
        <v>904</v>
      </c>
      <c r="H2831" s="10">
        <v>46156</v>
      </c>
      <c r="I2831">
        <v>48503.66</v>
      </c>
      <c r="J2831">
        <v>0</v>
      </c>
      <c r="K2831">
        <v>48503.66</v>
      </c>
    </row>
    <row r="2832" spans="2:11" x14ac:dyDescent="0.35">
      <c r="B2832">
        <v>1800004105</v>
      </c>
      <c r="C2832" s="10">
        <v>46112</v>
      </c>
      <c r="D2832" t="s">
        <v>2052</v>
      </c>
      <c r="E2832" s="11" t="s">
        <v>2264</v>
      </c>
      <c r="F2832" t="s">
        <v>669</v>
      </c>
      <c r="G2832" t="s">
        <v>670</v>
      </c>
      <c r="H2832" s="10">
        <v>46126</v>
      </c>
      <c r="I2832">
        <v>132939.69</v>
      </c>
      <c r="J2832">
        <v>132939</v>
      </c>
      <c r="K2832">
        <v>0.69000000000232831</v>
      </c>
    </row>
    <row r="2833" spans="2:11" x14ac:dyDescent="0.35">
      <c r="B2833">
        <v>1800004093</v>
      </c>
      <c r="C2833" s="10">
        <v>46112</v>
      </c>
      <c r="D2833" t="s">
        <v>2052</v>
      </c>
      <c r="E2833" s="11" t="s">
        <v>2265</v>
      </c>
      <c r="F2833" t="s">
        <v>661</v>
      </c>
      <c r="G2833" t="s">
        <v>662</v>
      </c>
      <c r="H2833" s="10">
        <v>46126</v>
      </c>
      <c r="I2833">
        <v>80240</v>
      </c>
      <c r="J2833">
        <v>80239.63</v>
      </c>
      <c r="K2833">
        <v>0.36999999999534339</v>
      </c>
    </row>
    <row r="2834" spans="2:11" x14ac:dyDescent="0.35">
      <c r="B2834">
        <v>1800004088</v>
      </c>
      <c r="C2834" s="10">
        <v>46112</v>
      </c>
      <c r="D2834" t="s">
        <v>2052</v>
      </c>
      <c r="E2834" s="11" t="s">
        <v>2266</v>
      </c>
      <c r="F2834" t="s">
        <v>1151</v>
      </c>
      <c r="G2834" t="s">
        <v>1152</v>
      </c>
      <c r="H2834" s="10">
        <v>46126</v>
      </c>
      <c r="I2834">
        <v>59154.18</v>
      </c>
      <c r="J2834">
        <v>58366.77</v>
      </c>
      <c r="K2834">
        <v>787.41000000000349</v>
      </c>
    </row>
    <row r="2835" spans="2:11" x14ac:dyDescent="0.35">
      <c r="B2835">
        <v>1800004077</v>
      </c>
      <c r="C2835" s="10">
        <v>46112</v>
      </c>
      <c r="D2835" t="s">
        <v>2052</v>
      </c>
      <c r="E2835" s="11" t="s">
        <v>2267</v>
      </c>
      <c r="F2835" t="s">
        <v>1159</v>
      </c>
      <c r="G2835" t="s">
        <v>1160</v>
      </c>
      <c r="H2835" s="10">
        <v>46126</v>
      </c>
      <c r="I2835">
        <v>154967.28</v>
      </c>
      <c r="J2835">
        <v>0</v>
      </c>
      <c r="K2835">
        <v>154967.28</v>
      </c>
    </row>
    <row r="2836" spans="2:11" x14ac:dyDescent="0.35">
      <c r="B2836">
        <v>1800001602</v>
      </c>
      <c r="C2836" s="10">
        <v>46112</v>
      </c>
      <c r="D2836" t="s">
        <v>2052</v>
      </c>
      <c r="E2836" s="11" t="s">
        <v>2268</v>
      </c>
      <c r="F2836" t="s">
        <v>1161</v>
      </c>
      <c r="G2836" t="s">
        <v>1162</v>
      </c>
      <c r="H2836" s="10">
        <v>46126</v>
      </c>
      <c r="I2836">
        <v>160480</v>
      </c>
      <c r="J2836">
        <v>67434.36</v>
      </c>
      <c r="K2836">
        <v>93045.64</v>
      </c>
    </row>
    <row r="2837" spans="2:11" x14ac:dyDescent="0.35">
      <c r="B2837">
        <v>1800001601</v>
      </c>
      <c r="C2837" s="10">
        <v>46112</v>
      </c>
      <c r="D2837" t="s">
        <v>2052</v>
      </c>
      <c r="E2837" s="11" t="s">
        <v>2269</v>
      </c>
      <c r="F2837" t="s">
        <v>1161</v>
      </c>
      <c r="G2837" t="s">
        <v>1162</v>
      </c>
      <c r="H2837" s="10">
        <v>46126</v>
      </c>
      <c r="I2837">
        <v>128384</v>
      </c>
      <c r="J2837">
        <v>0</v>
      </c>
      <c r="K2837">
        <v>128384</v>
      </c>
    </row>
    <row r="2838" spans="2:11" x14ac:dyDescent="0.35">
      <c r="B2838">
        <v>1800001600</v>
      </c>
      <c r="C2838" s="10">
        <v>46112</v>
      </c>
      <c r="D2838" t="s">
        <v>2052</v>
      </c>
      <c r="E2838" s="11" t="s">
        <v>2270</v>
      </c>
      <c r="F2838" t="s">
        <v>1241</v>
      </c>
      <c r="G2838" t="s">
        <v>1242</v>
      </c>
      <c r="H2838" s="10">
        <v>46126</v>
      </c>
      <c r="I2838">
        <v>161070</v>
      </c>
      <c r="J2838">
        <v>0</v>
      </c>
      <c r="K2838">
        <v>161070</v>
      </c>
    </row>
    <row r="2839" spans="2:11" x14ac:dyDescent="0.35">
      <c r="B2839">
        <v>1800001599</v>
      </c>
      <c r="C2839" s="10">
        <v>46112</v>
      </c>
      <c r="D2839" t="s">
        <v>2052</v>
      </c>
      <c r="E2839" s="11" t="s">
        <v>2271</v>
      </c>
      <c r="F2839" t="s">
        <v>1241</v>
      </c>
      <c r="G2839" t="s">
        <v>1242</v>
      </c>
      <c r="H2839" s="10">
        <v>46096</v>
      </c>
      <c r="I2839">
        <v>1639558.08</v>
      </c>
      <c r="J2839">
        <v>0</v>
      </c>
      <c r="K2839">
        <v>1639558.08</v>
      </c>
    </row>
    <row r="2840" spans="2:11" x14ac:dyDescent="0.35">
      <c r="B2840">
        <v>1800001597</v>
      </c>
      <c r="C2840" s="10">
        <v>46112</v>
      </c>
      <c r="D2840" t="s">
        <v>2052</v>
      </c>
      <c r="E2840" s="11" t="s">
        <v>2272</v>
      </c>
      <c r="F2840" t="s">
        <v>1261</v>
      </c>
      <c r="G2840" t="s">
        <v>1262</v>
      </c>
      <c r="H2840" s="10">
        <v>46096</v>
      </c>
      <c r="I2840">
        <v>184946.59</v>
      </c>
      <c r="J2840">
        <v>0</v>
      </c>
      <c r="K2840">
        <v>184946.59</v>
      </c>
    </row>
    <row r="2841" spans="2:11" x14ac:dyDescent="0.35">
      <c r="B2841">
        <v>1800001594</v>
      </c>
      <c r="C2841" s="10">
        <v>46112</v>
      </c>
      <c r="D2841" t="s">
        <v>2052</v>
      </c>
      <c r="E2841" s="11" t="s">
        <v>2273</v>
      </c>
      <c r="F2841" t="s">
        <v>1417</v>
      </c>
      <c r="G2841" t="s">
        <v>1418</v>
      </c>
      <c r="H2841" s="10">
        <v>46126</v>
      </c>
      <c r="I2841">
        <v>34072.5</v>
      </c>
      <c r="J2841">
        <v>0</v>
      </c>
      <c r="K2841">
        <v>34072.5</v>
      </c>
    </row>
    <row r="2842" spans="2:11" x14ac:dyDescent="0.35">
      <c r="B2842">
        <v>1800001593</v>
      </c>
      <c r="C2842" s="10">
        <v>46112</v>
      </c>
      <c r="D2842" t="s">
        <v>2052</v>
      </c>
      <c r="E2842" s="11" t="s">
        <v>2274</v>
      </c>
      <c r="F2842" t="s">
        <v>1417</v>
      </c>
      <c r="G2842" t="s">
        <v>1418</v>
      </c>
      <c r="H2842" s="10">
        <v>46126</v>
      </c>
      <c r="I2842">
        <v>102944.62</v>
      </c>
      <c r="J2842">
        <v>0</v>
      </c>
      <c r="K2842">
        <v>102944.62</v>
      </c>
    </row>
    <row r="2843" spans="2:11" x14ac:dyDescent="0.35">
      <c r="B2843">
        <v>1800001592</v>
      </c>
      <c r="C2843" s="10">
        <v>46112</v>
      </c>
      <c r="D2843" t="s">
        <v>2052</v>
      </c>
      <c r="E2843" s="11" t="s">
        <v>2275</v>
      </c>
      <c r="F2843" t="s">
        <v>1417</v>
      </c>
      <c r="G2843" t="s">
        <v>1418</v>
      </c>
      <c r="H2843" s="10">
        <v>46096</v>
      </c>
      <c r="I2843">
        <v>154847.84</v>
      </c>
      <c r="J2843">
        <v>0</v>
      </c>
      <c r="K2843">
        <v>154847.84</v>
      </c>
    </row>
    <row r="2844" spans="2:11" x14ac:dyDescent="0.35">
      <c r="B2844">
        <v>1800000847</v>
      </c>
      <c r="C2844" s="10">
        <v>46112</v>
      </c>
      <c r="D2844" t="s">
        <v>2052</v>
      </c>
      <c r="E2844" s="11" t="s">
        <v>2276</v>
      </c>
      <c r="F2844" t="s">
        <v>415</v>
      </c>
      <c r="G2844" t="s">
        <v>416</v>
      </c>
      <c r="H2844" s="10">
        <v>46126</v>
      </c>
      <c r="I2844">
        <v>10367.48</v>
      </c>
      <c r="J2844">
        <v>10058.34</v>
      </c>
      <c r="K2844">
        <v>309.13999999999942</v>
      </c>
    </row>
    <row r="2845" spans="2:11" x14ac:dyDescent="0.35">
      <c r="B2845">
        <v>1800000841</v>
      </c>
      <c r="C2845" s="10">
        <v>46112</v>
      </c>
      <c r="D2845" t="s">
        <v>2052</v>
      </c>
      <c r="E2845" s="11" t="s">
        <v>2277</v>
      </c>
      <c r="F2845" t="s">
        <v>1419</v>
      </c>
      <c r="G2845" t="s">
        <v>1420</v>
      </c>
      <c r="H2845" s="10">
        <v>46126</v>
      </c>
      <c r="I2845">
        <v>75626.14</v>
      </c>
      <c r="J2845">
        <v>75626.12</v>
      </c>
      <c r="K2845">
        <v>2.0000000004074536E-2</v>
      </c>
    </row>
    <row r="2846" spans="2:11" x14ac:dyDescent="0.35">
      <c r="B2846">
        <v>9400000407</v>
      </c>
      <c r="C2846" s="10">
        <v>46112</v>
      </c>
      <c r="D2846" t="s">
        <v>2032</v>
      </c>
      <c r="E2846" s="11" t="s">
        <v>2278</v>
      </c>
      <c r="F2846" t="s">
        <v>1093</v>
      </c>
      <c r="G2846" t="s">
        <v>1094</v>
      </c>
      <c r="H2846" s="10">
        <v>46080</v>
      </c>
      <c r="I2846">
        <v>93.7</v>
      </c>
      <c r="J2846">
        <v>0</v>
      </c>
      <c r="K2846">
        <v>93.7</v>
      </c>
    </row>
    <row r="2847" spans="2:11" x14ac:dyDescent="0.35">
      <c r="B2847">
        <v>1800004070</v>
      </c>
      <c r="C2847" s="10">
        <v>46112</v>
      </c>
      <c r="D2847" t="s">
        <v>2052</v>
      </c>
      <c r="E2847" s="11" t="s">
        <v>2279</v>
      </c>
      <c r="F2847" t="s">
        <v>1159</v>
      </c>
      <c r="G2847" t="s">
        <v>1160</v>
      </c>
      <c r="H2847" s="10">
        <v>46125</v>
      </c>
      <c r="I2847">
        <v>222105.1</v>
      </c>
      <c r="J2847">
        <v>0</v>
      </c>
      <c r="K2847">
        <v>222105.1</v>
      </c>
    </row>
    <row r="2848" spans="2:11" x14ac:dyDescent="0.35">
      <c r="B2848">
        <v>1800001590</v>
      </c>
      <c r="C2848" s="10">
        <v>46112</v>
      </c>
      <c r="D2848" t="s">
        <v>2052</v>
      </c>
      <c r="E2848" s="11" t="s">
        <v>2280</v>
      </c>
      <c r="F2848" t="s">
        <v>1241</v>
      </c>
      <c r="G2848" t="s">
        <v>1242</v>
      </c>
      <c r="H2848" s="10">
        <v>46095</v>
      </c>
      <c r="I2848">
        <v>263570.82</v>
      </c>
      <c r="J2848">
        <v>0</v>
      </c>
      <c r="K2848">
        <v>263570.82</v>
      </c>
    </row>
    <row r="2849" spans="2:11" x14ac:dyDescent="0.35">
      <c r="B2849">
        <v>1400004729</v>
      </c>
      <c r="C2849" s="10">
        <v>46112</v>
      </c>
      <c r="D2849" t="s">
        <v>2037</v>
      </c>
      <c r="E2849" s="11" t="s">
        <v>2281</v>
      </c>
      <c r="F2849" t="s">
        <v>1371</v>
      </c>
      <c r="G2849" t="s">
        <v>1372</v>
      </c>
      <c r="H2849" s="10">
        <v>46080</v>
      </c>
      <c r="I2849">
        <v>250000</v>
      </c>
      <c r="J2849">
        <v>71032.2</v>
      </c>
      <c r="K2849">
        <v>178967.8</v>
      </c>
    </row>
    <row r="2850" spans="2:11" x14ac:dyDescent="0.35">
      <c r="B2850">
        <v>100000672</v>
      </c>
      <c r="C2850" s="10">
        <v>46112</v>
      </c>
      <c r="D2850" t="s">
        <v>2034</v>
      </c>
      <c r="E2850" s="11" t="s">
        <v>2282</v>
      </c>
      <c r="F2850" t="s">
        <v>1283</v>
      </c>
      <c r="G2850" t="s">
        <v>1284</v>
      </c>
      <c r="H2850" s="10">
        <v>46080</v>
      </c>
      <c r="I2850">
        <v>58.1</v>
      </c>
      <c r="J2850">
        <v>0</v>
      </c>
      <c r="K2850">
        <v>58.1</v>
      </c>
    </row>
    <row r="2851" spans="2:11" x14ac:dyDescent="0.35">
      <c r="B2851">
        <v>1800001589</v>
      </c>
      <c r="C2851" s="10">
        <v>46112</v>
      </c>
      <c r="D2851" t="s">
        <v>2052</v>
      </c>
      <c r="E2851" s="11" t="s">
        <v>2283</v>
      </c>
      <c r="F2851" t="s">
        <v>925</v>
      </c>
      <c r="G2851" t="s">
        <v>926</v>
      </c>
      <c r="H2851" s="10">
        <v>46124</v>
      </c>
      <c r="I2851">
        <v>194860.22</v>
      </c>
      <c r="J2851">
        <v>0</v>
      </c>
      <c r="K2851">
        <v>194860.22</v>
      </c>
    </row>
    <row r="2852" spans="2:11" x14ac:dyDescent="0.35">
      <c r="B2852">
        <v>9400000589</v>
      </c>
      <c r="C2852" s="10">
        <v>46112</v>
      </c>
      <c r="D2852" t="s">
        <v>2032</v>
      </c>
      <c r="E2852" s="11" t="s">
        <v>2284</v>
      </c>
      <c r="F2852" t="s">
        <v>1281</v>
      </c>
      <c r="G2852" t="s">
        <v>1282</v>
      </c>
      <c r="H2852" s="10">
        <v>46076</v>
      </c>
      <c r="I2852">
        <v>1915.85</v>
      </c>
      <c r="J2852">
        <v>0</v>
      </c>
      <c r="K2852">
        <v>1915.85</v>
      </c>
    </row>
    <row r="2853" spans="2:11" x14ac:dyDescent="0.35">
      <c r="B2853">
        <v>1800004734</v>
      </c>
      <c r="C2853" s="10">
        <v>46112</v>
      </c>
      <c r="D2853" t="s">
        <v>2052</v>
      </c>
      <c r="E2853" s="11" t="s">
        <v>2285</v>
      </c>
      <c r="F2853" t="s">
        <v>1217</v>
      </c>
      <c r="G2853" t="s">
        <v>1218</v>
      </c>
      <c r="H2853" s="10">
        <v>46119</v>
      </c>
      <c r="I2853">
        <v>21994.27</v>
      </c>
      <c r="J2853">
        <v>0</v>
      </c>
      <c r="K2853">
        <v>21994.27</v>
      </c>
    </row>
    <row r="2854" spans="2:11" x14ac:dyDescent="0.35">
      <c r="B2854">
        <v>1800003811</v>
      </c>
      <c r="C2854" s="10">
        <v>46112</v>
      </c>
      <c r="D2854" t="s">
        <v>2052</v>
      </c>
      <c r="E2854" s="11" t="s">
        <v>2286</v>
      </c>
      <c r="F2854" t="s">
        <v>1367</v>
      </c>
      <c r="G2854" t="s">
        <v>1368</v>
      </c>
      <c r="H2854" s="10">
        <v>46119</v>
      </c>
      <c r="I2854">
        <v>79692.740000000005</v>
      </c>
      <c r="J2854">
        <v>76732.7</v>
      </c>
      <c r="K2854">
        <v>2960.0400000000081</v>
      </c>
    </row>
    <row r="2855" spans="2:11" x14ac:dyDescent="0.35">
      <c r="B2855">
        <v>1800000111</v>
      </c>
      <c r="C2855" s="10">
        <v>46112</v>
      </c>
      <c r="D2855" t="s">
        <v>2052</v>
      </c>
      <c r="E2855" s="11" t="s">
        <v>2287</v>
      </c>
      <c r="F2855" t="s">
        <v>1225</v>
      </c>
      <c r="G2855" t="s">
        <v>1226</v>
      </c>
      <c r="H2855" s="10">
        <v>46118</v>
      </c>
      <c r="I2855">
        <v>184144.84</v>
      </c>
      <c r="J2855">
        <v>148781.35999999999</v>
      </c>
      <c r="K2855">
        <v>35363.48000000001</v>
      </c>
    </row>
    <row r="2856" spans="2:11" x14ac:dyDescent="0.35">
      <c r="B2856">
        <v>100000666</v>
      </c>
      <c r="C2856" s="10">
        <v>46112</v>
      </c>
      <c r="D2856" t="s">
        <v>2034</v>
      </c>
      <c r="E2856" s="11" t="s">
        <v>2288</v>
      </c>
      <c r="F2856" t="s">
        <v>1279</v>
      </c>
      <c r="G2856" t="s">
        <v>1280</v>
      </c>
      <c r="H2856" s="10">
        <v>46072</v>
      </c>
      <c r="I2856">
        <v>0.4</v>
      </c>
      <c r="J2856">
        <v>0</v>
      </c>
      <c r="K2856">
        <v>0.4</v>
      </c>
    </row>
    <row r="2857" spans="2:11" x14ac:dyDescent="0.35">
      <c r="B2857">
        <v>100000664</v>
      </c>
      <c r="C2857" s="10">
        <v>46112</v>
      </c>
      <c r="D2857" t="s">
        <v>2034</v>
      </c>
      <c r="E2857" s="11" t="s">
        <v>2288</v>
      </c>
      <c r="F2857" t="s">
        <v>1103</v>
      </c>
      <c r="G2857" t="s">
        <v>1104</v>
      </c>
      <c r="H2857" s="10">
        <v>46072</v>
      </c>
      <c r="I2857">
        <v>59</v>
      </c>
      <c r="J2857">
        <v>0</v>
      </c>
      <c r="K2857">
        <v>59</v>
      </c>
    </row>
    <row r="2858" spans="2:11" x14ac:dyDescent="0.35">
      <c r="B2858">
        <v>100000662</v>
      </c>
      <c r="C2858" s="10">
        <v>46112</v>
      </c>
      <c r="D2858" t="s">
        <v>2034</v>
      </c>
      <c r="E2858" s="11" t="s">
        <v>2288</v>
      </c>
      <c r="F2858" t="s">
        <v>1117</v>
      </c>
      <c r="G2858" t="s">
        <v>1118</v>
      </c>
      <c r="H2858" s="10">
        <v>46072</v>
      </c>
      <c r="I2858">
        <v>59</v>
      </c>
      <c r="J2858">
        <v>0</v>
      </c>
      <c r="K2858">
        <v>59</v>
      </c>
    </row>
    <row r="2859" spans="2:11" x14ac:dyDescent="0.35">
      <c r="B2859">
        <v>100000661</v>
      </c>
      <c r="C2859" s="10">
        <v>46112</v>
      </c>
      <c r="D2859" t="s">
        <v>2034</v>
      </c>
      <c r="E2859" s="11" t="s">
        <v>2288</v>
      </c>
      <c r="F2859" t="s">
        <v>1095</v>
      </c>
      <c r="G2859" t="s">
        <v>1096</v>
      </c>
      <c r="H2859" s="10">
        <v>46072</v>
      </c>
      <c r="I2859">
        <v>59</v>
      </c>
      <c r="J2859">
        <v>0</v>
      </c>
      <c r="K2859">
        <v>59</v>
      </c>
    </row>
    <row r="2860" spans="2:11" x14ac:dyDescent="0.35">
      <c r="B2860">
        <v>100000652</v>
      </c>
      <c r="C2860" s="10">
        <v>46112</v>
      </c>
      <c r="D2860" t="s">
        <v>2034</v>
      </c>
      <c r="E2860" s="11" t="s">
        <v>2289</v>
      </c>
      <c r="F2860" t="s">
        <v>1117</v>
      </c>
      <c r="G2860" t="s">
        <v>1118</v>
      </c>
      <c r="H2860" s="10">
        <v>46070</v>
      </c>
      <c r="I2860">
        <v>46798.51</v>
      </c>
      <c r="J2860">
        <v>0</v>
      </c>
      <c r="K2860">
        <v>46798.51</v>
      </c>
    </row>
    <row r="2861" spans="2:11" x14ac:dyDescent="0.35">
      <c r="B2861">
        <v>100000648</v>
      </c>
      <c r="C2861" s="10">
        <v>46112</v>
      </c>
      <c r="D2861" t="s">
        <v>2034</v>
      </c>
      <c r="E2861" s="11" t="s">
        <v>2290</v>
      </c>
      <c r="F2861" t="s">
        <v>1103</v>
      </c>
      <c r="G2861" t="s">
        <v>1104</v>
      </c>
      <c r="H2861" s="10">
        <v>46070</v>
      </c>
      <c r="I2861">
        <v>34523.31</v>
      </c>
      <c r="J2861">
        <v>30000</v>
      </c>
      <c r="K2861">
        <v>4523.3099999999977</v>
      </c>
    </row>
    <row r="2862" spans="2:11" x14ac:dyDescent="0.35">
      <c r="B2862">
        <v>100000646</v>
      </c>
      <c r="C2862" s="10">
        <v>46112</v>
      </c>
      <c r="D2862" t="s">
        <v>2034</v>
      </c>
      <c r="E2862" s="11" t="s">
        <v>2290</v>
      </c>
      <c r="F2862" t="s">
        <v>1117</v>
      </c>
      <c r="G2862" t="s">
        <v>1118</v>
      </c>
      <c r="H2862" s="10">
        <v>46070</v>
      </c>
      <c r="I2862">
        <v>75000</v>
      </c>
      <c r="J2862">
        <v>0</v>
      </c>
      <c r="K2862">
        <v>75000</v>
      </c>
    </row>
    <row r="2863" spans="2:11" x14ac:dyDescent="0.35">
      <c r="B2863">
        <v>100000645</v>
      </c>
      <c r="C2863" s="10">
        <v>46112</v>
      </c>
      <c r="D2863" t="s">
        <v>2034</v>
      </c>
      <c r="E2863" s="11" t="s">
        <v>2290</v>
      </c>
      <c r="F2863" t="s">
        <v>1271</v>
      </c>
      <c r="G2863" t="s">
        <v>1272</v>
      </c>
      <c r="H2863" s="10">
        <v>46070</v>
      </c>
      <c r="I2863">
        <v>9579</v>
      </c>
      <c r="J2863">
        <v>0</v>
      </c>
      <c r="K2863">
        <v>9579</v>
      </c>
    </row>
    <row r="2864" spans="2:11" x14ac:dyDescent="0.35">
      <c r="B2864">
        <v>1800001581</v>
      </c>
      <c r="C2864" s="10">
        <v>46112</v>
      </c>
      <c r="D2864" t="s">
        <v>2052</v>
      </c>
      <c r="E2864" s="11" t="s">
        <v>2291</v>
      </c>
      <c r="F2864" t="s">
        <v>1241</v>
      </c>
      <c r="G2864" t="s">
        <v>1242</v>
      </c>
      <c r="H2864" s="10">
        <v>46112</v>
      </c>
      <c r="I2864">
        <v>393367.87</v>
      </c>
      <c r="J2864">
        <v>0</v>
      </c>
      <c r="K2864">
        <v>393367.87</v>
      </c>
    </row>
    <row r="2865" spans="2:11" x14ac:dyDescent="0.35">
      <c r="B2865">
        <v>100000639</v>
      </c>
      <c r="C2865" s="10">
        <v>46112</v>
      </c>
      <c r="D2865" t="s">
        <v>2034</v>
      </c>
      <c r="E2865" s="11" t="s">
        <v>2292</v>
      </c>
      <c r="F2865" t="s">
        <v>1273</v>
      </c>
      <c r="G2865" t="s">
        <v>1274</v>
      </c>
      <c r="H2865" s="10">
        <v>46066</v>
      </c>
      <c r="I2865">
        <v>59</v>
      </c>
      <c r="J2865">
        <v>0</v>
      </c>
      <c r="K2865">
        <v>59</v>
      </c>
    </row>
    <row r="2866" spans="2:11" x14ac:dyDescent="0.35">
      <c r="B2866">
        <v>100000637</v>
      </c>
      <c r="C2866" s="10">
        <v>46112</v>
      </c>
      <c r="D2866" t="s">
        <v>2034</v>
      </c>
      <c r="E2866" s="11" t="s">
        <v>2292</v>
      </c>
      <c r="F2866" t="s">
        <v>1269</v>
      </c>
      <c r="G2866" t="s">
        <v>1270</v>
      </c>
      <c r="H2866" s="10">
        <v>46066</v>
      </c>
      <c r="I2866">
        <v>59</v>
      </c>
      <c r="J2866">
        <v>0</v>
      </c>
      <c r="K2866">
        <v>59</v>
      </c>
    </row>
    <row r="2867" spans="2:11" x14ac:dyDescent="0.35">
      <c r="B2867">
        <v>100000636</v>
      </c>
      <c r="C2867" s="10">
        <v>46112</v>
      </c>
      <c r="D2867" t="s">
        <v>2034</v>
      </c>
      <c r="E2867" s="11" t="s">
        <v>2292</v>
      </c>
      <c r="F2867" t="s">
        <v>1285</v>
      </c>
      <c r="G2867" t="s">
        <v>1286</v>
      </c>
      <c r="H2867" s="10">
        <v>46066</v>
      </c>
      <c r="I2867">
        <v>59</v>
      </c>
      <c r="J2867">
        <v>0</v>
      </c>
      <c r="K2867">
        <v>59</v>
      </c>
    </row>
    <row r="2868" spans="2:11" x14ac:dyDescent="0.35">
      <c r="B2868">
        <v>100000634</v>
      </c>
      <c r="C2868" s="10">
        <v>46112</v>
      </c>
      <c r="D2868" t="s">
        <v>2034</v>
      </c>
      <c r="E2868" s="11" t="s">
        <v>2293</v>
      </c>
      <c r="F2868" t="s">
        <v>1273</v>
      </c>
      <c r="G2868" t="s">
        <v>1274</v>
      </c>
      <c r="H2868" s="10">
        <v>46065</v>
      </c>
      <c r="I2868">
        <v>23458</v>
      </c>
      <c r="J2868">
        <v>0</v>
      </c>
      <c r="K2868">
        <v>23458</v>
      </c>
    </row>
    <row r="2869" spans="2:11" x14ac:dyDescent="0.35">
      <c r="B2869">
        <v>9400000497</v>
      </c>
      <c r="C2869" s="10">
        <v>46112</v>
      </c>
      <c r="D2869" t="s">
        <v>2032</v>
      </c>
      <c r="E2869" s="11" t="s">
        <v>2294</v>
      </c>
      <c r="F2869" t="s">
        <v>1421</v>
      </c>
      <c r="G2869" t="s">
        <v>1422</v>
      </c>
      <c r="H2869" s="10">
        <v>46063</v>
      </c>
      <c r="I2869">
        <v>47.94</v>
      </c>
      <c r="J2869">
        <v>0</v>
      </c>
      <c r="K2869">
        <v>47.94</v>
      </c>
    </row>
    <row r="2870" spans="2:11" x14ac:dyDescent="0.35">
      <c r="B2870">
        <v>1800002768</v>
      </c>
      <c r="C2870" s="10">
        <v>46112</v>
      </c>
      <c r="D2870" t="s">
        <v>2052</v>
      </c>
      <c r="E2870" s="11" t="s">
        <v>2295</v>
      </c>
      <c r="F2870" t="s">
        <v>1423</v>
      </c>
      <c r="G2870" t="s">
        <v>1424</v>
      </c>
      <c r="H2870" s="10">
        <v>46107</v>
      </c>
      <c r="I2870">
        <v>1616.5</v>
      </c>
      <c r="J2870">
        <v>0</v>
      </c>
      <c r="K2870">
        <v>1616.5</v>
      </c>
    </row>
    <row r="2871" spans="2:11" x14ac:dyDescent="0.35">
      <c r="B2871">
        <v>1400004725</v>
      </c>
      <c r="C2871" s="10">
        <v>46112</v>
      </c>
      <c r="D2871" t="s">
        <v>2037</v>
      </c>
      <c r="E2871" s="11" t="s">
        <v>2296</v>
      </c>
      <c r="F2871" t="s">
        <v>1285</v>
      </c>
      <c r="G2871" t="s">
        <v>1286</v>
      </c>
      <c r="H2871" s="10">
        <v>46062</v>
      </c>
      <c r="I2871">
        <v>37337.94</v>
      </c>
      <c r="J2871">
        <v>0</v>
      </c>
      <c r="K2871">
        <v>37337.94</v>
      </c>
    </row>
    <row r="2872" spans="2:11" x14ac:dyDescent="0.35">
      <c r="B2872">
        <v>1400004723</v>
      </c>
      <c r="C2872" s="10">
        <v>46112</v>
      </c>
      <c r="D2872" t="s">
        <v>2037</v>
      </c>
      <c r="E2872" s="11" t="s">
        <v>2297</v>
      </c>
      <c r="F2872" t="s">
        <v>1269</v>
      </c>
      <c r="G2872" t="s">
        <v>1270</v>
      </c>
      <c r="H2872" s="10">
        <v>46058</v>
      </c>
      <c r="I2872">
        <v>7457</v>
      </c>
      <c r="J2872">
        <v>0</v>
      </c>
      <c r="K2872">
        <v>7457</v>
      </c>
    </row>
    <row r="2873" spans="2:11" x14ac:dyDescent="0.35">
      <c r="B2873">
        <v>9400000588</v>
      </c>
      <c r="C2873" s="10">
        <v>46112</v>
      </c>
      <c r="D2873" t="s">
        <v>2032</v>
      </c>
      <c r="E2873" s="11" t="s">
        <v>2298</v>
      </c>
      <c r="F2873" t="s">
        <v>1357</v>
      </c>
      <c r="G2873" t="s">
        <v>1358</v>
      </c>
      <c r="H2873" s="10">
        <v>46053</v>
      </c>
      <c r="I2873">
        <v>159.19</v>
      </c>
      <c r="J2873">
        <v>0</v>
      </c>
      <c r="K2873">
        <v>159.19</v>
      </c>
    </row>
    <row r="2874" spans="2:11" x14ac:dyDescent="0.35">
      <c r="B2874">
        <v>9400000495</v>
      </c>
      <c r="C2874" s="10">
        <v>46112</v>
      </c>
      <c r="D2874" t="s">
        <v>2032</v>
      </c>
      <c r="E2874" s="11" t="s">
        <v>2299</v>
      </c>
      <c r="F2874" t="s">
        <v>1415</v>
      </c>
      <c r="G2874" t="s">
        <v>1416</v>
      </c>
      <c r="H2874" s="10">
        <v>46053</v>
      </c>
      <c r="I2874">
        <v>194019.56</v>
      </c>
      <c r="J2874">
        <v>0</v>
      </c>
      <c r="K2874">
        <v>194019.56</v>
      </c>
    </row>
    <row r="2875" spans="2:11" x14ac:dyDescent="0.35">
      <c r="B2875">
        <v>1800003295</v>
      </c>
      <c r="C2875" s="10">
        <v>46112</v>
      </c>
      <c r="D2875" t="s">
        <v>2052</v>
      </c>
      <c r="E2875" s="11" t="s">
        <v>2300</v>
      </c>
      <c r="F2875" t="s">
        <v>1095</v>
      </c>
      <c r="G2875" t="s">
        <v>1096</v>
      </c>
      <c r="H2875" s="10">
        <v>46068</v>
      </c>
      <c r="I2875">
        <v>513370.8</v>
      </c>
      <c r="J2875">
        <v>43155.32</v>
      </c>
      <c r="K2875">
        <v>470215.48</v>
      </c>
    </row>
    <row r="2876" spans="2:11" x14ac:dyDescent="0.35">
      <c r="B2876">
        <v>1800002761</v>
      </c>
      <c r="C2876" s="10">
        <v>46112</v>
      </c>
      <c r="D2876" t="s">
        <v>2052</v>
      </c>
      <c r="E2876" s="11" t="s">
        <v>2301</v>
      </c>
      <c r="F2876" t="s">
        <v>1103</v>
      </c>
      <c r="G2876" t="s">
        <v>1104</v>
      </c>
      <c r="H2876" s="10">
        <v>46098</v>
      </c>
      <c r="I2876">
        <v>7944.35</v>
      </c>
      <c r="J2876">
        <v>0</v>
      </c>
      <c r="K2876">
        <v>7944.35</v>
      </c>
    </row>
    <row r="2877" spans="2:11" x14ac:dyDescent="0.35">
      <c r="B2877">
        <v>1800002759</v>
      </c>
      <c r="C2877" s="10">
        <v>46112</v>
      </c>
      <c r="D2877" t="s">
        <v>2052</v>
      </c>
      <c r="E2877" s="11" t="s">
        <v>2302</v>
      </c>
      <c r="F2877" t="s">
        <v>1103</v>
      </c>
      <c r="G2877" t="s">
        <v>1104</v>
      </c>
      <c r="H2877" s="10">
        <v>46098</v>
      </c>
      <c r="I2877">
        <v>50605.46</v>
      </c>
      <c r="J2877">
        <v>0</v>
      </c>
      <c r="K2877">
        <v>50605.46</v>
      </c>
    </row>
    <row r="2878" spans="2:11" x14ac:dyDescent="0.35">
      <c r="B2878">
        <v>1800002600</v>
      </c>
      <c r="C2878" s="10">
        <v>46112</v>
      </c>
      <c r="D2878" t="s">
        <v>2052</v>
      </c>
      <c r="E2878" s="11" t="s">
        <v>2303</v>
      </c>
      <c r="F2878" t="s">
        <v>1243</v>
      </c>
      <c r="G2878" t="s">
        <v>1244</v>
      </c>
      <c r="H2878" s="10">
        <v>46098</v>
      </c>
      <c r="I2878">
        <v>392889.26</v>
      </c>
      <c r="J2878">
        <v>0</v>
      </c>
      <c r="K2878">
        <v>392889.26</v>
      </c>
    </row>
    <row r="2879" spans="2:11" x14ac:dyDescent="0.35">
      <c r="B2879">
        <v>1800000096</v>
      </c>
      <c r="C2879" s="10">
        <v>46112</v>
      </c>
      <c r="D2879" t="s">
        <v>2052</v>
      </c>
      <c r="E2879" s="11" t="s">
        <v>2304</v>
      </c>
      <c r="F2879" t="s">
        <v>993</v>
      </c>
      <c r="G2879" t="s">
        <v>994</v>
      </c>
      <c r="H2879" s="10">
        <v>46098</v>
      </c>
      <c r="I2879">
        <v>0.08</v>
      </c>
      <c r="J2879">
        <v>0</v>
      </c>
      <c r="K2879">
        <v>0.08</v>
      </c>
    </row>
    <row r="2880" spans="2:11" x14ac:dyDescent="0.35">
      <c r="B2880">
        <v>1400004719</v>
      </c>
      <c r="C2880" s="10">
        <v>46112</v>
      </c>
      <c r="D2880" t="s">
        <v>2037</v>
      </c>
      <c r="E2880" s="11" t="s">
        <v>2305</v>
      </c>
      <c r="F2880" t="s">
        <v>1299</v>
      </c>
      <c r="G2880" t="s">
        <v>1300</v>
      </c>
      <c r="H2880" s="10">
        <v>46053</v>
      </c>
      <c r="I2880">
        <v>59</v>
      </c>
      <c r="J2880">
        <v>0</v>
      </c>
      <c r="K2880">
        <v>59</v>
      </c>
    </row>
    <row r="2881" spans="2:11" x14ac:dyDescent="0.35">
      <c r="B2881">
        <v>1800006343</v>
      </c>
      <c r="C2881" s="10">
        <v>46112</v>
      </c>
      <c r="D2881" t="s">
        <v>2052</v>
      </c>
      <c r="E2881" s="11" t="s">
        <v>2306</v>
      </c>
      <c r="F2881" t="s">
        <v>1425</v>
      </c>
      <c r="G2881" t="s">
        <v>1426</v>
      </c>
      <c r="H2881" s="10">
        <v>46097</v>
      </c>
      <c r="I2881">
        <v>7.53</v>
      </c>
      <c r="J2881">
        <v>0</v>
      </c>
      <c r="K2881">
        <v>7.53</v>
      </c>
    </row>
    <row r="2882" spans="2:11" x14ac:dyDescent="0.35">
      <c r="B2882">
        <v>1800003291</v>
      </c>
      <c r="C2882" s="10">
        <v>46112</v>
      </c>
      <c r="D2882" t="s">
        <v>2052</v>
      </c>
      <c r="E2882" s="11" t="s">
        <v>2307</v>
      </c>
      <c r="F2882" t="s">
        <v>1249</v>
      </c>
      <c r="G2882" t="s">
        <v>1250</v>
      </c>
      <c r="H2882" s="10">
        <v>46097</v>
      </c>
      <c r="I2882">
        <v>92422.87</v>
      </c>
      <c r="J2882">
        <v>0</v>
      </c>
      <c r="K2882">
        <v>92422.87</v>
      </c>
    </row>
    <row r="2883" spans="2:11" x14ac:dyDescent="0.35">
      <c r="B2883">
        <v>1800003290</v>
      </c>
      <c r="C2883" s="10">
        <v>46112</v>
      </c>
      <c r="D2883" t="s">
        <v>2052</v>
      </c>
      <c r="E2883" s="11" t="s">
        <v>2308</v>
      </c>
      <c r="F2883" t="s">
        <v>1095</v>
      </c>
      <c r="G2883" t="s">
        <v>1096</v>
      </c>
      <c r="H2883" s="10">
        <v>46097</v>
      </c>
      <c r="I2883">
        <v>110341.73</v>
      </c>
      <c r="J2883">
        <v>0</v>
      </c>
      <c r="K2883">
        <v>110341.73</v>
      </c>
    </row>
    <row r="2884" spans="2:11" x14ac:dyDescent="0.35">
      <c r="B2884">
        <v>1400004714</v>
      </c>
      <c r="C2884" s="10">
        <v>46112</v>
      </c>
      <c r="D2884" t="s">
        <v>2037</v>
      </c>
      <c r="E2884" s="11" t="s">
        <v>2309</v>
      </c>
      <c r="F2884" t="s">
        <v>1299</v>
      </c>
      <c r="G2884" t="s">
        <v>1300</v>
      </c>
      <c r="H2884" s="10">
        <v>46050</v>
      </c>
      <c r="I2884">
        <v>9677.48</v>
      </c>
      <c r="J2884">
        <v>0</v>
      </c>
      <c r="K2884">
        <v>9677.48</v>
      </c>
    </row>
    <row r="2885" spans="2:11" x14ac:dyDescent="0.35">
      <c r="B2885">
        <v>1800001573</v>
      </c>
      <c r="C2885" s="10">
        <v>46112</v>
      </c>
      <c r="D2885" t="s">
        <v>2052</v>
      </c>
      <c r="E2885" s="11" t="s">
        <v>2310</v>
      </c>
      <c r="F2885" t="s">
        <v>1261</v>
      </c>
      <c r="G2885" t="s">
        <v>1262</v>
      </c>
      <c r="H2885" s="10">
        <v>46094</v>
      </c>
      <c r="I2885">
        <v>344326.69</v>
      </c>
      <c r="J2885">
        <v>152059.34</v>
      </c>
      <c r="K2885">
        <v>192267.35</v>
      </c>
    </row>
    <row r="2886" spans="2:11" x14ac:dyDescent="0.35">
      <c r="B2886">
        <v>9400000398</v>
      </c>
      <c r="C2886" s="10">
        <v>46112</v>
      </c>
      <c r="D2886" t="s">
        <v>2032</v>
      </c>
      <c r="E2886" s="11" t="s">
        <v>2311</v>
      </c>
      <c r="F2886" t="s">
        <v>557</v>
      </c>
      <c r="G2886" t="s">
        <v>558</v>
      </c>
      <c r="H2886" s="10">
        <v>46046</v>
      </c>
      <c r="I2886">
        <v>24545.63</v>
      </c>
      <c r="J2886">
        <v>0</v>
      </c>
      <c r="K2886">
        <v>24545.63</v>
      </c>
    </row>
    <row r="2887" spans="2:11" x14ac:dyDescent="0.35">
      <c r="B2887">
        <v>9400000340</v>
      </c>
      <c r="C2887" s="10">
        <v>46112</v>
      </c>
      <c r="D2887" t="s">
        <v>2032</v>
      </c>
      <c r="E2887" s="11" t="s">
        <v>2312</v>
      </c>
      <c r="F2887" t="s">
        <v>1329</v>
      </c>
      <c r="G2887" t="s">
        <v>1330</v>
      </c>
      <c r="H2887" s="10">
        <v>46045</v>
      </c>
      <c r="I2887">
        <v>4093.42</v>
      </c>
      <c r="J2887">
        <v>0</v>
      </c>
      <c r="K2887">
        <v>4093.42</v>
      </c>
    </row>
    <row r="2888" spans="2:11" x14ac:dyDescent="0.35">
      <c r="B2888">
        <v>9400000142</v>
      </c>
      <c r="C2888" s="10">
        <v>46112</v>
      </c>
      <c r="D2888" t="s">
        <v>2032</v>
      </c>
      <c r="E2888" s="11" t="s">
        <v>2313</v>
      </c>
      <c r="F2888" t="s">
        <v>1427</v>
      </c>
      <c r="G2888" t="s">
        <v>1428</v>
      </c>
      <c r="H2888" s="10">
        <v>46044</v>
      </c>
      <c r="I2888">
        <v>31.39</v>
      </c>
      <c r="J2888">
        <v>0</v>
      </c>
      <c r="K2888">
        <v>31.39</v>
      </c>
    </row>
    <row r="2889" spans="2:11" x14ac:dyDescent="0.35">
      <c r="B2889">
        <v>9400000397</v>
      </c>
      <c r="C2889" s="10">
        <v>46112</v>
      </c>
      <c r="D2889" t="s">
        <v>2032</v>
      </c>
      <c r="E2889" s="11" t="s">
        <v>2314</v>
      </c>
      <c r="F2889" t="s">
        <v>1089</v>
      </c>
      <c r="G2889" t="s">
        <v>1090</v>
      </c>
      <c r="H2889" s="10">
        <v>46043</v>
      </c>
      <c r="I2889">
        <v>31.78</v>
      </c>
      <c r="J2889">
        <v>0</v>
      </c>
      <c r="K2889">
        <v>31.78</v>
      </c>
    </row>
    <row r="2890" spans="2:11" x14ac:dyDescent="0.35">
      <c r="B2890">
        <v>9400000338</v>
      </c>
      <c r="C2890" s="10">
        <v>46112</v>
      </c>
      <c r="D2890" t="s">
        <v>2032</v>
      </c>
      <c r="E2890" s="11" t="s">
        <v>2315</v>
      </c>
      <c r="F2890" t="s">
        <v>1329</v>
      </c>
      <c r="G2890" t="s">
        <v>1330</v>
      </c>
      <c r="H2890" s="10">
        <v>46042</v>
      </c>
      <c r="I2890">
        <v>26167.66</v>
      </c>
      <c r="J2890">
        <v>0</v>
      </c>
      <c r="K2890">
        <v>26167.66</v>
      </c>
    </row>
    <row r="2891" spans="2:11" x14ac:dyDescent="0.35">
      <c r="B2891">
        <v>100000619</v>
      </c>
      <c r="C2891" s="10">
        <v>46112</v>
      </c>
      <c r="D2891" t="s">
        <v>2034</v>
      </c>
      <c r="E2891" s="11" t="s">
        <v>2316</v>
      </c>
      <c r="F2891" t="s">
        <v>1293</v>
      </c>
      <c r="G2891" t="s">
        <v>1294</v>
      </c>
      <c r="H2891" s="10">
        <v>46041</v>
      </c>
      <c r="I2891">
        <v>31761.47</v>
      </c>
      <c r="J2891">
        <v>0</v>
      </c>
      <c r="K2891">
        <v>31761.47</v>
      </c>
    </row>
    <row r="2892" spans="2:11" x14ac:dyDescent="0.35">
      <c r="B2892">
        <v>100000618</v>
      </c>
      <c r="C2892" s="10">
        <v>46112</v>
      </c>
      <c r="D2892" t="s">
        <v>2034</v>
      </c>
      <c r="E2892" s="11" t="s">
        <v>2316</v>
      </c>
      <c r="F2892" t="s">
        <v>1291</v>
      </c>
      <c r="G2892" t="s">
        <v>1292</v>
      </c>
      <c r="H2892" s="10">
        <v>46041</v>
      </c>
      <c r="I2892">
        <v>51.01</v>
      </c>
      <c r="J2892">
        <v>0</v>
      </c>
      <c r="K2892">
        <v>51.01</v>
      </c>
    </row>
    <row r="2893" spans="2:11" x14ac:dyDescent="0.35">
      <c r="B2893">
        <v>100000290</v>
      </c>
      <c r="C2893" s="10">
        <v>46112</v>
      </c>
      <c r="D2893" t="s">
        <v>2034</v>
      </c>
      <c r="E2893" s="11" t="s">
        <v>2317</v>
      </c>
      <c r="F2893" t="s">
        <v>1353</v>
      </c>
      <c r="G2893" t="s">
        <v>1354</v>
      </c>
      <c r="H2893" s="10">
        <v>46041</v>
      </c>
      <c r="I2893">
        <v>8000</v>
      </c>
      <c r="J2893">
        <v>0</v>
      </c>
      <c r="K2893">
        <v>8000</v>
      </c>
    </row>
    <row r="2894" spans="2:11" x14ac:dyDescent="0.35">
      <c r="B2894">
        <v>100000632</v>
      </c>
      <c r="C2894" s="10">
        <v>46112</v>
      </c>
      <c r="D2894" t="s">
        <v>2034</v>
      </c>
      <c r="E2894" s="11" t="s">
        <v>2318</v>
      </c>
      <c r="F2894" t="s">
        <v>1295</v>
      </c>
      <c r="G2894" t="s">
        <v>1296</v>
      </c>
      <c r="H2894" s="10">
        <v>46039</v>
      </c>
      <c r="I2894">
        <v>59</v>
      </c>
      <c r="J2894">
        <v>0</v>
      </c>
      <c r="K2894">
        <v>59</v>
      </c>
    </row>
    <row r="2895" spans="2:11" x14ac:dyDescent="0.35">
      <c r="B2895">
        <v>100000631</v>
      </c>
      <c r="C2895" s="10">
        <v>46112</v>
      </c>
      <c r="D2895" t="s">
        <v>2034</v>
      </c>
      <c r="E2895" s="11" t="s">
        <v>2319</v>
      </c>
      <c r="F2895" t="s">
        <v>1295</v>
      </c>
      <c r="G2895" t="s">
        <v>1296</v>
      </c>
      <c r="H2895" s="10">
        <v>46039</v>
      </c>
      <c r="I2895">
        <v>59</v>
      </c>
      <c r="J2895">
        <v>0</v>
      </c>
      <c r="K2895">
        <v>59</v>
      </c>
    </row>
    <row r="2896" spans="2:11" x14ac:dyDescent="0.35">
      <c r="B2896">
        <v>100000629</v>
      </c>
      <c r="C2896" s="10">
        <v>46112</v>
      </c>
      <c r="D2896" t="s">
        <v>2034</v>
      </c>
      <c r="E2896" s="11" t="s">
        <v>2319</v>
      </c>
      <c r="F2896" t="s">
        <v>1315</v>
      </c>
      <c r="G2896" t="s">
        <v>1316</v>
      </c>
      <c r="H2896" s="10">
        <v>46039</v>
      </c>
      <c r="I2896">
        <v>59</v>
      </c>
      <c r="J2896">
        <v>0</v>
      </c>
      <c r="K2896">
        <v>59</v>
      </c>
    </row>
    <row r="2897" spans="2:11" x14ac:dyDescent="0.35">
      <c r="B2897">
        <v>100000621</v>
      </c>
      <c r="C2897" s="10">
        <v>46112</v>
      </c>
      <c r="D2897" t="s">
        <v>2034</v>
      </c>
      <c r="E2897" s="11" t="s">
        <v>2320</v>
      </c>
      <c r="F2897" t="s">
        <v>1429</v>
      </c>
      <c r="G2897" t="s">
        <v>1430</v>
      </c>
      <c r="H2897" s="10">
        <v>46039</v>
      </c>
      <c r="I2897">
        <v>59</v>
      </c>
      <c r="J2897">
        <v>0</v>
      </c>
      <c r="K2897">
        <v>59</v>
      </c>
    </row>
    <row r="2898" spans="2:11" x14ac:dyDescent="0.35">
      <c r="B2898">
        <v>100000617</v>
      </c>
      <c r="C2898" s="10">
        <v>46112</v>
      </c>
      <c r="D2898" t="s">
        <v>2034</v>
      </c>
      <c r="E2898" s="11" t="s">
        <v>2321</v>
      </c>
      <c r="F2898" t="s">
        <v>1295</v>
      </c>
      <c r="G2898" t="s">
        <v>1296</v>
      </c>
      <c r="H2898" s="10">
        <v>46038</v>
      </c>
      <c r="I2898">
        <v>118635</v>
      </c>
      <c r="J2898">
        <v>0</v>
      </c>
      <c r="K2898">
        <v>118635</v>
      </c>
    </row>
    <row r="2899" spans="2:11" x14ac:dyDescent="0.35">
      <c r="B2899">
        <v>100000616</v>
      </c>
      <c r="C2899" s="10">
        <v>46112</v>
      </c>
      <c r="D2899" t="s">
        <v>2034</v>
      </c>
      <c r="E2899" s="11" t="s">
        <v>2322</v>
      </c>
      <c r="F2899" t="s">
        <v>1295</v>
      </c>
      <c r="G2899" t="s">
        <v>1296</v>
      </c>
      <c r="H2899" s="10">
        <v>46038</v>
      </c>
      <c r="I2899">
        <v>127346</v>
      </c>
      <c r="J2899">
        <v>0</v>
      </c>
      <c r="K2899">
        <v>127346</v>
      </c>
    </row>
    <row r="2900" spans="2:11" x14ac:dyDescent="0.35">
      <c r="B2900">
        <v>100000614</v>
      </c>
      <c r="C2900" s="10">
        <v>46112</v>
      </c>
      <c r="D2900" t="s">
        <v>2034</v>
      </c>
      <c r="E2900" s="11" t="s">
        <v>2322</v>
      </c>
      <c r="F2900" t="s">
        <v>1315</v>
      </c>
      <c r="G2900" t="s">
        <v>1316</v>
      </c>
      <c r="H2900" s="10">
        <v>46038</v>
      </c>
      <c r="I2900">
        <v>62943.199999999997</v>
      </c>
      <c r="J2900">
        <v>46863.78</v>
      </c>
      <c r="K2900">
        <v>16079.419999999998</v>
      </c>
    </row>
    <row r="2901" spans="2:11" x14ac:dyDescent="0.35">
      <c r="B2901">
        <v>100000613</v>
      </c>
      <c r="C2901" s="10">
        <v>46112</v>
      </c>
      <c r="D2901" t="s">
        <v>2034</v>
      </c>
      <c r="E2901" s="11" t="s">
        <v>2322</v>
      </c>
      <c r="F2901" t="s">
        <v>1271</v>
      </c>
      <c r="G2901" t="s">
        <v>1272</v>
      </c>
      <c r="H2901" s="10">
        <v>46038</v>
      </c>
      <c r="I2901">
        <v>205762.07</v>
      </c>
      <c r="J2901">
        <v>4582.8900000000003</v>
      </c>
      <c r="K2901">
        <v>201179.18</v>
      </c>
    </row>
    <row r="2902" spans="2:11" x14ac:dyDescent="0.35">
      <c r="B2902">
        <v>100000612</v>
      </c>
      <c r="C2902" s="10">
        <v>46112</v>
      </c>
      <c r="D2902" t="s">
        <v>2034</v>
      </c>
      <c r="E2902" s="11" t="s">
        <v>2323</v>
      </c>
      <c r="F2902" t="s">
        <v>1429</v>
      </c>
      <c r="G2902" t="s">
        <v>1430</v>
      </c>
      <c r="H2902" s="10">
        <v>46038</v>
      </c>
      <c r="I2902">
        <v>124507.93</v>
      </c>
      <c r="J2902">
        <v>28755.200000000001</v>
      </c>
      <c r="K2902">
        <v>95752.73</v>
      </c>
    </row>
    <row r="2903" spans="2:11" x14ac:dyDescent="0.35">
      <c r="B2903">
        <v>1800002591</v>
      </c>
      <c r="C2903" s="10">
        <v>46112</v>
      </c>
      <c r="D2903" t="s">
        <v>2052</v>
      </c>
      <c r="E2903" s="11" t="s">
        <v>2324</v>
      </c>
      <c r="F2903" t="s">
        <v>1431</v>
      </c>
      <c r="G2903" t="s">
        <v>1432</v>
      </c>
      <c r="H2903" s="10">
        <v>46082</v>
      </c>
      <c r="I2903">
        <v>288.02</v>
      </c>
      <c r="J2903">
        <v>0</v>
      </c>
      <c r="K2903">
        <v>288.02</v>
      </c>
    </row>
    <row r="2904" spans="2:11" x14ac:dyDescent="0.35">
      <c r="B2904">
        <v>1400004712</v>
      </c>
      <c r="C2904" s="10">
        <v>46112</v>
      </c>
      <c r="D2904" t="s">
        <v>2037</v>
      </c>
      <c r="E2904" s="11" t="s">
        <v>2325</v>
      </c>
      <c r="F2904" t="s">
        <v>1311</v>
      </c>
      <c r="G2904" t="s">
        <v>1312</v>
      </c>
      <c r="H2904" s="10">
        <v>46037</v>
      </c>
      <c r="I2904">
        <v>284754.48</v>
      </c>
      <c r="J2904">
        <v>0</v>
      </c>
      <c r="K2904">
        <v>284754.48</v>
      </c>
    </row>
    <row r="2905" spans="2:11" x14ac:dyDescent="0.35">
      <c r="B2905">
        <v>9400000141</v>
      </c>
      <c r="C2905" s="10">
        <v>46112</v>
      </c>
      <c r="D2905" t="s">
        <v>2032</v>
      </c>
      <c r="E2905" s="11" t="s">
        <v>2326</v>
      </c>
      <c r="F2905" t="s">
        <v>1325</v>
      </c>
      <c r="G2905" t="s">
        <v>1326</v>
      </c>
      <c r="H2905" s="10">
        <v>46036</v>
      </c>
      <c r="I2905">
        <v>31.46</v>
      </c>
      <c r="J2905">
        <v>0</v>
      </c>
      <c r="K2905">
        <v>31.46</v>
      </c>
    </row>
    <row r="2906" spans="2:11" x14ac:dyDescent="0.35">
      <c r="B2906">
        <v>9400000140</v>
      </c>
      <c r="C2906" s="10">
        <v>46112</v>
      </c>
      <c r="D2906" t="s">
        <v>2032</v>
      </c>
      <c r="E2906" s="11" t="s">
        <v>2327</v>
      </c>
      <c r="F2906" t="s">
        <v>1327</v>
      </c>
      <c r="G2906" t="s">
        <v>1328</v>
      </c>
      <c r="H2906" s="10">
        <v>46036</v>
      </c>
      <c r="I2906">
        <v>31.46</v>
      </c>
      <c r="J2906">
        <v>0</v>
      </c>
      <c r="K2906">
        <v>31.46</v>
      </c>
    </row>
    <row r="2907" spans="2:11" x14ac:dyDescent="0.35">
      <c r="B2907">
        <v>1400004709</v>
      </c>
      <c r="C2907" s="10">
        <v>46112</v>
      </c>
      <c r="D2907" t="s">
        <v>2037</v>
      </c>
      <c r="E2907" s="11" t="s">
        <v>2328</v>
      </c>
      <c r="F2907" t="s">
        <v>1305</v>
      </c>
      <c r="G2907" t="s">
        <v>1306</v>
      </c>
      <c r="H2907" s="10">
        <v>46036</v>
      </c>
      <c r="I2907">
        <v>122139</v>
      </c>
      <c r="J2907">
        <v>3703.33</v>
      </c>
      <c r="K2907">
        <v>118435.67</v>
      </c>
    </row>
    <row r="2908" spans="2:11" x14ac:dyDescent="0.35">
      <c r="B2908">
        <v>100000626</v>
      </c>
      <c r="C2908" s="10">
        <v>46112</v>
      </c>
      <c r="D2908" t="s">
        <v>2034</v>
      </c>
      <c r="E2908" s="11" t="s">
        <v>2329</v>
      </c>
      <c r="F2908" t="s">
        <v>1301</v>
      </c>
      <c r="G2908" t="s">
        <v>1302</v>
      </c>
      <c r="H2908" s="10">
        <v>46036</v>
      </c>
      <c r="I2908">
        <v>59</v>
      </c>
      <c r="J2908">
        <v>0</v>
      </c>
      <c r="K2908">
        <v>59</v>
      </c>
    </row>
    <row r="2909" spans="2:11" x14ac:dyDescent="0.35">
      <c r="B2909">
        <v>100000624</v>
      </c>
      <c r="C2909" s="10">
        <v>46112</v>
      </c>
      <c r="D2909" t="s">
        <v>2034</v>
      </c>
      <c r="E2909" s="11" t="s">
        <v>2329</v>
      </c>
      <c r="F2909" t="s">
        <v>1305</v>
      </c>
      <c r="G2909" t="s">
        <v>1306</v>
      </c>
      <c r="H2909" s="10">
        <v>46036</v>
      </c>
      <c r="I2909">
        <v>59</v>
      </c>
      <c r="J2909">
        <v>0</v>
      </c>
      <c r="K2909">
        <v>59</v>
      </c>
    </row>
    <row r="2910" spans="2:11" x14ac:dyDescent="0.35">
      <c r="B2910">
        <v>1400004541</v>
      </c>
      <c r="C2910" s="10">
        <v>46112</v>
      </c>
      <c r="D2910" t="s">
        <v>2037</v>
      </c>
      <c r="E2910" s="11" t="s">
        <v>2330</v>
      </c>
      <c r="F2910" t="s">
        <v>1433</v>
      </c>
      <c r="G2910" t="s">
        <v>1434</v>
      </c>
      <c r="H2910" s="10">
        <v>46034</v>
      </c>
      <c r="I2910">
        <v>599</v>
      </c>
      <c r="J2910">
        <v>0</v>
      </c>
      <c r="K2910">
        <v>599</v>
      </c>
    </row>
    <row r="2911" spans="2:11" x14ac:dyDescent="0.35">
      <c r="B2911">
        <v>1400004707</v>
      </c>
      <c r="C2911" s="10">
        <v>46112</v>
      </c>
      <c r="D2911" t="s">
        <v>2037</v>
      </c>
      <c r="E2911" s="11" t="s">
        <v>2331</v>
      </c>
      <c r="F2911" t="s">
        <v>1301</v>
      </c>
      <c r="G2911" t="s">
        <v>1302</v>
      </c>
      <c r="H2911" s="10">
        <v>46031</v>
      </c>
      <c r="I2911">
        <v>16380.73</v>
      </c>
      <c r="J2911">
        <v>0</v>
      </c>
      <c r="K2911">
        <v>16380.73</v>
      </c>
    </row>
    <row r="2912" spans="2:11" x14ac:dyDescent="0.35">
      <c r="B2912">
        <v>100000289</v>
      </c>
      <c r="C2912" s="10">
        <v>46112</v>
      </c>
      <c r="D2912" t="s">
        <v>2034</v>
      </c>
      <c r="E2912" s="11" t="s">
        <v>2332</v>
      </c>
      <c r="F2912" t="s">
        <v>1435</v>
      </c>
      <c r="G2912" t="s">
        <v>1436</v>
      </c>
      <c r="H2912" s="10">
        <v>46030</v>
      </c>
      <c r="I2912">
        <v>30000</v>
      </c>
      <c r="J2912">
        <v>0</v>
      </c>
      <c r="K2912">
        <v>30000</v>
      </c>
    </row>
    <row r="2913" spans="2:11" x14ac:dyDescent="0.35">
      <c r="B2913">
        <v>1800004028</v>
      </c>
      <c r="C2913" s="10">
        <v>46112</v>
      </c>
      <c r="D2913" t="s">
        <v>2052</v>
      </c>
      <c r="E2913" s="11" t="s">
        <v>2333</v>
      </c>
      <c r="F2913" t="s">
        <v>1115</v>
      </c>
      <c r="G2913" t="s">
        <v>1116</v>
      </c>
      <c r="H2913" s="10">
        <v>46067</v>
      </c>
      <c r="I2913">
        <v>27546.54</v>
      </c>
      <c r="J2913">
        <v>0</v>
      </c>
      <c r="K2913">
        <v>27546.54</v>
      </c>
    </row>
    <row r="2914" spans="2:11" x14ac:dyDescent="0.35">
      <c r="B2914">
        <v>1800003265</v>
      </c>
      <c r="C2914" s="10">
        <v>46112</v>
      </c>
      <c r="D2914" t="s">
        <v>2052</v>
      </c>
      <c r="E2914" s="11" t="s">
        <v>2334</v>
      </c>
      <c r="F2914" t="s">
        <v>1293</v>
      </c>
      <c r="G2914" t="s">
        <v>1294</v>
      </c>
      <c r="H2914" s="10">
        <v>46067</v>
      </c>
      <c r="I2914">
        <v>383398.14</v>
      </c>
      <c r="J2914">
        <v>0</v>
      </c>
      <c r="K2914">
        <v>383398.14</v>
      </c>
    </row>
    <row r="2915" spans="2:11" x14ac:dyDescent="0.35">
      <c r="B2915">
        <v>1800003262</v>
      </c>
      <c r="C2915" s="10">
        <v>46112</v>
      </c>
      <c r="D2915" t="s">
        <v>2052</v>
      </c>
      <c r="E2915" s="11" t="s">
        <v>2335</v>
      </c>
      <c r="F2915" t="s">
        <v>1089</v>
      </c>
      <c r="G2915" t="s">
        <v>1090</v>
      </c>
      <c r="H2915" s="10">
        <v>46067</v>
      </c>
      <c r="I2915">
        <v>50576.15</v>
      </c>
      <c r="J2915">
        <v>0</v>
      </c>
      <c r="K2915">
        <v>50576.15</v>
      </c>
    </row>
    <row r="2916" spans="2:11" x14ac:dyDescent="0.35">
      <c r="B2916">
        <v>1800003261</v>
      </c>
      <c r="C2916" s="10">
        <v>46112</v>
      </c>
      <c r="D2916" t="s">
        <v>2052</v>
      </c>
      <c r="E2916" s="11" t="s">
        <v>2336</v>
      </c>
      <c r="F2916" t="s">
        <v>1089</v>
      </c>
      <c r="G2916" t="s">
        <v>1090</v>
      </c>
      <c r="H2916" s="10">
        <v>46037</v>
      </c>
      <c r="I2916">
        <v>50151.05</v>
      </c>
      <c r="J2916">
        <v>30000</v>
      </c>
      <c r="K2916">
        <v>20151.050000000003</v>
      </c>
    </row>
    <row r="2917" spans="2:11" x14ac:dyDescent="0.35">
      <c r="B2917">
        <v>1800002736</v>
      </c>
      <c r="C2917" s="10">
        <v>46112</v>
      </c>
      <c r="D2917" t="s">
        <v>2052</v>
      </c>
      <c r="E2917" s="11" t="s">
        <v>2337</v>
      </c>
      <c r="F2917" t="s">
        <v>1135</v>
      </c>
      <c r="G2917" t="s">
        <v>1136</v>
      </c>
      <c r="H2917" s="10">
        <v>46067</v>
      </c>
      <c r="I2917">
        <v>50.8</v>
      </c>
      <c r="J2917">
        <v>0</v>
      </c>
      <c r="K2917">
        <v>50.8</v>
      </c>
    </row>
    <row r="2918" spans="2:11" x14ac:dyDescent="0.35">
      <c r="B2918">
        <v>1800002588</v>
      </c>
      <c r="C2918" s="10">
        <v>46112</v>
      </c>
      <c r="D2918" t="s">
        <v>2052</v>
      </c>
      <c r="E2918" s="11" t="s">
        <v>2338</v>
      </c>
      <c r="F2918" t="s">
        <v>1243</v>
      </c>
      <c r="G2918" t="s">
        <v>1244</v>
      </c>
      <c r="H2918" s="10">
        <v>46067</v>
      </c>
      <c r="I2918">
        <v>16857.05</v>
      </c>
      <c r="J2918">
        <v>0</v>
      </c>
      <c r="K2918">
        <v>16857.05</v>
      </c>
    </row>
    <row r="2919" spans="2:11" x14ac:dyDescent="0.35">
      <c r="B2919">
        <v>1800002587</v>
      </c>
      <c r="C2919" s="10">
        <v>46112</v>
      </c>
      <c r="D2919" t="s">
        <v>2052</v>
      </c>
      <c r="E2919" s="11" t="s">
        <v>2339</v>
      </c>
      <c r="F2919" t="s">
        <v>1271</v>
      </c>
      <c r="G2919" t="s">
        <v>1272</v>
      </c>
      <c r="H2919" s="10">
        <v>46067</v>
      </c>
      <c r="I2919">
        <v>9579.24</v>
      </c>
      <c r="J2919">
        <v>0</v>
      </c>
      <c r="K2919">
        <v>9579.24</v>
      </c>
    </row>
    <row r="2920" spans="2:11" x14ac:dyDescent="0.35">
      <c r="B2920">
        <v>1800001571</v>
      </c>
      <c r="C2920" s="10">
        <v>46112</v>
      </c>
      <c r="D2920" t="s">
        <v>2052</v>
      </c>
      <c r="E2920" s="11" t="s">
        <v>2340</v>
      </c>
      <c r="F2920" t="s">
        <v>1315</v>
      </c>
      <c r="G2920" t="s">
        <v>1316</v>
      </c>
      <c r="H2920" s="10">
        <v>46067</v>
      </c>
      <c r="I2920">
        <v>47170.05</v>
      </c>
      <c r="J2920">
        <v>0</v>
      </c>
      <c r="K2920">
        <v>47170.05</v>
      </c>
    </row>
    <row r="2921" spans="2:11" x14ac:dyDescent="0.35">
      <c r="B2921">
        <v>1800001330</v>
      </c>
      <c r="C2921" s="10">
        <v>46112</v>
      </c>
      <c r="D2921" t="s">
        <v>2052</v>
      </c>
      <c r="E2921" s="11" t="s">
        <v>2341</v>
      </c>
      <c r="F2921" t="s">
        <v>1437</v>
      </c>
      <c r="G2921" t="s">
        <v>1438</v>
      </c>
      <c r="H2921" s="10">
        <v>46067</v>
      </c>
      <c r="I2921">
        <v>429.17</v>
      </c>
      <c r="J2921">
        <v>0</v>
      </c>
      <c r="K2921">
        <v>429.17</v>
      </c>
    </row>
    <row r="2922" spans="2:11" x14ac:dyDescent="0.35">
      <c r="B2922">
        <v>1800003047</v>
      </c>
      <c r="C2922" s="10">
        <v>46112</v>
      </c>
      <c r="D2922" t="s">
        <v>2052</v>
      </c>
      <c r="E2922" s="11" t="s">
        <v>2342</v>
      </c>
      <c r="F2922" t="s">
        <v>1439</v>
      </c>
      <c r="G2922" t="s">
        <v>1440</v>
      </c>
      <c r="H2922" s="10">
        <v>46064</v>
      </c>
      <c r="I2922">
        <v>32710.78</v>
      </c>
      <c r="J2922">
        <v>0</v>
      </c>
      <c r="K2922">
        <v>32710.78</v>
      </c>
    </row>
    <row r="2923" spans="2:11" x14ac:dyDescent="0.35">
      <c r="B2923">
        <v>1800003252</v>
      </c>
      <c r="C2923" s="10">
        <v>46112</v>
      </c>
      <c r="D2923" t="s">
        <v>2052</v>
      </c>
      <c r="E2923" s="11" t="s">
        <v>2343</v>
      </c>
      <c r="F2923" t="s">
        <v>1273</v>
      </c>
      <c r="G2923" t="s">
        <v>1274</v>
      </c>
      <c r="H2923" s="10">
        <v>46062</v>
      </c>
      <c r="I2923">
        <v>13303.22</v>
      </c>
      <c r="J2923">
        <v>0</v>
      </c>
      <c r="K2923">
        <v>13303.22</v>
      </c>
    </row>
    <row r="2924" spans="2:11" x14ac:dyDescent="0.35">
      <c r="B2924">
        <v>100000611</v>
      </c>
      <c r="C2924" s="10">
        <v>46112</v>
      </c>
      <c r="D2924" t="s">
        <v>2034</v>
      </c>
      <c r="E2924" s="11" t="s">
        <v>2344</v>
      </c>
      <c r="F2924" t="s">
        <v>1329</v>
      </c>
      <c r="G2924" t="s">
        <v>1330</v>
      </c>
      <c r="H2924" s="10">
        <v>46015</v>
      </c>
      <c r="I2924">
        <v>59</v>
      </c>
      <c r="J2924">
        <v>0</v>
      </c>
      <c r="K2924">
        <v>59</v>
      </c>
    </row>
    <row r="2925" spans="2:11" x14ac:dyDescent="0.35">
      <c r="B2925">
        <v>100000610</v>
      </c>
      <c r="C2925" s="10">
        <v>46112</v>
      </c>
      <c r="D2925" t="s">
        <v>2034</v>
      </c>
      <c r="E2925" s="11" t="s">
        <v>2345</v>
      </c>
      <c r="F2925" t="s">
        <v>1319</v>
      </c>
      <c r="G2925" t="s">
        <v>1320</v>
      </c>
      <c r="H2925" s="10">
        <v>46015</v>
      </c>
      <c r="I2925">
        <v>59</v>
      </c>
      <c r="J2925">
        <v>0</v>
      </c>
      <c r="K2925">
        <v>59</v>
      </c>
    </row>
    <row r="2926" spans="2:11" x14ac:dyDescent="0.35">
      <c r="B2926">
        <v>100000609</v>
      </c>
      <c r="C2926" s="10">
        <v>46112</v>
      </c>
      <c r="D2926" t="s">
        <v>2034</v>
      </c>
      <c r="E2926" s="11" t="s">
        <v>2345</v>
      </c>
      <c r="F2926" t="s">
        <v>1329</v>
      </c>
      <c r="G2926" t="s">
        <v>1330</v>
      </c>
      <c r="H2926" s="10">
        <v>46015</v>
      </c>
      <c r="I2926">
        <v>59</v>
      </c>
      <c r="J2926">
        <v>0</v>
      </c>
      <c r="K2926">
        <v>59</v>
      </c>
    </row>
    <row r="2927" spans="2:11" x14ac:dyDescent="0.35">
      <c r="B2927">
        <v>100000608</v>
      </c>
      <c r="C2927" s="10">
        <v>46112</v>
      </c>
      <c r="D2927" t="s">
        <v>2034</v>
      </c>
      <c r="E2927" s="11" t="s">
        <v>2345</v>
      </c>
      <c r="F2927" t="s">
        <v>1441</v>
      </c>
      <c r="G2927" t="s">
        <v>1442</v>
      </c>
      <c r="H2927" s="10">
        <v>46015</v>
      </c>
      <c r="I2927">
        <v>59</v>
      </c>
      <c r="J2927">
        <v>0</v>
      </c>
      <c r="K2927">
        <v>59</v>
      </c>
    </row>
    <row r="2928" spans="2:11" x14ac:dyDescent="0.35">
      <c r="B2928">
        <v>100000606</v>
      </c>
      <c r="C2928" s="10">
        <v>46112</v>
      </c>
      <c r="D2928" t="s">
        <v>2034</v>
      </c>
      <c r="E2928" s="11" t="s">
        <v>2345</v>
      </c>
      <c r="F2928" t="s">
        <v>1327</v>
      </c>
      <c r="G2928" t="s">
        <v>1328</v>
      </c>
      <c r="H2928" s="10">
        <v>46015</v>
      </c>
      <c r="I2928">
        <v>59</v>
      </c>
      <c r="J2928">
        <v>0</v>
      </c>
      <c r="K2928">
        <v>59</v>
      </c>
    </row>
    <row r="2929" spans="2:11" x14ac:dyDescent="0.35">
      <c r="B2929">
        <v>100000605</v>
      </c>
      <c r="C2929" s="10">
        <v>46112</v>
      </c>
      <c r="D2929" t="s">
        <v>2034</v>
      </c>
      <c r="E2929" s="11" t="s">
        <v>2345</v>
      </c>
      <c r="F2929" t="s">
        <v>1333</v>
      </c>
      <c r="G2929" t="s">
        <v>1334</v>
      </c>
      <c r="H2929" s="10">
        <v>46015</v>
      </c>
      <c r="I2929">
        <v>59</v>
      </c>
      <c r="J2929">
        <v>0</v>
      </c>
      <c r="K2929">
        <v>59</v>
      </c>
    </row>
    <row r="2930" spans="2:11" x14ac:dyDescent="0.35">
      <c r="B2930">
        <v>100000603</v>
      </c>
      <c r="C2930" s="10">
        <v>46112</v>
      </c>
      <c r="D2930" t="s">
        <v>2034</v>
      </c>
      <c r="E2930" s="11" t="s">
        <v>2345</v>
      </c>
      <c r="F2930" t="s">
        <v>1323</v>
      </c>
      <c r="G2930" t="s">
        <v>1324</v>
      </c>
      <c r="H2930" s="10">
        <v>46015</v>
      </c>
      <c r="I2930">
        <v>59</v>
      </c>
      <c r="J2930">
        <v>0</v>
      </c>
      <c r="K2930">
        <v>59</v>
      </c>
    </row>
    <row r="2931" spans="2:11" x14ac:dyDescent="0.35">
      <c r="B2931">
        <v>1800005977</v>
      </c>
      <c r="C2931" s="10">
        <v>46112</v>
      </c>
      <c r="D2931" t="s">
        <v>2052</v>
      </c>
      <c r="E2931" s="11" t="s">
        <v>2346</v>
      </c>
      <c r="F2931" t="s">
        <v>1443</v>
      </c>
      <c r="G2931" t="s">
        <v>1444</v>
      </c>
      <c r="H2931" s="10">
        <v>46059</v>
      </c>
      <c r="I2931">
        <v>54539.63</v>
      </c>
      <c r="J2931">
        <v>0</v>
      </c>
      <c r="K2931">
        <v>54539.63</v>
      </c>
    </row>
    <row r="2932" spans="2:11" x14ac:dyDescent="0.35">
      <c r="B2932">
        <v>1400004705</v>
      </c>
      <c r="C2932" s="10">
        <v>46112</v>
      </c>
      <c r="D2932" t="s">
        <v>2037</v>
      </c>
      <c r="E2932" s="11" t="s">
        <v>2347</v>
      </c>
      <c r="F2932" t="s">
        <v>1329</v>
      </c>
      <c r="G2932" t="s">
        <v>1330</v>
      </c>
      <c r="H2932" s="10">
        <v>46012</v>
      </c>
      <c r="I2932">
        <v>61084</v>
      </c>
      <c r="J2932">
        <v>0</v>
      </c>
      <c r="K2932">
        <v>61084</v>
      </c>
    </row>
    <row r="2933" spans="2:11" x14ac:dyDescent="0.35">
      <c r="B2933">
        <v>100000602</v>
      </c>
      <c r="C2933" s="10">
        <v>46112</v>
      </c>
      <c r="D2933" t="s">
        <v>2034</v>
      </c>
      <c r="E2933" s="11" t="s">
        <v>2348</v>
      </c>
      <c r="F2933" t="s">
        <v>1335</v>
      </c>
      <c r="G2933" t="s">
        <v>1336</v>
      </c>
      <c r="H2933" s="10">
        <v>46009</v>
      </c>
      <c r="I2933">
        <v>59</v>
      </c>
      <c r="J2933">
        <v>0</v>
      </c>
      <c r="K2933">
        <v>59</v>
      </c>
    </row>
    <row r="2934" spans="2:11" x14ac:dyDescent="0.35">
      <c r="B2934">
        <v>100000601</v>
      </c>
      <c r="C2934" s="10">
        <v>46112</v>
      </c>
      <c r="D2934" t="s">
        <v>2034</v>
      </c>
      <c r="E2934" s="11" t="s">
        <v>2348</v>
      </c>
      <c r="F2934" t="s">
        <v>1343</v>
      </c>
      <c r="G2934" t="s">
        <v>1344</v>
      </c>
      <c r="H2934" s="10">
        <v>46009</v>
      </c>
      <c r="I2934">
        <v>59</v>
      </c>
      <c r="J2934">
        <v>0</v>
      </c>
      <c r="K2934">
        <v>59</v>
      </c>
    </row>
    <row r="2935" spans="2:11" x14ac:dyDescent="0.35">
      <c r="B2935">
        <v>9400000583</v>
      </c>
      <c r="C2935" s="10">
        <v>46112</v>
      </c>
      <c r="D2935" t="s">
        <v>2032</v>
      </c>
      <c r="E2935" s="11" t="s">
        <v>2349</v>
      </c>
      <c r="F2935" t="s">
        <v>1303</v>
      </c>
      <c r="G2935" t="s">
        <v>1304</v>
      </c>
      <c r="H2935" s="10">
        <v>46008</v>
      </c>
      <c r="I2935">
        <v>10521.43</v>
      </c>
      <c r="J2935">
        <v>10000</v>
      </c>
      <c r="K2935">
        <v>521.43000000000029</v>
      </c>
    </row>
    <row r="2936" spans="2:11" x14ac:dyDescent="0.35">
      <c r="B2936">
        <v>1800002584</v>
      </c>
      <c r="C2936" s="10">
        <v>46112</v>
      </c>
      <c r="D2936" t="s">
        <v>2052</v>
      </c>
      <c r="E2936" s="11" t="s">
        <v>2350</v>
      </c>
      <c r="F2936" t="s">
        <v>1269</v>
      </c>
      <c r="G2936" t="s">
        <v>1270</v>
      </c>
      <c r="H2936" s="10">
        <v>46053</v>
      </c>
      <c r="I2936">
        <v>7457.01</v>
      </c>
      <c r="J2936">
        <v>6184.34</v>
      </c>
      <c r="K2936">
        <v>1272.67</v>
      </c>
    </row>
    <row r="2937" spans="2:11" x14ac:dyDescent="0.35">
      <c r="B2937">
        <v>100000600</v>
      </c>
      <c r="C2937" s="10">
        <v>46112</v>
      </c>
      <c r="D2937" t="s">
        <v>2034</v>
      </c>
      <c r="E2937" s="11" t="s">
        <v>2351</v>
      </c>
      <c r="F2937" t="s">
        <v>1441</v>
      </c>
      <c r="G2937" t="s">
        <v>1442</v>
      </c>
      <c r="H2937" s="10">
        <v>46008</v>
      </c>
      <c r="I2937">
        <v>185353.39</v>
      </c>
      <c r="J2937">
        <v>0</v>
      </c>
      <c r="K2937">
        <v>185353.39</v>
      </c>
    </row>
    <row r="2938" spans="2:11" x14ac:dyDescent="0.35">
      <c r="B2938">
        <v>100000599</v>
      </c>
      <c r="C2938" s="10">
        <v>46112</v>
      </c>
      <c r="D2938" t="s">
        <v>2034</v>
      </c>
      <c r="E2938" s="11" t="s">
        <v>2352</v>
      </c>
      <c r="F2938" t="s">
        <v>1333</v>
      </c>
      <c r="G2938" t="s">
        <v>1334</v>
      </c>
      <c r="H2938" s="10">
        <v>46008</v>
      </c>
      <c r="I2938">
        <v>13345.6</v>
      </c>
      <c r="J2938">
        <v>9500</v>
      </c>
      <c r="K2938">
        <v>3845.6000000000004</v>
      </c>
    </row>
    <row r="2939" spans="2:11" x14ac:dyDescent="0.35">
      <c r="B2939">
        <v>9400000334</v>
      </c>
      <c r="C2939" s="10">
        <v>46112</v>
      </c>
      <c r="D2939" t="s">
        <v>2032</v>
      </c>
      <c r="E2939" s="11" t="s">
        <v>2353</v>
      </c>
      <c r="F2939" t="s">
        <v>1445</v>
      </c>
      <c r="G2939" t="s">
        <v>1446</v>
      </c>
      <c r="H2939" s="10">
        <v>46007</v>
      </c>
      <c r="I2939">
        <v>42.35</v>
      </c>
      <c r="J2939">
        <v>0</v>
      </c>
      <c r="K2939">
        <v>42.35</v>
      </c>
    </row>
    <row r="2940" spans="2:11" x14ac:dyDescent="0.35">
      <c r="B2940">
        <v>100000598</v>
      </c>
      <c r="C2940" s="10">
        <v>46112</v>
      </c>
      <c r="D2940" t="s">
        <v>2034</v>
      </c>
      <c r="E2940" s="11" t="s">
        <v>2354</v>
      </c>
      <c r="F2940" t="s">
        <v>1329</v>
      </c>
      <c r="G2940" t="s">
        <v>1330</v>
      </c>
      <c r="H2940" s="10">
        <v>46007</v>
      </c>
      <c r="I2940">
        <v>64557</v>
      </c>
      <c r="J2940">
        <v>0</v>
      </c>
      <c r="K2940">
        <v>64557</v>
      </c>
    </row>
    <row r="2941" spans="2:11" x14ac:dyDescent="0.35">
      <c r="B2941">
        <v>100000597</v>
      </c>
      <c r="C2941" s="10">
        <v>46112</v>
      </c>
      <c r="D2941" t="s">
        <v>2034</v>
      </c>
      <c r="E2941" s="11" t="s">
        <v>2354</v>
      </c>
      <c r="F2941" t="s">
        <v>1327</v>
      </c>
      <c r="G2941" t="s">
        <v>1328</v>
      </c>
      <c r="H2941" s="10">
        <v>46007</v>
      </c>
      <c r="I2941">
        <v>14120.83</v>
      </c>
      <c r="J2941">
        <v>0</v>
      </c>
      <c r="K2941">
        <v>14120.83</v>
      </c>
    </row>
    <row r="2942" spans="2:11" x14ac:dyDescent="0.35">
      <c r="B2942">
        <v>100000596</v>
      </c>
      <c r="C2942" s="10">
        <v>46112</v>
      </c>
      <c r="D2942" t="s">
        <v>2034</v>
      </c>
      <c r="E2942" s="11" t="s">
        <v>2355</v>
      </c>
      <c r="F2942" t="s">
        <v>1335</v>
      </c>
      <c r="G2942" t="s">
        <v>1336</v>
      </c>
      <c r="H2942" s="10">
        <v>46007</v>
      </c>
      <c r="I2942">
        <v>12955.64</v>
      </c>
      <c r="J2942">
        <v>0</v>
      </c>
      <c r="K2942">
        <v>12955.64</v>
      </c>
    </row>
    <row r="2943" spans="2:11" x14ac:dyDescent="0.35">
      <c r="B2943">
        <v>1800003760</v>
      </c>
      <c r="C2943" s="10">
        <v>46112</v>
      </c>
      <c r="D2943" t="s">
        <v>2052</v>
      </c>
      <c r="E2943" s="11" t="s">
        <v>2356</v>
      </c>
      <c r="F2943" t="s">
        <v>1447</v>
      </c>
      <c r="G2943" t="s">
        <v>1448</v>
      </c>
      <c r="H2943" s="10">
        <v>46021</v>
      </c>
      <c r="I2943">
        <v>13814.14</v>
      </c>
      <c r="J2943">
        <v>0</v>
      </c>
      <c r="K2943">
        <v>13814.14</v>
      </c>
    </row>
    <row r="2944" spans="2:11" x14ac:dyDescent="0.35">
      <c r="B2944">
        <v>100000595</v>
      </c>
      <c r="C2944" s="10">
        <v>46112</v>
      </c>
      <c r="D2944" t="s">
        <v>2034</v>
      </c>
      <c r="E2944" s="11" t="s">
        <v>2357</v>
      </c>
      <c r="F2944" t="s">
        <v>1343</v>
      </c>
      <c r="G2944" t="s">
        <v>1344</v>
      </c>
      <c r="H2944" s="10">
        <v>46006</v>
      </c>
      <c r="I2944">
        <v>57394</v>
      </c>
      <c r="J2944">
        <v>34429.58</v>
      </c>
      <c r="K2944">
        <v>22964.42</v>
      </c>
    </row>
    <row r="2945" spans="2:11" x14ac:dyDescent="0.35">
      <c r="B2945">
        <v>1800002254</v>
      </c>
      <c r="C2945" s="10">
        <v>46112</v>
      </c>
      <c r="D2945" t="s">
        <v>2052</v>
      </c>
      <c r="E2945" s="11" t="s">
        <v>2358</v>
      </c>
      <c r="F2945" t="s">
        <v>1387</v>
      </c>
      <c r="G2945" t="s">
        <v>1388</v>
      </c>
      <c r="H2945" s="10">
        <v>46049</v>
      </c>
      <c r="I2945">
        <v>16271.87</v>
      </c>
      <c r="J2945">
        <v>0</v>
      </c>
      <c r="K2945">
        <v>16271.87</v>
      </c>
    </row>
    <row r="2946" spans="2:11" x14ac:dyDescent="0.35">
      <c r="B2946">
        <v>9400000626</v>
      </c>
      <c r="C2946" s="10">
        <v>46112</v>
      </c>
      <c r="D2946" t="s">
        <v>2032</v>
      </c>
      <c r="E2946" s="11" t="s">
        <v>2359</v>
      </c>
      <c r="F2946" t="s">
        <v>1311</v>
      </c>
      <c r="G2946" t="s">
        <v>1312</v>
      </c>
      <c r="H2946" s="10">
        <v>46003</v>
      </c>
      <c r="I2946">
        <v>21889.5</v>
      </c>
      <c r="J2946">
        <v>0</v>
      </c>
      <c r="K2946">
        <v>21889.5</v>
      </c>
    </row>
    <row r="2947" spans="2:11" x14ac:dyDescent="0.35">
      <c r="B2947">
        <v>1800002253</v>
      </c>
      <c r="C2947" s="10">
        <v>46112</v>
      </c>
      <c r="D2947" t="s">
        <v>2052</v>
      </c>
      <c r="E2947" s="11" t="s">
        <v>2360</v>
      </c>
      <c r="F2947" t="s">
        <v>1449</v>
      </c>
      <c r="G2947" t="s">
        <v>1450</v>
      </c>
      <c r="H2947" s="10">
        <v>46048</v>
      </c>
      <c r="I2947">
        <v>28924.75</v>
      </c>
      <c r="J2947">
        <v>0</v>
      </c>
      <c r="K2947">
        <v>28924.75</v>
      </c>
    </row>
    <row r="2948" spans="2:11" x14ac:dyDescent="0.35">
      <c r="B2948">
        <v>1400004704</v>
      </c>
      <c r="C2948" s="10">
        <v>46112</v>
      </c>
      <c r="D2948" t="s">
        <v>2037</v>
      </c>
      <c r="E2948" s="11" t="s">
        <v>2361</v>
      </c>
      <c r="F2948" t="s">
        <v>1337</v>
      </c>
      <c r="G2948" t="s">
        <v>1338</v>
      </c>
      <c r="H2948" s="10">
        <v>46003</v>
      </c>
      <c r="I2948">
        <v>59</v>
      </c>
      <c r="J2948">
        <v>0</v>
      </c>
      <c r="K2948">
        <v>59</v>
      </c>
    </row>
    <row r="2949" spans="2:11" x14ac:dyDescent="0.35">
      <c r="B2949">
        <v>9400000249</v>
      </c>
      <c r="C2949" s="10">
        <v>46112</v>
      </c>
      <c r="D2949" t="s">
        <v>2032</v>
      </c>
      <c r="E2949" s="11" t="s">
        <v>2362</v>
      </c>
      <c r="F2949" t="s">
        <v>1377</v>
      </c>
      <c r="G2949" t="s">
        <v>1378</v>
      </c>
      <c r="H2949" s="10">
        <v>46002</v>
      </c>
      <c r="I2949">
        <v>7.0000000000000007E-2</v>
      </c>
      <c r="J2949">
        <v>0</v>
      </c>
      <c r="K2949">
        <v>7.0000000000000007E-2</v>
      </c>
    </row>
    <row r="2950" spans="2:11" x14ac:dyDescent="0.35">
      <c r="B2950">
        <v>9400000136</v>
      </c>
      <c r="C2950" s="10">
        <v>46112</v>
      </c>
      <c r="D2950" t="s">
        <v>2032</v>
      </c>
      <c r="E2950" s="11" t="s">
        <v>2363</v>
      </c>
      <c r="F2950" t="s">
        <v>1451</v>
      </c>
      <c r="G2950" t="s">
        <v>1452</v>
      </c>
      <c r="H2950" s="10">
        <v>46002</v>
      </c>
      <c r="I2950">
        <v>28.19</v>
      </c>
      <c r="J2950">
        <v>0</v>
      </c>
      <c r="K2950">
        <v>28.19</v>
      </c>
    </row>
    <row r="2951" spans="2:11" x14ac:dyDescent="0.35">
      <c r="B2951">
        <v>1400004703</v>
      </c>
      <c r="C2951" s="10">
        <v>46112</v>
      </c>
      <c r="D2951" t="s">
        <v>2037</v>
      </c>
      <c r="E2951" s="11" t="s">
        <v>2364</v>
      </c>
      <c r="F2951" t="s">
        <v>1337</v>
      </c>
      <c r="G2951" t="s">
        <v>1338</v>
      </c>
      <c r="H2951" s="10">
        <v>46002</v>
      </c>
      <c r="I2951">
        <v>90725.119999999995</v>
      </c>
      <c r="J2951">
        <v>0</v>
      </c>
      <c r="K2951">
        <v>90725.119999999995</v>
      </c>
    </row>
    <row r="2952" spans="2:11" x14ac:dyDescent="0.35">
      <c r="B2952">
        <v>9400000625</v>
      </c>
      <c r="C2952" s="10">
        <v>46112</v>
      </c>
      <c r="D2952" t="s">
        <v>2032</v>
      </c>
      <c r="E2952" s="11" t="s">
        <v>2365</v>
      </c>
      <c r="F2952" t="s">
        <v>1311</v>
      </c>
      <c r="G2952" t="s">
        <v>1312</v>
      </c>
      <c r="H2952" s="10">
        <v>46001</v>
      </c>
      <c r="I2952">
        <v>847.23</v>
      </c>
      <c r="J2952">
        <v>0</v>
      </c>
      <c r="K2952">
        <v>847.23</v>
      </c>
    </row>
    <row r="2953" spans="2:11" x14ac:dyDescent="0.35">
      <c r="B2953">
        <v>1800002252</v>
      </c>
      <c r="C2953" s="10">
        <v>46112</v>
      </c>
      <c r="D2953" t="s">
        <v>2052</v>
      </c>
      <c r="E2953" s="11" t="s">
        <v>2366</v>
      </c>
      <c r="F2953" t="s">
        <v>1453</v>
      </c>
      <c r="G2953" t="s">
        <v>1454</v>
      </c>
      <c r="H2953" s="10">
        <v>46046</v>
      </c>
      <c r="I2953">
        <v>19457.599999999999</v>
      </c>
      <c r="J2953">
        <v>0</v>
      </c>
      <c r="K2953">
        <v>19457.599999999999</v>
      </c>
    </row>
    <row r="2954" spans="2:11" x14ac:dyDescent="0.35">
      <c r="B2954">
        <v>1800002251</v>
      </c>
      <c r="C2954" s="10">
        <v>46112</v>
      </c>
      <c r="D2954" t="s">
        <v>2052</v>
      </c>
      <c r="E2954" s="11" t="s">
        <v>2367</v>
      </c>
      <c r="F2954" t="s">
        <v>1453</v>
      </c>
      <c r="G2954" t="s">
        <v>1454</v>
      </c>
      <c r="H2954" s="10">
        <v>46045</v>
      </c>
      <c r="I2954">
        <v>421710.25</v>
      </c>
      <c r="J2954">
        <v>0</v>
      </c>
      <c r="K2954">
        <v>421710.25</v>
      </c>
    </row>
    <row r="2955" spans="2:11" x14ac:dyDescent="0.35">
      <c r="B2955">
        <v>1800000684</v>
      </c>
      <c r="C2955" s="10">
        <v>46112</v>
      </c>
      <c r="D2955" t="s">
        <v>2052</v>
      </c>
      <c r="E2955" s="11" t="s">
        <v>2368</v>
      </c>
      <c r="F2955" t="s">
        <v>1455</v>
      </c>
      <c r="G2955" t="s">
        <v>1456</v>
      </c>
      <c r="H2955" s="10">
        <v>46045</v>
      </c>
      <c r="I2955">
        <v>892.99</v>
      </c>
      <c r="J2955">
        <v>0</v>
      </c>
      <c r="K2955">
        <v>892.99</v>
      </c>
    </row>
    <row r="2956" spans="2:11" x14ac:dyDescent="0.35">
      <c r="B2956">
        <v>100000594</v>
      </c>
      <c r="C2956" s="10">
        <v>46112</v>
      </c>
      <c r="D2956" t="s">
        <v>2034</v>
      </c>
      <c r="E2956" s="11" t="s">
        <v>2369</v>
      </c>
      <c r="F2956" t="s">
        <v>1323</v>
      </c>
      <c r="G2956" t="s">
        <v>1324</v>
      </c>
      <c r="H2956" s="10">
        <v>46000</v>
      </c>
      <c r="I2956">
        <v>20954.02</v>
      </c>
      <c r="J2956">
        <v>0</v>
      </c>
      <c r="K2956">
        <v>20954.02</v>
      </c>
    </row>
    <row r="2957" spans="2:11" x14ac:dyDescent="0.35">
      <c r="B2957">
        <v>9400000492</v>
      </c>
      <c r="C2957" s="10">
        <v>46112</v>
      </c>
      <c r="D2957" t="s">
        <v>2032</v>
      </c>
      <c r="E2957" s="11" t="s">
        <v>2370</v>
      </c>
      <c r="F2957" t="s">
        <v>1457</v>
      </c>
      <c r="G2957" t="s">
        <v>1458</v>
      </c>
      <c r="H2957" s="10">
        <v>45999</v>
      </c>
      <c r="I2957">
        <v>31.2</v>
      </c>
      <c r="J2957">
        <v>0</v>
      </c>
      <c r="K2957">
        <v>31.2</v>
      </c>
    </row>
    <row r="2958" spans="2:11" x14ac:dyDescent="0.35">
      <c r="B2958">
        <v>1400004701</v>
      </c>
      <c r="C2958" s="10">
        <v>46112</v>
      </c>
      <c r="D2958" t="s">
        <v>2037</v>
      </c>
      <c r="E2958" s="11" t="s">
        <v>2371</v>
      </c>
      <c r="F2958" t="s">
        <v>1321</v>
      </c>
      <c r="G2958" t="s">
        <v>1322</v>
      </c>
      <c r="H2958" s="10">
        <v>45999</v>
      </c>
      <c r="I2958">
        <v>59</v>
      </c>
      <c r="J2958">
        <v>0</v>
      </c>
      <c r="K2958">
        <v>59</v>
      </c>
    </row>
    <row r="2959" spans="2:11" x14ac:dyDescent="0.35">
      <c r="B2959">
        <v>1400004699</v>
      </c>
      <c r="C2959" s="10">
        <v>46112</v>
      </c>
      <c r="D2959" t="s">
        <v>2037</v>
      </c>
      <c r="E2959" s="11" t="s">
        <v>2372</v>
      </c>
      <c r="F2959" t="s">
        <v>1325</v>
      </c>
      <c r="G2959" t="s">
        <v>1326</v>
      </c>
      <c r="H2959" s="10">
        <v>45999</v>
      </c>
      <c r="I2959">
        <v>59</v>
      </c>
      <c r="J2959">
        <v>0</v>
      </c>
      <c r="K2959">
        <v>59</v>
      </c>
    </row>
    <row r="2960" spans="2:11" x14ac:dyDescent="0.35">
      <c r="B2960">
        <v>1400004698</v>
      </c>
      <c r="C2960" s="10">
        <v>46112</v>
      </c>
      <c r="D2960" t="s">
        <v>2037</v>
      </c>
      <c r="E2960" s="11" t="s">
        <v>2373</v>
      </c>
      <c r="F2960" t="s">
        <v>1329</v>
      </c>
      <c r="G2960" t="s">
        <v>1330</v>
      </c>
      <c r="H2960" s="10">
        <v>45999</v>
      </c>
      <c r="I2960">
        <v>59</v>
      </c>
      <c r="J2960">
        <v>0</v>
      </c>
      <c r="K2960">
        <v>59</v>
      </c>
    </row>
    <row r="2961" spans="2:11" x14ac:dyDescent="0.35">
      <c r="B2961">
        <v>9400000491</v>
      </c>
      <c r="C2961" s="10">
        <v>46112</v>
      </c>
      <c r="D2961" t="s">
        <v>2032</v>
      </c>
      <c r="E2961" s="11" t="s">
        <v>2374</v>
      </c>
      <c r="F2961" t="s">
        <v>1459</v>
      </c>
      <c r="G2961" t="s">
        <v>1460</v>
      </c>
      <c r="H2961" s="10">
        <v>45997</v>
      </c>
      <c r="I2961">
        <v>31.31</v>
      </c>
      <c r="J2961">
        <v>0</v>
      </c>
      <c r="K2961">
        <v>31.31</v>
      </c>
    </row>
    <row r="2962" spans="2:11" x14ac:dyDescent="0.35">
      <c r="B2962">
        <v>9400000333</v>
      </c>
      <c r="C2962" s="10">
        <v>46112</v>
      </c>
      <c r="D2962" t="s">
        <v>2032</v>
      </c>
      <c r="E2962" s="11" t="s">
        <v>2375</v>
      </c>
      <c r="F2962" t="s">
        <v>1461</v>
      </c>
      <c r="G2962" t="s">
        <v>1462</v>
      </c>
      <c r="H2962" s="10">
        <v>45996</v>
      </c>
      <c r="I2962">
        <v>4.2300000000000004</v>
      </c>
      <c r="J2962">
        <v>0</v>
      </c>
      <c r="K2962">
        <v>4.2300000000000004</v>
      </c>
    </row>
    <row r="2963" spans="2:11" x14ac:dyDescent="0.35">
      <c r="B2963">
        <v>1400004697</v>
      </c>
      <c r="C2963" s="10">
        <v>46112</v>
      </c>
      <c r="D2963" t="s">
        <v>2037</v>
      </c>
      <c r="E2963" s="11" t="s">
        <v>2376</v>
      </c>
      <c r="F2963" t="s">
        <v>1325</v>
      </c>
      <c r="G2963" t="s">
        <v>1326</v>
      </c>
      <c r="H2963" s="10">
        <v>45996</v>
      </c>
      <c r="I2963">
        <v>51547.74</v>
      </c>
      <c r="J2963">
        <v>0</v>
      </c>
      <c r="K2963">
        <v>51547.74</v>
      </c>
    </row>
    <row r="2964" spans="2:11" x14ac:dyDescent="0.35">
      <c r="B2964">
        <v>1400004696</v>
      </c>
      <c r="C2964" s="10">
        <v>46112</v>
      </c>
      <c r="D2964" t="s">
        <v>2037</v>
      </c>
      <c r="E2964" s="11" t="s">
        <v>2377</v>
      </c>
      <c r="F2964" t="s">
        <v>1329</v>
      </c>
      <c r="G2964" t="s">
        <v>1330</v>
      </c>
      <c r="H2964" s="10">
        <v>45994</v>
      </c>
      <c r="I2964">
        <v>60515</v>
      </c>
      <c r="J2964">
        <v>0</v>
      </c>
      <c r="K2964">
        <v>60515</v>
      </c>
    </row>
    <row r="2965" spans="2:11" x14ac:dyDescent="0.35">
      <c r="B2965">
        <v>100000593</v>
      </c>
      <c r="C2965" s="10">
        <v>46112</v>
      </c>
      <c r="D2965" t="s">
        <v>2034</v>
      </c>
      <c r="E2965" s="11" t="s">
        <v>2378</v>
      </c>
      <c r="F2965" t="s">
        <v>1321</v>
      </c>
      <c r="G2965" t="s">
        <v>1322</v>
      </c>
      <c r="H2965" s="10">
        <v>45992</v>
      </c>
      <c r="I2965">
        <v>44040.58</v>
      </c>
      <c r="J2965">
        <v>0</v>
      </c>
      <c r="K2965">
        <v>44040.58</v>
      </c>
    </row>
    <row r="2966" spans="2:11" x14ac:dyDescent="0.35">
      <c r="B2966">
        <v>1800000086</v>
      </c>
      <c r="C2966" s="10">
        <v>46112</v>
      </c>
      <c r="D2966" t="s">
        <v>2052</v>
      </c>
      <c r="E2966" s="11" t="s">
        <v>2379</v>
      </c>
      <c r="F2966" t="s">
        <v>1295</v>
      </c>
      <c r="G2966" t="s">
        <v>1296</v>
      </c>
      <c r="H2966" s="10">
        <v>46036</v>
      </c>
      <c r="I2966">
        <v>118634.84</v>
      </c>
      <c r="J2966">
        <v>87796.96</v>
      </c>
      <c r="K2966">
        <v>30837.87999999999</v>
      </c>
    </row>
    <row r="2967" spans="2:11" x14ac:dyDescent="0.35">
      <c r="B2967">
        <v>100000277</v>
      </c>
      <c r="C2967" s="10">
        <v>46112</v>
      </c>
      <c r="D2967" t="s">
        <v>2034</v>
      </c>
      <c r="E2967" s="11" t="s">
        <v>2380</v>
      </c>
      <c r="F2967" t="s">
        <v>1463</v>
      </c>
      <c r="G2967" t="s">
        <v>1464</v>
      </c>
      <c r="H2967" s="10">
        <v>45991</v>
      </c>
      <c r="I2967">
        <v>30944</v>
      </c>
      <c r="J2967">
        <v>0</v>
      </c>
      <c r="K2967">
        <v>30944</v>
      </c>
    </row>
    <row r="2968" spans="2:11" x14ac:dyDescent="0.35">
      <c r="B2968">
        <v>1800003789</v>
      </c>
      <c r="C2968" s="10">
        <v>46112</v>
      </c>
      <c r="D2968" t="s">
        <v>2052</v>
      </c>
      <c r="E2968" s="11" t="s">
        <v>2381</v>
      </c>
      <c r="F2968" t="s">
        <v>1335</v>
      </c>
      <c r="G2968" t="s">
        <v>1336</v>
      </c>
      <c r="H2968" s="10">
        <v>46035</v>
      </c>
      <c r="I2968">
        <v>32426.400000000001</v>
      </c>
      <c r="J2968">
        <v>0</v>
      </c>
      <c r="K2968">
        <v>32426.400000000001</v>
      </c>
    </row>
    <row r="2969" spans="2:11" x14ac:dyDescent="0.35">
      <c r="B2969">
        <v>1800002191</v>
      </c>
      <c r="C2969" s="10">
        <v>46112</v>
      </c>
      <c r="D2969" t="s">
        <v>2052</v>
      </c>
      <c r="E2969" s="11" t="s">
        <v>2382</v>
      </c>
      <c r="F2969" t="s">
        <v>1341</v>
      </c>
      <c r="G2969" t="s">
        <v>1342</v>
      </c>
      <c r="H2969" s="10">
        <v>46035</v>
      </c>
      <c r="I2969">
        <v>22755.69</v>
      </c>
      <c r="J2969">
        <v>12511.18</v>
      </c>
      <c r="K2969">
        <v>10244.509999999998</v>
      </c>
    </row>
    <row r="2970" spans="2:11" x14ac:dyDescent="0.35">
      <c r="B2970">
        <v>1400004693</v>
      </c>
      <c r="C2970" s="10">
        <v>46112</v>
      </c>
      <c r="D2970" t="s">
        <v>2037</v>
      </c>
      <c r="E2970" s="11" t="s">
        <v>2383</v>
      </c>
      <c r="F2970" t="s">
        <v>1373</v>
      </c>
      <c r="G2970" t="s">
        <v>1374</v>
      </c>
      <c r="H2970" s="10">
        <v>45990</v>
      </c>
      <c r="I2970">
        <v>59</v>
      </c>
      <c r="J2970">
        <v>0</v>
      </c>
      <c r="K2970">
        <v>59</v>
      </c>
    </row>
    <row r="2971" spans="2:11" x14ac:dyDescent="0.35">
      <c r="B2971">
        <v>1800001569</v>
      </c>
      <c r="C2971" s="10">
        <v>46112</v>
      </c>
      <c r="D2971" t="s">
        <v>2052</v>
      </c>
      <c r="E2971" s="11" t="s">
        <v>2384</v>
      </c>
      <c r="F2971" t="s">
        <v>1313</v>
      </c>
      <c r="G2971" t="s">
        <v>1314</v>
      </c>
      <c r="H2971" s="10">
        <v>46034</v>
      </c>
      <c r="I2971">
        <v>87930.65</v>
      </c>
      <c r="J2971">
        <v>0</v>
      </c>
      <c r="K2971">
        <v>87930.65</v>
      </c>
    </row>
    <row r="2972" spans="2:11" x14ac:dyDescent="0.35">
      <c r="B2972">
        <v>1400004692</v>
      </c>
      <c r="C2972" s="10">
        <v>46112</v>
      </c>
      <c r="D2972" t="s">
        <v>2037</v>
      </c>
      <c r="E2972" s="11" t="s">
        <v>2385</v>
      </c>
      <c r="F2972" t="s">
        <v>1373</v>
      </c>
      <c r="G2972" t="s">
        <v>1374</v>
      </c>
      <c r="H2972" s="10">
        <v>45988</v>
      </c>
      <c r="I2972">
        <v>71970</v>
      </c>
      <c r="J2972">
        <v>0</v>
      </c>
      <c r="K2972">
        <v>71970</v>
      </c>
    </row>
    <row r="2973" spans="2:11" x14ac:dyDescent="0.35">
      <c r="B2973">
        <v>100001510</v>
      </c>
      <c r="C2973" s="10">
        <v>46112</v>
      </c>
      <c r="D2973" t="s">
        <v>2034</v>
      </c>
      <c r="E2973" s="11" t="s">
        <v>2386</v>
      </c>
      <c r="F2973" t="s">
        <v>1389</v>
      </c>
      <c r="G2973" t="s">
        <v>1390</v>
      </c>
      <c r="H2973" s="10">
        <v>45987</v>
      </c>
      <c r="I2973">
        <v>2100</v>
      </c>
      <c r="J2973">
        <v>0</v>
      </c>
      <c r="K2973">
        <v>2100</v>
      </c>
    </row>
    <row r="2974" spans="2:11" x14ac:dyDescent="0.35">
      <c r="B2974">
        <v>100001509</v>
      </c>
      <c r="C2974" s="10">
        <v>46112</v>
      </c>
      <c r="D2974" t="s">
        <v>2034</v>
      </c>
      <c r="E2974" s="11" t="s">
        <v>2387</v>
      </c>
      <c r="F2974" t="s">
        <v>1345</v>
      </c>
      <c r="G2974" t="s">
        <v>1346</v>
      </c>
      <c r="H2974" s="10">
        <v>45987</v>
      </c>
      <c r="I2974">
        <v>1400</v>
      </c>
      <c r="J2974">
        <v>0</v>
      </c>
      <c r="K2974">
        <v>1400</v>
      </c>
    </row>
    <row r="2975" spans="2:11" x14ac:dyDescent="0.35">
      <c r="B2975">
        <v>100000592</v>
      </c>
      <c r="C2975" s="10">
        <v>46112</v>
      </c>
      <c r="D2975" t="s">
        <v>2034</v>
      </c>
      <c r="E2975" s="11" t="s">
        <v>2388</v>
      </c>
      <c r="F2975" t="s">
        <v>1365</v>
      </c>
      <c r="G2975" t="s">
        <v>1366</v>
      </c>
      <c r="H2975" s="10">
        <v>45987</v>
      </c>
      <c r="I2975">
        <v>59</v>
      </c>
      <c r="J2975">
        <v>0</v>
      </c>
      <c r="K2975">
        <v>59</v>
      </c>
    </row>
    <row r="2976" spans="2:11" x14ac:dyDescent="0.35">
      <c r="B2976">
        <v>9400000582</v>
      </c>
      <c r="C2976" s="10">
        <v>46112</v>
      </c>
      <c r="D2976" t="s">
        <v>2032</v>
      </c>
      <c r="E2976" s="11" t="s">
        <v>2389</v>
      </c>
      <c r="F2976" t="s">
        <v>1465</v>
      </c>
      <c r="G2976" t="s">
        <v>1466</v>
      </c>
      <c r="H2976" s="10">
        <v>45986</v>
      </c>
      <c r="I2976">
        <v>7894.59</v>
      </c>
      <c r="J2976">
        <v>0</v>
      </c>
      <c r="K2976">
        <v>7894.59</v>
      </c>
    </row>
    <row r="2977" spans="2:11" x14ac:dyDescent="0.35">
      <c r="B2977">
        <v>100000591</v>
      </c>
      <c r="C2977" s="10">
        <v>46112</v>
      </c>
      <c r="D2977" t="s">
        <v>2034</v>
      </c>
      <c r="E2977" s="11" t="s">
        <v>2390</v>
      </c>
      <c r="F2977" t="s">
        <v>1365</v>
      </c>
      <c r="G2977" t="s">
        <v>1366</v>
      </c>
      <c r="H2977" s="10">
        <v>45982</v>
      </c>
      <c r="I2977">
        <v>608.14</v>
      </c>
      <c r="J2977">
        <v>0</v>
      </c>
      <c r="K2977">
        <v>608.14</v>
      </c>
    </row>
    <row r="2978" spans="2:11" x14ac:dyDescent="0.35">
      <c r="B2978">
        <v>1400004691</v>
      </c>
      <c r="C2978" s="10">
        <v>46112</v>
      </c>
      <c r="D2978" t="s">
        <v>2037</v>
      </c>
      <c r="E2978" s="11" t="s">
        <v>2391</v>
      </c>
      <c r="F2978" t="s">
        <v>1381</v>
      </c>
      <c r="G2978" t="s">
        <v>1382</v>
      </c>
      <c r="H2978" s="10">
        <v>45981</v>
      </c>
      <c r="I2978">
        <v>59</v>
      </c>
      <c r="J2978">
        <v>0</v>
      </c>
      <c r="K2978">
        <v>59</v>
      </c>
    </row>
    <row r="2979" spans="2:11" x14ac:dyDescent="0.35">
      <c r="B2979">
        <v>100000590</v>
      </c>
      <c r="C2979" s="10">
        <v>46112</v>
      </c>
      <c r="D2979" t="s">
        <v>2034</v>
      </c>
      <c r="E2979" s="11" t="s">
        <v>2392</v>
      </c>
      <c r="F2979" t="s">
        <v>1373</v>
      </c>
      <c r="G2979" t="s">
        <v>1374</v>
      </c>
      <c r="H2979" s="10">
        <v>45980</v>
      </c>
      <c r="I2979">
        <v>59</v>
      </c>
      <c r="J2979">
        <v>0</v>
      </c>
      <c r="K2979">
        <v>59</v>
      </c>
    </row>
    <row r="2980" spans="2:11" x14ac:dyDescent="0.35">
      <c r="B2980">
        <v>100000589</v>
      </c>
      <c r="C2980" s="10">
        <v>46112</v>
      </c>
      <c r="D2980" t="s">
        <v>2034</v>
      </c>
      <c r="E2980" s="11" t="s">
        <v>2393</v>
      </c>
      <c r="F2980" t="s">
        <v>1381</v>
      </c>
      <c r="G2980" t="s">
        <v>1382</v>
      </c>
      <c r="H2980" s="10">
        <v>45978</v>
      </c>
      <c r="I2980">
        <v>61475</v>
      </c>
      <c r="J2980">
        <v>25509.93</v>
      </c>
      <c r="K2980">
        <v>35965.07</v>
      </c>
    </row>
    <row r="2981" spans="2:11" x14ac:dyDescent="0.35">
      <c r="B2981">
        <v>100000588</v>
      </c>
      <c r="C2981" s="10">
        <v>46112</v>
      </c>
      <c r="D2981" t="s">
        <v>2034</v>
      </c>
      <c r="E2981" s="11" t="s">
        <v>2394</v>
      </c>
      <c r="F2981" t="s">
        <v>1375</v>
      </c>
      <c r="G2981" t="s">
        <v>1376</v>
      </c>
      <c r="H2981" s="10">
        <v>45978</v>
      </c>
      <c r="I2981">
        <v>130075.88</v>
      </c>
      <c r="J2981">
        <v>0</v>
      </c>
      <c r="K2981">
        <v>130075.88</v>
      </c>
    </row>
    <row r="2982" spans="2:11" x14ac:dyDescent="0.35">
      <c r="B2982">
        <v>100000587</v>
      </c>
      <c r="C2982" s="10">
        <v>46112</v>
      </c>
      <c r="D2982" t="s">
        <v>2034</v>
      </c>
      <c r="E2982" s="11" t="s">
        <v>2395</v>
      </c>
      <c r="F2982" t="s">
        <v>1353</v>
      </c>
      <c r="G2982" t="s">
        <v>1354</v>
      </c>
      <c r="H2982" s="10">
        <v>45978</v>
      </c>
      <c r="I2982">
        <v>59</v>
      </c>
      <c r="J2982">
        <v>0</v>
      </c>
      <c r="K2982">
        <v>59</v>
      </c>
    </row>
    <row r="2983" spans="2:11" x14ac:dyDescent="0.35">
      <c r="B2983">
        <v>100000586</v>
      </c>
      <c r="C2983" s="10">
        <v>46112</v>
      </c>
      <c r="D2983" t="s">
        <v>2034</v>
      </c>
      <c r="E2983" s="11" t="s">
        <v>2396</v>
      </c>
      <c r="F2983" t="s">
        <v>1405</v>
      </c>
      <c r="G2983" t="s">
        <v>1406</v>
      </c>
      <c r="H2983" s="10">
        <v>45978</v>
      </c>
      <c r="I2983">
        <v>58.38</v>
      </c>
      <c r="J2983">
        <v>0</v>
      </c>
      <c r="K2983">
        <v>58.38</v>
      </c>
    </row>
    <row r="2984" spans="2:11" x14ac:dyDescent="0.35">
      <c r="B2984">
        <v>100000584</v>
      </c>
      <c r="C2984" s="10">
        <v>46112</v>
      </c>
      <c r="D2984" t="s">
        <v>2034</v>
      </c>
      <c r="E2984" s="11" t="s">
        <v>2396</v>
      </c>
      <c r="F2984" t="s">
        <v>1345</v>
      </c>
      <c r="G2984" t="s">
        <v>1346</v>
      </c>
      <c r="H2984" s="10">
        <v>45978</v>
      </c>
      <c r="I2984">
        <v>59</v>
      </c>
      <c r="J2984">
        <v>0</v>
      </c>
      <c r="K2984">
        <v>59</v>
      </c>
    </row>
    <row r="2985" spans="2:11" x14ac:dyDescent="0.35">
      <c r="B2985">
        <v>100000583</v>
      </c>
      <c r="C2985" s="10">
        <v>46112</v>
      </c>
      <c r="D2985" t="s">
        <v>2034</v>
      </c>
      <c r="E2985" s="11" t="s">
        <v>2396</v>
      </c>
      <c r="F2985" t="s">
        <v>1465</v>
      </c>
      <c r="G2985" t="s">
        <v>1466</v>
      </c>
      <c r="H2985" s="10">
        <v>45978</v>
      </c>
      <c r="I2985">
        <v>59</v>
      </c>
      <c r="J2985">
        <v>0</v>
      </c>
      <c r="K2985">
        <v>59</v>
      </c>
    </row>
    <row r="2986" spans="2:11" x14ac:dyDescent="0.35">
      <c r="B2986">
        <v>100000582</v>
      </c>
      <c r="C2986" s="10">
        <v>46112</v>
      </c>
      <c r="D2986" t="s">
        <v>2034</v>
      </c>
      <c r="E2986" s="11" t="s">
        <v>2397</v>
      </c>
      <c r="F2986" t="s">
        <v>1373</v>
      </c>
      <c r="G2986" t="s">
        <v>1374</v>
      </c>
      <c r="H2986" s="10">
        <v>45978</v>
      </c>
      <c r="I2986">
        <v>311271.19</v>
      </c>
      <c r="J2986">
        <v>0</v>
      </c>
      <c r="K2986">
        <v>311271.19</v>
      </c>
    </row>
    <row r="2987" spans="2:11" x14ac:dyDescent="0.35">
      <c r="B2987">
        <v>100000581</v>
      </c>
      <c r="C2987" s="10">
        <v>46112</v>
      </c>
      <c r="D2987" t="s">
        <v>2034</v>
      </c>
      <c r="E2987" s="11" t="s">
        <v>2398</v>
      </c>
      <c r="F2987" t="s">
        <v>1379</v>
      </c>
      <c r="G2987" t="s">
        <v>1380</v>
      </c>
      <c r="H2987" s="10">
        <v>45978</v>
      </c>
      <c r="I2987">
        <v>23832</v>
      </c>
      <c r="J2987">
        <v>0</v>
      </c>
      <c r="K2987">
        <v>23832</v>
      </c>
    </row>
    <row r="2988" spans="2:11" x14ac:dyDescent="0.35">
      <c r="B2988">
        <v>1400004689</v>
      </c>
      <c r="C2988" s="10">
        <v>46112</v>
      </c>
      <c r="D2988" t="s">
        <v>2037</v>
      </c>
      <c r="E2988" s="11" t="s">
        <v>2399</v>
      </c>
      <c r="F2988" t="s">
        <v>1059</v>
      </c>
      <c r="G2988" t="s">
        <v>1060</v>
      </c>
      <c r="H2988" s="10">
        <v>45976</v>
      </c>
      <c r="I2988">
        <v>59</v>
      </c>
      <c r="J2988">
        <v>0</v>
      </c>
      <c r="K2988">
        <v>59</v>
      </c>
    </row>
    <row r="2989" spans="2:11" x14ac:dyDescent="0.35">
      <c r="B2989">
        <v>100000580</v>
      </c>
      <c r="C2989" s="10">
        <v>46112</v>
      </c>
      <c r="D2989" t="s">
        <v>2034</v>
      </c>
      <c r="E2989" s="11" t="s">
        <v>2400</v>
      </c>
      <c r="F2989" t="s">
        <v>1353</v>
      </c>
      <c r="G2989" t="s">
        <v>1354</v>
      </c>
      <c r="H2989" s="10">
        <v>45976</v>
      </c>
      <c r="I2989">
        <v>2897.66</v>
      </c>
      <c r="J2989">
        <v>0</v>
      </c>
      <c r="K2989">
        <v>2897.66</v>
      </c>
    </row>
    <row r="2990" spans="2:11" x14ac:dyDescent="0.35">
      <c r="B2990">
        <v>100000579</v>
      </c>
      <c r="C2990" s="10">
        <v>46112</v>
      </c>
      <c r="D2990" t="s">
        <v>2034</v>
      </c>
      <c r="E2990" s="11" t="s">
        <v>2400</v>
      </c>
      <c r="F2990" t="s">
        <v>1355</v>
      </c>
      <c r="G2990" t="s">
        <v>1356</v>
      </c>
      <c r="H2990" s="10">
        <v>45976</v>
      </c>
      <c r="I2990">
        <v>39130.160000000003</v>
      </c>
      <c r="J2990">
        <v>0</v>
      </c>
      <c r="K2990">
        <v>39130.160000000003</v>
      </c>
    </row>
    <row r="2991" spans="2:11" x14ac:dyDescent="0.35">
      <c r="B2991">
        <v>100000578</v>
      </c>
      <c r="C2991" s="10">
        <v>46112</v>
      </c>
      <c r="D2991" t="s">
        <v>2034</v>
      </c>
      <c r="E2991" s="11" t="s">
        <v>2400</v>
      </c>
      <c r="F2991" t="s">
        <v>1345</v>
      </c>
      <c r="G2991" t="s">
        <v>1346</v>
      </c>
      <c r="H2991" s="10">
        <v>45976</v>
      </c>
      <c r="I2991">
        <v>6915.64</v>
      </c>
      <c r="J2991">
        <v>0</v>
      </c>
      <c r="K2991">
        <v>6915.64</v>
      </c>
    </row>
    <row r="2992" spans="2:11" x14ac:dyDescent="0.35">
      <c r="B2992">
        <v>100000577</v>
      </c>
      <c r="C2992" s="10">
        <v>46112</v>
      </c>
      <c r="D2992" t="s">
        <v>2034</v>
      </c>
      <c r="E2992" s="11" t="s">
        <v>2401</v>
      </c>
      <c r="F2992" t="s">
        <v>1055</v>
      </c>
      <c r="G2992" t="s">
        <v>1056</v>
      </c>
      <c r="H2992" s="10">
        <v>45976</v>
      </c>
      <c r="I2992">
        <v>353309.18</v>
      </c>
      <c r="J2992">
        <v>22565.42</v>
      </c>
      <c r="K2992">
        <v>330743.76</v>
      </c>
    </row>
    <row r="2993" spans="2:11" x14ac:dyDescent="0.35">
      <c r="B2993">
        <v>100000576</v>
      </c>
      <c r="C2993" s="10">
        <v>46112</v>
      </c>
      <c r="D2993" t="s">
        <v>2034</v>
      </c>
      <c r="E2993" s="11" t="s">
        <v>2401</v>
      </c>
      <c r="F2993" t="s">
        <v>1369</v>
      </c>
      <c r="G2993" t="s">
        <v>1370</v>
      </c>
      <c r="H2993" s="10">
        <v>45976</v>
      </c>
      <c r="I2993">
        <v>229705.08</v>
      </c>
      <c r="J2993">
        <v>17612.05</v>
      </c>
      <c r="K2993">
        <v>212093.03</v>
      </c>
    </row>
    <row r="2994" spans="2:11" x14ac:dyDescent="0.35">
      <c r="B2994">
        <v>1400004688</v>
      </c>
      <c r="C2994" s="10">
        <v>46112</v>
      </c>
      <c r="D2994" t="s">
        <v>2037</v>
      </c>
      <c r="E2994" s="11" t="s">
        <v>2402</v>
      </c>
      <c r="F2994" t="s">
        <v>1059</v>
      </c>
      <c r="G2994" t="s">
        <v>1060</v>
      </c>
      <c r="H2994" s="10">
        <v>45974</v>
      </c>
      <c r="I2994">
        <v>176627.94</v>
      </c>
      <c r="J2994">
        <v>0</v>
      </c>
      <c r="K2994">
        <v>176627.94</v>
      </c>
    </row>
    <row r="2995" spans="2:11" x14ac:dyDescent="0.35">
      <c r="B2995">
        <v>1400004687</v>
      </c>
      <c r="C2995" s="10">
        <v>46112</v>
      </c>
      <c r="D2995" t="s">
        <v>2037</v>
      </c>
      <c r="E2995" s="11" t="s">
        <v>2403</v>
      </c>
      <c r="F2995" t="s">
        <v>1465</v>
      </c>
      <c r="G2995" t="s">
        <v>1466</v>
      </c>
      <c r="H2995" s="10">
        <v>45974</v>
      </c>
      <c r="I2995">
        <v>8664.25</v>
      </c>
      <c r="J2995">
        <v>0</v>
      </c>
      <c r="K2995">
        <v>8664.25</v>
      </c>
    </row>
    <row r="2996" spans="2:11" x14ac:dyDescent="0.35">
      <c r="B2996">
        <v>100000575</v>
      </c>
      <c r="C2996" s="10">
        <v>46112</v>
      </c>
      <c r="D2996" t="s">
        <v>2034</v>
      </c>
      <c r="E2996" s="11" t="s">
        <v>2404</v>
      </c>
      <c r="F2996" t="s">
        <v>1359</v>
      </c>
      <c r="G2996" t="s">
        <v>1360</v>
      </c>
      <c r="H2996" s="10">
        <v>45974</v>
      </c>
      <c r="I2996">
        <v>59</v>
      </c>
      <c r="J2996">
        <v>0</v>
      </c>
      <c r="K2996">
        <v>59</v>
      </c>
    </row>
    <row r="2997" spans="2:11" x14ac:dyDescent="0.35">
      <c r="B2997">
        <v>100000574</v>
      </c>
      <c r="C2997" s="10">
        <v>46112</v>
      </c>
      <c r="D2997" t="s">
        <v>2034</v>
      </c>
      <c r="E2997" s="11" t="s">
        <v>2404</v>
      </c>
      <c r="F2997" t="s">
        <v>1467</v>
      </c>
      <c r="G2997" t="s">
        <v>1468</v>
      </c>
      <c r="H2997" s="10">
        <v>45974</v>
      </c>
      <c r="I2997">
        <v>59</v>
      </c>
      <c r="J2997">
        <v>0</v>
      </c>
      <c r="K2997">
        <v>59</v>
      </c>
    </row>
    <row r="2998" spans="2:11" x14ac:dyDescent="0.35">
      <c r="B2998">
        <v>100000573</v>
      </c>
      <c r="C2998" s="10">
        <v>46112</v>
      </c>
      <c r="D2998" t="s">
        <v>2034</v>
      </c>
      <c r="E2998" s="11" t="s">
        <v>2404</v>
      </c>
      <c r="F2998" t="s">
        <v>1349</v>
      </c>
      <c r="G2998" t="s">
        <v>1350</v>
      </c>
      <c r="H2998" s="10">
        <v>45974</v>
      </c>
      <c r="I2998">
        <v>58.4</v>
      </c>
      <c r="J2998">
        <v>0</v>
      </c>
      <c r="K2998">
        <v>58.4</v>
      </c>
    </row>
    <row r="2999" spans="2:11" x14ac:dyDescent="0.35">
      <c r="B2999">
        <v>1400004686</v>
      </c>
      <c r="C2999" s="10">
        <v>46112</v>
      </c>
      <c r="D2999" t="s">
        <v>2037</v>
      </c>
      <c r="E2999" s="11" t="s">
        <v>2405</v>
      </c>
      <c r="F2999" t="s">
        <v>1395</v>
      </c>
      <c r="G2999" t="s">
        <v>1396</v>
      </c>
      <c r="H2999" s="10">
        <v>45973</v>
      </c>
      <c r="I2999">
        <v>59</v>
      </c>
      <c r="J2999">
        <v>0</v>
      </c>
      <c r="K2999">
        <v>59</v>
      </c>
    </row>
    <row r="3000" spans="2:11" x14ac:dyDescent="0.35">
      <c r="B3000">
        <v>9400000392</v>
      </c>
      <c r="C3000" s="10">
        <v>46112</v>
      </c>
      <c r="D3000" t="s">
        <v>2032</v>
      </c>
      <c r="E3000" s="11" t="s">
        <v>2406</v>
      </c>
      <c r="F3000" t="s">
        <v>1469</v>
      </c>
      <c r="G3000" t="s">
        <v>1470</v>
      </c>
      <c r="H3000" s="10">
        <v>45969</v>
      </c>
      <c r="I3000">
        <v>31.31</v>
      </c>
      <c r="J3000">
        <v>0</v>
      </c>
      <c r="K3000">
        <v>31.31</v>
      </c>
    </row>
    <row r="3001" spans="2:11" x14ac:dyDescent="0.35">
      <c r="B3001">
        <v>1400004685</v>
      </c>
      <c r="C3001" s="10">
        <v>46112</v>
      </c>
      <c r="D3001" t="s">
        <v>2037</v>
      </c>
      <c r="E3001" s="11" t="s">
        <v>2407</v>
      </c>
      <c r="F3001" t="s">
        <v>1359</v>
      </c>
      <c r="G3001" t="s">
        <v>1360</v>
      </c>
      <c r="H3001" s="10">
        <v>45967</v>
      </c>
      <c r="I3001">
        <v>615969</v>
      </c>
      <c r="J3001">
        <v>0</v>
      </c>
      <c r="K3001">
        <v>615969</v>
      </c>
    </row>
    <row r="3002" spans="2:11" x14ac:dyDescent="0.35">
      <c r="B3002">
        <v>1800002721</v>
      </c>
      <c r="C3002" s="10">
        <v>46112</v>
      </c>
      <c r="D3002" t="s">
        <v>2052</v>
      </c>
      <c r="E3002" s="11" t="s">
        <v>2408</v>
      </c>
      <c r="F3002" t="s">
        <v>1329</v>
      </c>
      <c r="G3002" t="s">
        <v>1330</v>
      </c>
      <c r="H3002" s="10">
        <v>46010</v>
      </c>
      <c r="I3002">
        <v>26878.87</v>
      </c>
      <c r="J3002">
        <v>0</v>
      </c>
      <c r="K3002">
        <v>26878.87</v>
      </c>
    </row>
    <row r="3003" spans="2:11" x14ac:dyDescent="0.35">
      <c r="B3003">
        <v>1800002720</v>
      </c>
      <c r="C3003" s="10">
        <v>46112</v>
      </c>
      <c r="D3003" t="s">
        <v>2052</v>
      </c>
      <c r="E3003" s="11" t="s">
        <v>2409</v>
      </c>
      <c r="F3003" t="s">
        <v>1329</v>
      </c>
      <c r="G3003" t="s">
        <v>1330</v>
      </c>
      <c r="H3003" s="10">
        <v>46010</v>
      </c>
      <c r="I3003">
        <v>34204.9</v>
      </c>
      <c r="J3003">
        <v>0</v>
      </c>
      <c r="K3003">
        <v>34204.9</v>
      </c>
    </row>
    <row r="3004" spans="2:11" x14ac:dyDescent="0.35">
      <c r="B3004">
        <v>9400000490</v>
      </c>
      <c r="C3004" s="10">
        <v>46112</v>
      </c>
      <c r="D3004" t="s">
        <v>2032</v>
      </c>
      <c r="E3004" s="11" t="s">
        <v>2410</v>
      </c>
      <c r="F3004" t="s">
        <v>1453</v>
      </c>
      <c r="G3004" t="s">
        <v>1454</v>
      </c>
      <c r="H3004" s="10">
        <v>45961</v>
      </c>
      <c r="I3004">
        <v>97264.52</v>
      </c>
      <c r="J3004">
        <v>0</v>
      </c>
      <c r="K3004">
        <v>97264.52</v>
      </c>
    </row>
    <row r="3005" spans="2:11" x14ac:dyDescent="0.35">
      <c r="B3005">
        <v>9400000489</v>
      </c>
      <c r="C3005" s="10">
        <v>46112</v>
      </c>
      <c r="D3005" t="s">
        <v>2032</v>
      </c>
      <c r="E3005" s="11" t="s">
        <v>2411</v>
      </c>
      <c r="F3005" t="s">
        <v>1319</v>
      </c>
      <c r="G3005" t="s">
        <v>1320</v>
      </c>
      <c r="H3005" s="10">
        <v>45961</v>
      </c>
      <c r="I3005">
        <v>16329.89</v>
      </c>
      <c r="J3005">
        <v>0</v>
      </c>
      <c r="K3005">
        <v>16329.89</v>
      </c>
    </row>
    <row r="3006" spans="2:11" x14ac:dyDescent="0.35">
      <c r="B3006">
        <v>9400000391</v>
      </c>
      <c r="C3006" s="10">
        <v>46112</v>
      </c>
      <c r="D3006" t="s">
        <v>2032</v>
      </c>
      <c r="E3006" s="11" t="s">
        <v>2412</v>
      </c>
      <c r="F3006" t="s">
        <v>1469</v>
      </c>
      <c r="G3006" t="s">
        <v>1470</v>
      </c>
      <c r="H3006" s="10">
        <v>45961</v>
      </c>
      <c r="I3006">
        <v>111.29</v>
      </c>
      <c r="J3006">
        <v>0</v>
      </c>
      <c r="K3006">
        <v>111.29</v>
      </c>
    </row>
    <row r="3007" spans="2:11" x14ac:dyDescent="0.35">
      <c r="B3007">
        <v>1800002719</v>
      </c>
      <c r="C3007" s="10">
        <v>46112</v>
      </c>
      <c r="D3007" t="s">
        <v>2052</v>
      </c>
      <c r="E3007" s="11" t="s">
        <v>2413</v>
      </c>
      <c r="F3007" t="s">
        <v>1329</v>
      </c>
      <c r="G3007" t="s">
        <v>1330</v>
      </c>
      <c r="H3007" s="10">
        <v>46006</v>
      </c>
      <c r="I3007">
        <v>39977.22</v>
      </c>
      <c r="J3007">
        <v>0</v>
      </c>
      <c r="K3007">
        <v>39977.22</v>
      </c>
    </row>
    <row r="3008" spans="2:11" x14ac:dyDescent="0.35">
      <c r="B3008">
        <v>1800002190</v>
      </c>
      <c r="C3008" s="10">
        <v>46112</v>
      </c>
      <c r="D3008" t="s">
        <v>2052</v>
      </c>
      <c r="E3008" s="11" t="s">
        <v>2414</v>
      </c>
      <c r="F3008" t="s">
        <v>1343</v>
      </c>
      <c r="G3008" t="s">
        <v>1344</v>
      </c>
      <c r="H3008" s="10">
        <v>46006</v>
      </c>
      <c r="I3008">
        <v>38515.199999999997</v>
      </c>
      <c r="J3008">
        <v>0</v>
      </c>
      <c r="K3008">
        <v>38515.199999999997</v>
      </c>
    </row>
    <row r="3009" spans="2:11" x14ac:dyDescent="0.35">
      <c r="B3009">
        <v>1800000079</v>
      </c>
      <c r="C3009" s="10">
        <v>46112</v>
      </c>
      <c r="D3009" t="s">
        <v>2052</v>
      </c>
      <c r="E3009" s="11" t="s">
        <v>2415</v>
      </c>
      <c r="F3009" t="s">
        <v>1471</v>
      </c>
      <c r="G3009" t="s">
        <v>1472</v>
      </c>
      <c r="H3009" s="10">
        <v>46006</v>
      </c>
      <c r="I3009">
        <v>100161.69</v>
      </c>
      <c r="J3009">
        <v>18056.72</v>
      </c>
      <c r="K3009">
        <v>82104.97</v>
      </c>
    </row>
    <row r="3010" spans="2:11" x14ac:dyDescent="0.35">
      <c r="B3010">
        <v>1800001567</v>
      </c>
      <c r="C3010" s="10">
        <v>46112</v>
      </c>
      <c r="D3010" t="s">
        <v>2052</v>
      </c>
      <c r="E3010" s="11" t="s">
        <v>2416</v>
      </c>
      <c r="F3010" t="s">
        <v>1313</v>
      </c>
      <c r="G3010" t="s">
        <v>1314</v>
      </c>
      <c r="H3010" s="10">
        <v>46005</v>
      </c>
      <c r="I3010">
        <v>112243.88</v>
      </c>
      <c r="J3010">
        <v>0</v>
      </c>
      <c r="K3010">
        <v>112243.88</v>
      </c>
    </row>
    <row r="3011" spans="2:11" x14ac:dyDescent="0.35">
      <c r="B3011">
        <v>1400004681</v>
      </c>
      <c r="C3011" s="10">
        <v>46112</v>
      </c>
      <c r="D3011" t="s">
        <v>2037</v>
      </c>
      <c r="E3011" s="11" t="s">
        <v>2417</v>
      </c>
      <c r="F3011" t="s">
        <v>1413</v>
      </c>
      <c r="G3011" t="s">
        <v>1414</v>
      </c>
      <c r="H3011" s="10">
        <v>45960</v>
      </c>
      <c r="I3011">
        <v>118</v>
      </c>
      <c r="J3011">
        <v>0</v>
      </c>
      <c r="K3011">
        <v>118</v>
      </c>
    </row>
    <row r="3012" spans="2:11" x14ac:dyDescent="0.35">
      <c r="B3012">
        <v>1800002718</v>
      </c>
      <c r="C3012" s="10">
        <v>46112</v>
      </c>
      <c r="D3012" t="s">
        <v>2052</v>
      </c>
      <c r="E3012" s="11" t="s">
        <v>2418</v>
      </c>
      <c r="F3012" t="s">
        <v>1329</v>
      </c>
      <c r="G3012" t="s">
        <v>1330</v>
      </c>
      <c r="H3012" s="10">
        <v>46004</v>
      </c>
      <c r="I3012">
        <v>3084.05</v>
      </c>
      <c r="J3012">
        <v>0</v>
      </c>
      <c r="K3012">
        <v>3084.05</v>
      </c>
    </row>
    <row r="3013" spans="2:11" x14ac:dyDescent="0.35">
      <c r="B3013">
        <v>1800002717</v>
      </c>
      <c r="C3013" s="10">
        <v>46112</v>
      </c>
      <c r="D3013" t="s">
        <v>2052</v>
      </c>
      <c r="E3013" s="11" t="s">
        <v>2419</v>
      </c>
      <c r="F3013" t="s">
        <v>1329</v>
      </c>
      <c r="G3013" t="s">
        <v>1330</v>
      </c>
      <c r="H3013" s="10">
        <v>46004</v>
      </c>
      <c r="I3013">
        <v>21496.06</v>
      </c>
      <c r="J3013">
        <v>0</v>
      </c>
      <c r="K3013">
        <v>21496.06</v>
      </c>
    </row>
    <row r="3014" spans="2:11" x14ac:dyDescent="0.35">
      <c r="B3014">
        <v>1400004680</v>
      </c>
      <c r="C3014" s="10">
        <v>46112</v>
      </c>
      <c r="D3014" t="s">
        <v>2037</v>
      </c>
      <c r="E3014" s="11" t="s">
        <v>2420</v>
      </c>
      <c r="F3014" t="s">
        <v>1473</v>
      </c>
      <c r="G3014" t="s">
        <v>1474</v>
      </c>
      <c r="H3014" s="10">
        <v>45959</v>
      </c>
      <c r="I3014">
        <v>12273.55</v>
      </c>
      <c r="J3014">
        <v>0</v>
      </c>
      <c r="K3014">
        <v>12273.55</v>
      </c>
    </row>
    <row r="3015" spans="2:11" x14ac:dyDescent="0.35">
      <c r="B3015">
        <v>100000571</v>
      </c>
      <c r="C3015" s="10">
        <v>46112</v>
      </c>
      <c r="D3015" t="s">
        <v>2034</v>
      </c>
      <c r="E3015" s="11" t="s">
        <v>2421</v>
      </c>
      <c r="F3015" t="s">
        <v>1403</v>
      </c>
      <c r="G3015" t="s">
        <v>1404</v>
      </c>
      <c r="H3015" s="10">
        <v>45959</v>
      </c>
      <c r="I3015">
        <v>392060</v>
      </c>
      <c r="J3015">
        <v>90352.62</v>
      </c>
      <c r="K3015">
        <v>301707.38</v>
      </c>
    </row>
    <row r="3016" spans="2:11" x14ac:dyDescent="0.35">
      <c r="B3016">
        <v>100000570</v>
      </c>
      <c r="C3016" s="10">
        <v>46112</v>
      </c>
      <c r="D3016" t="s">
        <v>2034</v>
      </c>
      <c r="E3016" s="11" t="s">
        <v>2421</v>
      </c>
      <c r="F3016" t="s">
        <v>1379</v>
      </c>
      <c r="G3016" t="s">
        <v>1380</v>
      </c>
      <c r="H3016" s="10">
        <v>45959</v>
      </c>
      <c r="I3016">
        <v>12078.04</v>
      </c>
      <c r="J3016">
        <v>0</v>
      </c>
      <c r="K3016">
        <v>12078.04</v>
      </c>
    </row>
    <row r="3017" spans="2:11" x14ac:dyDescent="0.35">
      <c r="B3017">
        <v>100000569</v>
      </c>
      <c r="C3017" s="10">
        <v>46112</v>
      </c>
      <c r="D3017" t="s">
        <v>2034</v>
      </c>
      <c r="E3017" s="11" t="s">
        <v>2422</v>
      </c>
      <c r="F3017" t="s">
        <v>1413</v>
      </c>
      <c r="G3017" t="s">
        <v>1414</v>
      </c>
      <c r="H3017" s="10">
        <v>45959</v>
      </c>
      <c r="I3017">
        <v>8030</v>
      </c>
      <c r="J3017">
        <v>59.41</v>
      </c>
      <c r="K3017">
        <v>7970.59</v>
      </c>
    </row>
    <row r="3018" spans="2:11" x14ac:dyDescent="0.35">
      <c r="B3018">
        <v>100000568</v>
      </c>
      <c r="C3018" s="10">
        <v>46112</v>
      </c>
      <c r="D3018" t="s">
        <v>2034</v>
      </c>
      <c r="E3018" s="11" t="s">
        <v>2423</v>
      </c>
      <c r="F3018" t="s">
        <v>1413</v>
      </c>
      <c r="G3018" t="s">
        <v>1414</v>
      </c>
      <c r="H3018" s="10">
        <v>45959</v>
      </c>
      <c r="I3018">
        <v>37110</v>
      </c>
      <c r="J3018">
        <v>0</v>
      </c>
      <c r="K3018">
        <v>37110</v>
      </c>
    </row>
    <row r="3019" spans="2:11" x14ac:dyDescent="0.35">
      <c r="B3019">
        <v>100000566</v>
      </c>
      <c r="C3019" s="10">
        <v>46112</v>
      </c>
      <c r="D3019" t="s">
        <v>2034</v>
      </c>
      <c r="E3019" s="11" t="s">
        <v>2424</v>
      </c>
      <c r="F3019" t="s">
        <v>1397</v>
      </c>
      <c r="G3019" t="s">
        <v>1398</v>
      </c>
      <c r="H3019" s="10">
        <v>45954</v>
      </c>
      <c r="I3019">
        <v>59</v>
      </c>
      <c r="J3019">
        <v>0</v>
      </c>
      <c r="K3019">
        <v>59</v>
      </c>
    </row>
    <row r="3020" spans="2:11" x14ac:dyDescent="0.35">
      <c r="B3020">
        <v>100000565</v>
      </c>
      <c r="C3020" s="10">
        <v>46112</v>
      </c>
      <c r="D3020" t="s">
        <v>2034</v>
      </c>
      <c r="E3020" s="11" t="s">
        <v>2424</v>
      </c>
      <c r="F3020" t="s">
        <v>1359</v>
      </c>
      <c r="G3020" t="s">
        <v>1360</v>
      </c>
      <c r="H3020" s="10">
        <v>45954</v>
      </c>
      <c r="I3020">
        <v>59</v>
      </c>
      <c r="J3020">
        <v>0</v>
      </c>
      <c r="K3020">
        <v>59</v>
      </c>
    </row>
    <row r="3021" spans="2:11" x14ac:dyDescent="0.35">
      <c r="B3021">
        <v>100000564</v>
      </c>
      <c r="C3021" s="10">
        <v>46112</v>
      </c>
      <c r="D3021" t="s">
        <v>2034</v>
      </c>
      <c r="E3021" s="11" t="s">
        <v>2424</v>
      </c>
      <c r="F3021" t="s">
        <v>1411</v>
      </c>
      <c r="G3021" t="s">
        <v>1412</v>
      </c>
      <c r="H3021" s="10">
        <v>45954</v>
      </c>
      <c r="I3021">
        <v>59</v>
      </c>
      <c r="J3021">
        <v>0</v>
      </c>
      <c r="K3021">
        <v>59</v>
      </c>
    </row>
    <row r="3022" spans="2:11" x14ac:dyDescent="0.35">
      <c r="B3022">
        <v>100000562</v>
      </c>
      <c r="C3022" s="10">
        <v>46112</v>
      </c>
      <c r="D3022" t="s">
        <v>2034</v>
      </c>
      <c r="E3022" s="11" t="s">
        <v>2424</v>
      </c>
      <c r="F3022" t="s">
        <v>1387</v>
      </c>
      <c r="G3022" t="s">
        <v>1388</v>
      </c>
      <c r="H3022" s="10">
        <v>45954</v>
      </c>
      <c r="I3022">
        <v>59</v>
      </c>
      <c r="J3022">
        <v>0</v>
      </c>
      <c r="K3022">
        <v>59</v>
      </c>
    </row>
    <row r="3023" spans="2:11" x14ac:dyDescent="0.35">
      <c r="B3023">
        <v>100000561</v>
      </c>
      <c r="C3023" s="10">
        <v>46112</v>
      </c>
      <c r="D3023" t="s">
        <v>2034</v>
      </c>
      <c r="E3023" s="11" t="s">
        <v>2425</v>
      </c>
      <c r="F3023" t="s">
        <v>1389</v>
      </c>
      <c r="G3023" t="s">
        <v>1390</v>
      </c>
      <c r="H3023" s="10">
        <v>45953</v>
      </c>
      <c r="I3023">
        <v>99537</v>
      </c>
      <c r="J3023">
        <v>0</v>
      </c>
      <c r="K3023">
        <v>99537</v>
      </c>
    </row>
    <row r="3024" spans="2:11" x14ac:dyDescent="0.35">
      <c r="B3024">
        <v>1400004679</v>
      </c>
      <c r="C3024" s="10">
        <v>46112</v>
      </c>
      <c r="D3024" t="s">
        <v>2037</v>
      </c>
      <c r="E3024" s="11" t="s">
        <v>2426</v>
      </c>
      <c r="F3024" t="s">
        <v>1407</v>
      </c>
      <c r="G3024" t="s">
        <v>1408</v>
      </c>
      <c r="H3024" s="10">
        <v>45951</v>
      </c>
      <c r="I3024">
        <v>59</v>
      </c>
      <c r="J3024">
        <v>0</v>
      </c>
      <c r="K3024">
        <v>59</v>
      </c>
    </row>
    <row r="3025" spans="2:11" x14ac:dyDescent="0.35">
      <c r="B3025">
        <v>1400004678</v>
      </c>
      <c r="C3025" s="10">
        <v>46112</v>
      </c>
      <c r="D3025" t="s">
        <v>2037</v>
      </c>
      <c r="E3025" s="11" t="s">
        <v>2427</v>
      </c>
      <c r="F3025" t="s">
        <v>1407</v>
      </c>
      <c r="G3025" t="s">
        <v>1408</v>
      </c>
      <c r="H3025" s="10">
        <v>45951</v>
      </c>
      <c r="I3025">
        <v>59</v>
      </c>
      <c r="J3025">
        <v>0</v>
      </c>
      <c r="K3025">
        <v>59</v>
      </c>
    </row>
    <row r="3026" spans="2:11" x14ac:dyDescent="0.35">
      <c r="B3026">
        <v>1400004677</v>
      </c>
      <c r="C3026" s="10">
        <v>46112</v>
      </c>
      <c r="D3026" t="s">
        <v>2037</v>
      </c>
      <c r="E3026" s="11" t="s">
        <v>2428</v>
      </c>
      <c r="F3026" t="s">
        <v>1407</v>
      </c>
      <c r="G3026" t="s">
        <v>1408</v>
      </c>
      <c r="H3026" s="10">
        <v>45951</v>
      </c>
      <c r="I3026">
        <v>59</v>
      </c>
      <c r="J3026">
        <v>0</v>
      </c>
      <c r="K3026">
        <v>59</v>
      </c>
    </row>
    <row r="3027" spans="2:11" x14ac:dyDescent="0.35">
      <c r="B3027">
        <v>1400004676</v>
      </c>
      <c r="C3027" s="10">
        <v>46112</v>
      </c>
      <c r="D3027" t="s">
        <v>2037</v>
      </c>
      <c r="E3027" s="11" t="s">
        <v>2429</v>
      </c>
      <c r="F3027" t="s">
        <v>1407</v>
      </c>
      <c r="G3027" t="s">
        <v>1408</v>
      </c>
      <c r="H3027" s="10">
        <v>45951</v>
      </c>
      <c r="I3027">
        <v>59</v>
      </c>
      <c r="J3027">
        <v>0</v>
      </c>
      <c r="K3027">
        <v>59</v>
      </c>
    </row>
    <row r="3028" spans="2:11" x14ac:dyDescent="0.35">
      <c r="B3028">
        <v>100000560</v>
      </c>
      <c r="C3028" s="10">
        <v>46112</v>
      </c>
      <c r="D3028" t="s">
        <v>2034</v>
      </c>
      <c r="E3028" s="11" t="s">
        <v>2430</v>
      </c>
      <c r="F3028" t="s">
        <v>1407</v>
      </c>
      <c r="G3028" t="s">
        <v>1408</v>
      </c>
      <c r="H3028" s="10">
        <v>45950</v>
      </c>
      <c r="I3028">
        <v>113282</v>
      </c>
      <c r="J3028">
        <v>0</v>
      </c>
      <c r="K3028">
        <v>113282</v>
      </c>
    </row>
    <row r="3029" spans="2:11" x14ac:dyDescent="0.35">
      <c r="B3029">
        <v>100000559</v>
      </c>
      <c r="C3029" s="10">
        <v>46112</v>
      </c>
      <c r="D3029" t="s">
        <v>2034</v>
      </c>
      <c r="E3029" s="11" t="s">
        <v>2431</v>
      </c>
      <c r="F3029" t="s">
        <v>1397</v>
      </c>
      <c r="G3029" t="s">
        <v>1398</v>
      </c>
      <c r="H3029" s="10">
        <v>45950</v>
      </c>
      <c r="I3029">
        <v>7344.44</v>
      </c>
      <c r="J3029">
        <v>0</v>
      </c>
      <c r="K3029">
        <v>7344.44</v>
      </c>
    </row>
    <row r="3030" spans="2:11" x14ac:dyDescent="0.35">
      <c r="B3030">
        <v>100000558</v>
      </c>
      <c r="C3030" s="10">
        <v>46112</v>
      </c>
      <c r="D3030" t="s">
        <v>2034</v>
      </c>
      <c r="E3030" s="11" t="s">
        <v>2431</v>
      </c>
      <c r="F3030" t="s">
        <v>1401</v>
      </c>
      <c r="G3030" t="s">
        <v>1402</v>
      </c>
      <c r="H3030" s="10">
        <v>45950</v>
      </c>
      <c r="I3030">
        <v>60.24</v>
      </c>
      <c r="J3030">
        <v>0</v>
      </c>
      <c r="K3030">
        <v>60.24</v>
      </c>
    </row>
    <row r="3031" spans="2:11" x14ac:dyDescent="0.35">
      <c r="B3031">
        <v>100000557</v>
      </c>
      <c r="C3031" s="10">
        <v>46112</v>
      </c>
      <c r="D3031" t="s">
        <v>2034</v>
      </c>
      <c r="E3031" s="11" t="s">
        <v>2432</v>
      </c>
      <c r="F3031" t="s">
        <v>1407</v>
      </c>
      <c r="G3031" t="s">
        <v>1408</v>
      </c>
      <c r="H3031" s="10">
        <v>45949</v>
      </c>
      <c r="I3031">
        <v>41311</v>
      </c>
      <c r="J3031">
        <v>0</v>
      </c>
      <c r="K3031">
        <v>41311</v>
      </c>
    </row>
    <row r="3032" spans="2:11" x14ac:dyDescent="0.35">
      <c r="B3032">
        <v>100000556</v>
      </c>
      <c r="C3032" s="10">
        <v>46112</v>
      </c>
      <c r="D3032" t="s">
        <v>2034</v>
      </c>
      <c r="E3032" s="11" t="s">
        <v>2433</v>
      </c>
      <c r="F3032" t="s">
        <v>1387</v>
      </c>
      <c r="G3032" t="s">
        <v>1388</v>
      </c>
      <c r="H3032" s="10">
        <v>45948</v>
      </c>
      <c r="I3032">
        <v>35224.449999999997</v>
      </c>
      <c r="J3032">
        <v>23000</v>
      </c>
      <c r="K3032">
        <v>12224.449999999997</v>
      </c>
    </row>
    <row r="3033" spans="2:11" x14ac:dyDescent="0.35">
      <c r="B3033">
        <v>1800002716</v>
      </c>
      <c r="C3033" s="10">
        <v>46112</v>
      </c>
      <c r="D3033" t="s">
        <v>2052</v>
      </c>
      <c r="E3033" s="11" t="s">
        <v>2434</v>
      </c>
      <c r="F3033" t="s">
        <v>1329</v>
      </c>
      <c r="G3033" t="s">
        <v>1330</v>
      </c>
      <c r="H3033" s="10">
        <v>45992</v>
      </c>
      <c r="I3033">
        <v>24291.64</v>
      </c>
      <c r="J3033">
        <v>4941</v>
      </c>
      <c r="K3033">
        <v>19350.64</v>
      </c>
    </row>
    <row r="3034" spans="2:11" x14ac:dyDescent="0.35">
      <c r="B3034">
        <v>100000555</v>
      </c>
      <c r="C3034" s="10">
        <v>46112</v>
      </c>
      <c r="D3034" t="s">
        <v>2034</v>
      </c>
      <c r="E3034" s="11" t="s">
        <v>2435</v>
      </c>
      <c r="F3034" t="s">
        <v>1411</v>
      </c>
      <c r="G3034" t="s">
        <v>1412</v>
      </c>
      <c r="H3034" s="10">
        <v>45947</v>
      </c>
      <c r="I3034">
        <v>25488</v>
      </c>
      <c r="J3034">
        <v>6446.31</v>
      </c>
      <c r="K3034">
        <v>19041.689999999999</v>
      </c>
    </row>
    <row r="3035" spans="2:11" x14ac:dyDescent="0.35">
      <c r="B3035">
        <v>100000275</v>
      </c>
      <c r="C3035" s="10">
        <v>46112</v>
      </c>
      <c r="D3035" t="s">
        <v>2034</v>
      </c>
      <c r="E3035" s="11" t="s">
        <v>2436</v>
      </c>
      <c r="F3035" t="s">
        <v>1475</v>
      </c>
      <c r="G3035" t="s">
        <v>1476</v>
      </c>
      <c r="H3035" s="10">
        <v>45947</v>
      </c>
      <c r="I3035">
        <v>35195</v>
      </c>
      <c r="J3035">
        <v>0</v>
      </c>
      <c r="K3035">
        <v>35195</v>
      </c>
    </row>
    <row r="3036" spans="2:11" x14ac:dyDescent="0.35">
      <c r="B3036">
        <v>100000554</v>
      </c>
      <c r="C3036" s="10">
        <v>46112</v>
      </c>
      <c r="D3036" t="s">
        <v>2034</v>
      </c>
      <c r="E3036" s="11" t="s">
        <v>2437</v>
      </c>
      <c r="F3036" t="s">
        <v>1407</v>
      </c>
      <c r="G3036" t="s">
        <v>1408</v>
      </c>
      <c r="H3036" s="10">
        <v>45946</v>
      </c>
      <c r="I3036">
        <v>142998</v>
      </c>
      <c r="J3036">
        <v>0</v>
      </c>
      <c r="K3036">
        <v>142998</v>
      </c>
    </row>
    <row r="3037" spans="2:11" x14ac:dyDescent="0.35">
      <c r="B3037">
        <v>100000553</v>
      </c>
      <c r="C3037" s="10">
        <v>46112</v>
      </c>
      <c r="D3037" t="s">
        <v>2034</v>
      </c>
      <c r="E3037" s="11" t="s">
        <v>2438</v>
      </c>
      <c r="F3037" t="s">
        <v>1391</v>
      </c>
      <c r="G3037" t="s">
        <v>1392</v>
      </c>
      <c r="H3037" s="10">
        <v>45945</v>
      </c>
      <c r="I3037">
        <v>6647.51</v>
      </c>
      <c r="J3037">
        <v>0</v>
      </c>
      <c r="K3037">
        <v>6647.51</v>
      </c>
    </row>
    <row r="3038" spans="2:11" x14ac:dyDescent="0.35">
      <c r="B3038">
        <v>9400000332</v>
      </c>
      <c r="C3038" s="10">
        <v>46112</v>
      </c>
      <c r="D3038" t="s">
        <v>2032</v>
      </c>
      <c r="E3038" s="11" t="s">
        <v>2439</v>
      </c>
      <c r="F3038" t="s">
        <v>1473</v>
      </c>
      <c r="G3038" t="s">
        <v>1474</v>
      </c>
      <c r="H3038" s="10">
        <v>45944</v>
      </c>
      <c r="I3038">
        <v>2637.39</v>
      </c>
      <c r="J3038">
        <v>0</v>
      </c>
      <c r="K3038">
        <v>2637.39</v>
      </c>
    </row>
    <row r="3039" spans="2:11" x14ac:dyDescent="0.35">
      <c r="B3039">
        <v>1800003999</v>
      </c>
      <c r="C3039" s="10">
        <v>46112</v>
      </c>
      <c r="D3039" t="s">
        <v>2052</v>
      </c>
      <c r="E3039" s="11" t="s">
        <v>2440</v>
      </c>
      <c r="F3039" t="s">
        <v>1373</v>
      </c>
      <c r="G3039" t="s">
        <v>1374</v>
      </c>
      <c r="H3039" s="10">
        <v>45985</v>
      </c>
      <c r="I3039">
        <v>71964.42</v>
      </c>
      <c r="J3039">
        <v>0</v>
      </c>
      <c r="K3039">
        <v>71964.42</v>
      </c>
    </row>
    <row r="3040" spans="2:11" x14ac:dyDescent="0.35">
      <c r="B3040">
        <v>9400000581</v>
      </c>
      <c r="C3040" s="10">
        <v>46112</v>
      </c>
      <c r="D3040" t="s">
        <v>2032</v>
      </c>
      <c r="E3040" s="11" t="s">
        <v>2441</v>
      </c>
      <c r="F3040" t="s">
        <v>1477</v>
      </c>
      <c r="G3040" t="s">
        <v>1478</v>
      </c>
      <c r="H3040" s="10">
        <v>45939</v>
      </c>
      <c r="I3040">
        <v>234.85</v>
      </c>
      <c r="J3040">
        <v>0</v>
      </c>
      <c r="K3040">
        <v>234.85</v>
      </c>
    </row>
    <row r="3041" spans="2:11" x14ac:dyDescent="0.35">
      <c r="B3041">
        <v>9400000488</v>
      </c>
      <c r="C3041" s="10">
        <v>46112</v>
      </c>
      <c r="D3041" t="s">
        <v>2032</v>
      </c>
      <c r="E3041" s="11" t="s">
        <v>2442</v>
      </c>
      <c r="F3041" t="s">
        <v>1479</v>
      </c>
      <c r="G3041" t="s">
        <v>1480</v>
      </c>
      <c r="H3041" s="10">
        <v>45938</v>
      </c>
      <c r="I3041">
        <v>41.29</v>
      </c>
      <c r="J3041">
        <v>0</v>
      </c>
      <c r="K3041">
        <v>41.29</v>
      </c>
    </row>
    <row r="3042" spans="2:11" x14ac:dyDescent="0.35">
      <c r="B3042">
        <v>1800000674</v>
      </c>
      <c r="C3042" s="10">
        <v>46112</v>
      </c>
      <c r="D3042" t="s">
        <v>2052</v>
      </c>
      <c r="E3042" s="11" t="s">
        <v>2443</v>
      </c>
      <c r="F3042" t="s">
        <v>1365</v>
      </c>
      <c r="G3042" t="s">
        <v>1366</v>
      </c>
      <c r="H3042" s="10">
        <v>45983</v>
      </c>
      <c r="I3042">
        <v>25958.82</v>
      </c>
      <c r="J3042">
        <v>0</v>
      </c>
      <c r="K3042">
        <v>25958.82</v>
      </c>
    </row>
    <row r="3043" spans="2:11" x14ac:dyDescent="0.35">
      <c r="B3043">
        <v>100000551</v>
      </c>
      <c r="C3043" s="10">
        <v>46112</v>
      </c>
      <c r="D3043" t="s">
        <v>2034</v>
      </c>
      <c r="E3043" s="11" t="s">
        <v>2444</v>
      </c>
      <c r="F3043" t="s">
        <v>1359</v>
      </c>
      <c r="G3043" t="s">
        <v>1360</v>
      </c>
      <c r="H3043" s="10">
        <v>45936</v>
      </c>
      <c r="I3043">
        <v>206445.91</v>
      </c>
      <c r="J3043">
        <v>0</v>
      </c>
      <c r="K3043">
        <v>206445.91</v>
      </c>
    </row>
    <row r="3044" spans="2:11" x14ac:dyDescent="0.35">
      <c r="B3044">
        <v>9400000487</v>
      </c>
      <c r="C3044" s="10">
        <v>46112</v>
      </c>
      <c r="D3044" t="s">
        <v>2032</v>
      </c>
      <c r="E3044" s="11" t="s">
        <v>2445</v>
      </c>
      <c r="F3044" t="s">
        <v>1459</v>
      </c>
      <c r="G3044" t="s">
        <v>1460</v>
      </c>
      <c r="H3044" s="10">
        <v>45934</v>
      </c>
      <c r="I3044">
        <v>217.95</v>
      </c>
      <c r="J3044">
        <v>0</v>
      </c>
      <c r="K3044">
        <v>217.95</v>
      </c>
    </row>
    <row r="3045" spans="2:11" x14ac:dyDescent="0.35">
      <c r="B3045">
        <v>100000550</v>
      </c>
      <c r="C3045" s="10">
        <v>46112</v>
      </c>
      <c r="D3045" t="s">
        <v>2034</v>
      </c>
      <c r="E3045" s="11" t="s">
        <v>2446</v>
      </c>
      <c r="F3045" t="s">
        <v>1407</v>
      </c>
      <c r="G3045" t="s">
        <v>1408</v>
      </c>
      <c r="H3045" s="10">
        <v>45934</v>
      </c>
      <c r="I3045">
        <v>210927</v>
      </c>
      <c r="J3045">
        <v>0</v>
      </c>
      <c r="K3045">
        <v>210927</v>
      </c>
    </row>
    <row r="3046" spans="2:11" x14ac:dyDescent="0.35">
      <c r="B3046">
        <v>9400000486</v>
      </c>
      <c r="C3046" s="10">
        <v>46112</v>
      </c>
      <c r="D3046" t="s">
        <v>2032</v>
      </c>
      <c r="E3046" s="11" t="s">
        <v>2447</v>
      </c>
      <c r="F3046" t="s">
        <v>1453</v>
      </c>
      <c r="G3046" t="s">
        <v>1454</v>
      </c>
      <c r="H3046" s="10">
        <v>45930</v>
      </c>
      <c r="I3046">
        <v>57791.33</v>
      </c>
      <c r="J3046">
        <v>0</v>
      </c>
      <c r="K3046">
        <v>57791.33</v>
      </c>
    </row>
    <row r="3047" spans="2:11" x14ac:dyDescent="0.35">
      <c r="B3047">
        <v>1800003994</v>
      </c>
      <c r="C3047" s="10">
        <v>46112</v>
      </c>
      <c r="D3047" t="s">
        <v>2052</v>
      </c>
      <c r="E3047" s="11" t="s">
        <v>2448</v>
      </c>
      <c r="F3047" t="s">
        <v>1379</v>
      </c>
      <c r="G3047" t="s">
        <v>1380</v>
      </c>
      <c r="H3047" s="10">
        <v>45975</v>
      </c>
      <c r="I3047">
        <v>10046.52</v>
      </c>
      <c r="J3047">
        <v>0</v>
      </c>
      <c r="K3047">
        <v>10046.52</v>
      </c>
    </row>
    <row r="3048" spans="2:11" x14ac:dyDescent="0.35">
      <c r="B3048">
        <v>1800003993</v>
      </c>
      <c r="C3048" s="10">
        <v>46112</v>
      </c>
      <c r="D3048" t="s">
        <v>2052</v>
      </c>
      <c r="E3048" s="11" t="s">
        <v>2449</v>
      </c>
      <c r="F3048" t="s">
        <v>1379</v>
      </c>
      <c r="G3048" t="s">
        <v>1380</v>
      </c>
      <c r="H3048" s="10">
        <v>45974</v>
      </c>
      <c r="I3048">
        <v>23831.279999999999</v>
      </c>
      <c r="J3048">
        <v>0</v>
      </c>
      <c r="K3048">
        <v>23831.279999999999</v>
      </c>
    </row>
    <row r="3049" spans="2:11" x14ac:dyDescent="0.35">
      <c r="B3049">
        <v>9400000624</v>
      </c>
      <c r="C3049" s="10">
        <v>46112</v>
      </c>
      <c r="D3049" t="s">
        <v>2032</v>
      </c>
      <c r="E3049" s="11" t="s">
        <v>2450</v>
      </c>
      <c r="F3049" t="s">
        <v>1481</v>
      </c>
      <c r="G3049" t="s">
        <v>1482</v>
      </c>
      <c r="H3049" s="10">
        <v>45927</v>
      </c>
      <c r="I3049">
        <v>0.32</v>
      </c>
      <c r="J3049">
        <v>0</v>
      </c>
      <c r="K3049">
        <v>0.32</v>
      </c>
    </row>
    <row r="3050" spans="2:11" x14ac:dyDescent="0.35">
      <c r="B3050">
        <v>1400004675</v>
      </c>
      <c r="C3050" s="10">
        <v>46112</v>
      </c>
      <c r="D3050" t="s">
        <v>2037</v>
      </c>
      <c r="E3050" s="11" t="s">
        <v>2451</v>
      </c>
      <c r="F3050" t="s">
        <v>1459</v>
      </c>
      <c r="G3050" t="s">
        <v>1460</v>
      </c>
      <c r="H3050" s="10">
        <v>45927</v>
      </c>
      <c r="I3050">
        <v>31.15</v>
      </c>
      <c r="J3050">
        <v>0</v>
      </c>
      <c r="K3050">
        <v>31.15</v>
      </c>
    </row>
    <row r="3051" spans="2:11" x14ac:dyDescent="0.35">
      <c r="B3051">
        <v>1400004674</v>
      </c>
      <c r="C3051" s="10">
        <v>46112</v>
      </c>
      <c r="D3051" t="s">
        <v>2037</v>
      </c>
      <c r="E3051" s="11" t="s">
        <v>2452</v>
      </c>
      <c r="F3051" t="s">
        <v>1483</v>
      </c>
      <c r="G3051" t="s">
        <v>1484</v>
      </c>
      <c r="H3051" s="10">
        <v>45927</v>
      </c>
      <c r="I3051">
        <v>59</v>
      </c>
      <c r="J3051">
        <v>0</v>
      </c>
      <c r="K3051">
        <v>59</v>
      </c>
    </row>
    <row r="3052" spans="2:11" x14ac:dyDescent="0.35">
      <c r="B3052">
        <v>1800002573</v>
      </c>
      <c r="C3052" s="10">
        <v>46112</v>
      </c>
      <c r="D3052" t="s">
        <v>2052</v>
      </c>
      <c r="E3052" s="11" t="s">
        <v>2453</v>
      </c>
      <c r="F3052" t="s">
        <v>1321</v>
      </c>
      <c r="G3052" t="s">
        <v>1322</v>
      </c>
      <c r="H3052" s="10">
        <v>45995</v>
      </c>
      <c r="I3052">
        <v>122895.58</v>
      </c>
      <c r="J3052">
        <v>0</v>
      </c>
      <c r="K3052">
        <v>122895.58</v>
      </c>
    </row>
    <row r="3053" spans="2:11" x14ac:dyDescent="0.35">
      <c r="B3053">
        <v>1800000535</v>
      </c>
      <c r="C3053" s="10">
        <v>46112</v>
      </c>
      <c r="D3053" t="s">
        <v>2052</v>
      </c>
      <c r="E3053" s="11" t="s">
        <v>2454</v>
      </c>
      <c r="F3053" t="s">
        <v>1119</v>
      </c>
      <c r="G3053" t="s">
        <v>1120</v>
      </c>
      <c r="H3053" s="10">
        <v>45970</v>
      </c>
      <c r="I3053">
        <v>0.11</v>
      </c>
      <c r="J3053">
        <v>0</v>
      </c>
      <c r="K3053">
        <v>0.11</v>
      </c>
    </row>
    <row r="3054" spans="2:11" x14ac:dyDescent="0.35">
      <c r="B3054">
        <v>9400000004</v>
      </c>
      <c r="C3054" s="10">
        <v>46112</v>
      </c>
      <c r="D3054" t="s">
        <v>2032</v>
      </c>
      <c r="E3054" s="11" t="s">
        <v>2455</v>
      </c>
      <c r="F3054" t="s">
        <v>1485</v>
      </c>
      <c r="G3054" t="s">
        <v>1486</v>
      </c>
      <c r="H3054" s="10">
        <v>45924</v>
      </c>
      <c r="I3054">
        <v>240.16</v>
      </c>
      <c r="J3054">
        <v>0</v>
      </c>
      <c r="K3054">
        <v>240.16</v>
      </c>
    </row>
    <row r="3055" spans="2:11" x14ac:dyDescent="0.35">
      <c r="B3055">
        <v>100000274</v>
      </c>
      <c r="C3055" s="10">
        <v>46112</v>
      </c>
      <c r="D3055" t="s">
        <v>2034</v>
      </c>
      <c r="E3055" s="11" t="s">
        <v>2456</v>
      </c>
      <c r="F3055" t="s">
        <v>1487</v>
      </c>
      <c r="G3055" t="s">
        <v>1488</v>
      </c>
      <c r="H3055" s="10">
        <v>45924</v>
      </c>
      <c r="I3055">
        <v>1895.3</v>
      </c>
      <c r="J3055">
        <v>0</v>
      </c>
      <c r="K3055">
        <v>1895.3</v>
      </c>
    </row>
    <row r="3056" spans="2:11" x14ac:dyDescent="0.35">
      <c r="B3056">
        <v>9400000390</v>
      </c>
      <c r="C3056" s="10">
        <v>46112</v>
      </c>
      <c r="D3056" t="s">
        <v>2032</v>
      </c>
      <c r="E3056" s="11" t="s">
        <v>2457</v>
      </c>
      <c r="F3056" t="s">
        <v>1489</v>
      </c>
      <c r="G3056" t="s">
        <v>1490</v>
      </c>
      <c r="H3056" s="10">
        <v>45922</v>
      </c>
      <c r="I3056">
        <v>31.78</v>
      </c>
      <c r="J3056">
        <v>0</v>
      </c>
      <c r="K3056">
        <v>31.78</v>
      </c>
    </row>
    <row r="3057" spans="2:11" x14ac:dyDescent="0.35">
      <c r="B3057">
        <v>1800001302</v>
      </c>
      <c r="C3057" s="10">
        <v>46112</v>
      </c>
      <c r="D3057" t="s">
        <v>2052</v>
      </c>
      <c r="E3057" s="11" t="s">
        <v>2458</v>
      </c>
      <c r="F3057" t="s">
        <v>1059</v>
      </c>
      <c r="G3057" t="s">
        <v>1060</v>
      </c>
      <c r="H3057" s="10">
        <v>45980</v>
      </c>
      <c r="I3057">
        <v>10715.53</v>
      </c>
      <c r="J3057">
        <v>0</v>
      </c>
      <c r="K3057">
        <v>10715.53</v>
      </c>
    </row>
    <row r="3058" spans="2:11" x14ac:dyDescent="0.35">
      <c r="B3058">
        <v>100000549</v>
      </c>
      <c r="C3058" s="10">
        <v>46112</v>
      </c>
      <c r="D3058" t="s">
        <v>2034</v>
      </c>
      <c r="E3058" s="11" t="s">
        <v>2459</v>
      </c>
      <c r="F3058" t="s">
        <v>1491</v>
      </c>
      <c r="G3058" t="s">
        <v>1492</v>
      </c>
      <c r="H3058" s="10">
        <v>45920</v>
      </c>
      <c r="I3058">
        <v>11053.17</v>
      </c>
      <c r="J3058">
        <v>0</v>
      </c>
      <c r="K3058">
        <v>11053.17</v>
      </c>
    </row>
    <row r="3059" spans="2:11" x14ac:dyDescent="0.35">
      <c r="B3059">
        <v>9400000389</v>
      </c>
      <c r="C3059" s="10">
        <v>46112</v>
      </c>
      <c r="D3059" t="s">
        <v>2032</v>
      </c>
      <c r="E3059" s="11" t="s">
        <v>2460</v>
      </c>
      <c r="F3059" t="s">
        <v>1493</v>
      </c>
      <c r="G3059" t="s">
        <v>1494</v>
      </c>
      <c r="H3059" s="10">
        <v>45919</v>
      </c>
      <c r="I3059">
        <v>31.78</v>
      </c>
      <c r="J3059">
        <v>0</v>
      </c>
      <c r="K3059">
        <v>31.78</v>
      </c>
    </row>
    <row r="3060" spans="2:11" x14ac:dyDescent="0.35">
      <c r="B3060">
        <v>9400000388</v>
      </c>
      <c r="C3060" s="10">
        <v>46112</v>
      </c>
      <c r="D3060" t="s">
        <v>2032</v>
      </c>
      <c r="E3060" s="11" t="s">
        <v>2461</v>
      </c>
      <c r="F3060" t="s">
        <v>1489</v>
      </c>
      <c r="G3060" t="s">
        <v>1490</v>
      </c>
      <c r="H3060" s="10">
        <v>45919</v>
      </c>
      <c r="I3060">
        <v>31.78</v>
      </c>
      <c r="J3060">
        <v>0</v>
      </c>
      <c r="K3060">
        <v>31.78</v>
      </c>
    </row>
    <row r="3061" spans="2:11" x14ac:dyDescent="0.35">
      <c r="B3061">
        <v>9400000331</v>
      </c>
      <c r="C3061" s="10">
        <v>46112</v>
      </c>
      <c r="D3061" t="s">
        <v>2032</v>
      </c>
      <c r="E3061" s="11" t="s">
        <v>2462</v>
      </c>
      <c r="F3061" t="s">
        <v>1495</v>
      </c>
      <c r="G3061" t="s">
        <v>1496</v>
      </c>
      <c r="H3061" s="10">
        <v>45918</v>
      </c>
      <c r="I3061">
        <v>1336.66</v>
      </c>
      <c r="J3061">
        <v>0</v>
      </c>
      <c r="K3061">
        <v>1336.66</v>
      </c>
    </row>
    <row r="3062" spans="2:11" x14ac:dyDescent="0.35">
      <c r="B3062">
        <v>100000548</v>
      </c>
      <c r="C3062" s="10">
        <v>46112</v>
      </c>
      <c r="D3062" t="s">
        <v>2034</v>
      </c>
      <c r="E3062" s="11" t="s">
        <v>2463</v>
      </c>
      <c r="F3062" t="s">
        <v>1483</v>
      </c>
      <c r="G3062" t="s">
        <v>1484</v>
      </c>
      <c r="H3062" s="10">
        <v>45918</v>
      </c>
      <c r="I3062">
        <v>221364.49</v>
      </c>
      <c r="J3062">
        <v>0</v>
      </c>
      <c r="K3062">
        <v>221364.49</v>
      </c>
    </row>
    <row r="3063" spans="2:11" x14ac:dyDescent="0.35">
      <c r="B3063">
        <v>1800002711</v>
      </c>
      <c r="C3063" s="10">
        <v>46112</v>
      </c>
      <c r="D3063" t="s">
        <v>2052</v>
      </c>
      <c r="E3063" s="11" t="s">
        <v>2464</v>
      </c>
      <c r="F3063" t="s">
        <v>1497</v>
      </c>
      <c r="G3063" t="s">
        <v>1498</v>
      </c>
      <c r="H3063" s="10">
        <v>45962</v>
      </c>
      <c r="I3063">
        <v>490.96</v>
      </c>
      <c r="J3063">
        <v>0</v>
      </c>
      <c r="K3063">
        <v>490.96</v>
      </c>
    </row>
    <row r="3064" spans="2:11" x14ac:dyDescent="0.35">
      <c r="B3064">
        <v>1400004673</v>
      </c>
      <c r="C3064" s="10">
        <v>46112</v>
      </c>
      <c r="D3064" t="s">
        <v>2037</v>
      </c>
      <c r="E3064" s="11" t="s">
        <v>2465</v>
      </c>
      <c r="F3064" t="s">
        <v>1499</v>
      </c>
      <c r="G3064" t="s">
        <v>1500</v>
      </c>
      <c r="H3064" s="10">
        <v>45917</v>
      </c>
      <c r="I3064">
        <v>59</v>
      </c>
      <c r="J3064">
        <v>0</v>
      </c>
      <c r="K3064">
        <v>59</v>
      </c>
    </row>
    <row r="3065" spans="2:11" x14ac:dyDescent="0.35">
      <c r="B3065">
        <v>1800002710</v>
      </c>
      <c r="C3065" s="10">
        <v>46112</v>
      </c>
      <c r="D3065" t="s">
        <v>2052</v>
      </c>
      <c r="E3065" s="11" t="s">
        <v>2466</v>
      </c>
      <c r="F3065" t="s">
        <v>1395</v>
      </c>
      <c r="G3065" t="s">
        <v>1396</v>
      </c>
      <c r="H3065" s="10">
        <v>45961</v>
      </c>
      <c r="I3065">
        <v>1931.5</v>
      </c>
      <c r="J3065">
        <v>0</v>
      </c>
      <c r="K3065">
        <v>1931.5</v>
      </c>
    </row>
    <row r="3066" spans="2:11" x14ac:dyDescent="0.35">
      <c r="B3066">
        <v>100000547</v>
      </c>
      <c r="C3066" s="10">
        <v>46112</v>
      </c>
      <c r="D3066" t="s">
        <v>2034</v>
      </c>
      <c r="E3066" s="11" t="s">
        <v>2467</v>
      </c>
      <c r="F3066" t="s">
        <v>1499</v>
      </c>
      <c r="G3066" t="s">
        <v>1500</v>
      </c>
      <c r="H3066" s="10">
        <v>45915</v>
      </c>
      <c r="I3066">
        <v>67804.13</v>
      </c>
      <c r="J3066">
        <v>0</v>
      </c>
      <c r="K3066">
        <v>67804.13</v>
      </c>
    </row>
    <row r="3067" spans="2:11" x14ac:dyDescent="0.35">
      <c r="B3067">
        <v>9400000483</v>
      </c>
      <c r="C3067" s="10">
        <v>46112</v>
      </c>
      <c r="D3067" t="s">
        <v>2032</v>
      </c>
      <c r="E3067" s="11" t="s">
        <v>2468</v>
      </c>
      <c r="F3067" t="s">
        <v>1459</v>
      </c>
      <c r="G3067" t="s">
        <v>1460</v>
      </c>
      <c r="H3067" s="10">
        <v>45912</v>
      </c>
      <c r="I3067">
        <v>24.54</v>
      </c>
      <c r="J3067">
        <v>0</v>
      </c>
      <c r="K3067">
        <v>24.54</v>
      </c>
    </row>
    <row r="3068" spans="2:11" x14ac:dyDescent="0.35">
      <c r="B3068">
        <v>9400000133</v>
      </c>
      <c r="C3068" s="10">
        <v>46112</v>
      </c>
      <c r="D3068" t="s">
        <v>2032</v>
      </c>
      <c r="E3068" s="11" t="s">
        <v>2469</v>
      </c>
      <c r="F3068" t="s">
        <v>1503</v>
      </c>
      <c r="G3068" t="s">
        <v>1504</v>
      </c>
      <c r="H3068" s="10">
        <v>45912</v>
      </c>
      <c r="I3068">
        <v>0.14000000000000001</v>
      </c>
      <c r="J3068">
        <v>0</v>
      </c>
      <c r="K3068">
        <v>0.14000000000000001</v>
      </c>
    </row>
    <row r="3069" spans="2:11" x14ac:dyDescent="0.35">
      <c r="B3069">
        <v>1800003784</v>
      </c>
      <c r="C3069" s="10">
        <v>46112</v>
      </c>
      <c r="D3069" t="s">
        <v>2052</v>
      </c>
      <c r="E3069" s="11" t="s">
        <v>2470</v>
      </c>
      <c r="F3069" t="s">
        <v>1407</v>
      </c>
      <c r="G3069" t="s">
        <v>1408</v>
      </c>
      <c r="H3069" s="10">
        <v>45932</v>
      </c>
      <c r="I3069">
        <v>114518.47</v>
      </c>
      <c r="J3069">
        <v>0</v>
      </c>
      <c r="K3069">
        <v>114518.47</v>
      </c>
    </row>
    <row r="3070" spans="2:11" x14ac:dyDescent="0.35">
      <c r="B3070">
        <v>1800002571</v>
      </c>
      <c r="C3070" s="10">
        <v>46112</v>
      </c>
      <c r="D3070" t="s">
        <v>2052</v>
      </c>
      <c r="E3070" s="11" t="s">
        <v>2471</v>
      </c>
      <c r="F3070" t="s">
        <v>1387</v>
      </c>
      <c r="G3070" t="s">
        <v>1388</v>
      </c>
      <c r="H3070" s="10">
        <v>45957</v>
      </c>
      <c r="I3070">
        <v>13498.8</v>
      </c>
      <c r="J3070">
        <v>0</v>
      </c>
      <c r="K3070">
        <v>13498.8</v>
      </c>
    </row>
    <row r="3071" spans="2:11" x14ac:dyDescent="0.35">
      <c r="B3071">
        <v>9400000482</v>
      </c>
      <c r="C3071" s="10">
        <v>46112</v>
      </c>
      <c r="D3071" t="s">
        <v>2032</v>
      </c>
      <c r="E3071" s="11" t="s">
        <v>2472</v>
      </c>
      <c r="F3071" t="s">
        <v>1505</v>
      </c>
      <c r="G3071" t="s">
        <v>1506</v>
      </c>
      <c r="H3071" s="10">
        <v>45910</v>
      </c>
      <c r="I3071">
        <v>259.70999999999998</v>
      </c>
      <c r="J3071">
        <v>0</v>
      </c>
      <c r="K3071">
        <v>259.70999999999998</v>
      </c>
    </row>
    <row r="3072" spans="2:11" x14ac:dyDescent="0.35">
      <c r="B3072">
        <v>100000269</v>
      </c>
      <c r="C3072" s="10">
        <v>46112</v>
      </c>
      <c r="D3072" t="s">
        <v>2034</v>
      </c>
      <c r="E3072" s="11" t="s">
        <v>2473</v>
      </c>
      <c r="F3072" t="s">
        <v>1063</v>
      </c>
      <c r="G3072" t="s">
        <v>1064</v>
      </c>
      <c r="H3072" s="10">
        <v>45910</v>
      </c>
      <c r="I3072">
        <v>58411.29</v>
      </c>
      <c r="J3072">
        <v>0</v>
      </c>
      <c r="K3072">
        <v>58411.29</v>
      </c>
    </row>
    <row r="3073" spans="2:11" x14ac:dyDescent="0.35">
      <c r="B3073">
        <v>100000268</v>
      </c>
      <c r="C3073" s="10">
        <v>46112</v>
      </c>
      <c r="D3073" t="s">
        <v>2034</v>
      </c>
      <c r="E3073" s="11" t="s">
        <v>2474</v>
      </c>
      <c r="F3073" t="s">
        <v>1063</v>
      </c>
      <c r="G3073" t="s">
        <v>1064</v>
      </c>
      <c r="H3073" s="10">
        <v>45910</v>
      </c>
      <c r="I3073">
        <v>100000</v>
      </c>
      <c r="J3073">
        <v>0</v>
      </c>
      <c r="K3073">
        <v>100000</v>
      </c>
    </row>
    <row r="3074" spans="2:11" x14ac:dyDescent="0.35">
      <c r="B3074">
        <v>100000267</v>
      </c>
      <c r="C3074" s="10">
        <v>46112</v>
      </c>
      <c r="D3074" t="s">
        <v>2034</v>
      </c>
      <c r="E3074" s="11" t="s">
        <v>2475</v>
      </c>
      <c r="F3074" t="s">
        <v>1507</v>
      </c>
      <c r="G3074" t="s">
        <v>1508</v>
      </c>
      <c r="H3074" s="10">
        <v>45910</v>
      </c>
      <c r="I3074">
        <v>0.47</v>
      </c>
      <c r="J3074">
        <v>0</v>
      </c>
      <c r="K3074">
        <v>0.47</v>
      </c>
    </row>
    <row r="3075" spans="2:11" x14ac:dyDescent="0.35">
      <c r="B3075">
        <v>9400000203</v>
      </c>
      <c r="C3075" s="10">
        <v>46112</v>
      </c>
      <c r="D3075" t="s">
        <v>2032</v>
      </c>
      <c r="E3075" s="11" t="s">
        <v>2476</v>
      </c>
      <c r="F3075" t="s">
        <v>1509</v>
      </c>
      <c r="G3075" t="s">
        <v>1510</v>
      </c>
      <c r="H3075" s="10">
        <v>45747</v>
      </c>
      <c r="I3075">
        <v>0.64</v>
      </c>
      <c r="J3075">
        <v>0</v>
      </c>
      <c r="K3075">
        <v>0.64</v>
      </c>
    </row>
    <row r="3076" spans="2:11" x14ac:dyDescent="0.35">
      <c r="B3076">
        <v>1400004540</v>
      </c>
      <c r="C3076" s="10">
        <v>46112</v>
      </c>
      <c r="D3076" t="s">
        <v>2037</v>
      </c>
      <c r="E3076" s="11" t="s">
        <v>2477</v>
      </c>
      <c r="F3076" t="s">
        <v>1511</v>
      </c>
      <c r="G3076" t="s">
        <v>1512</v>
      </c>
      <c r="H3076" s="10">
        <v>45903</v>
      </c>
      <c r="I3076">
        <v>3997.51</v>
      </c>
      <c r="J3076">
        <v>0</v>
      </c>
      <c r="K3076">
        <v>3997.51</v>
      </c>
    </row>
    <row r="3077" spans="2:11" x14ac:dyDescent="0.35">
      <c r="B3077">
        <v>1800003782</v>
      </c>
      <c r="C3077" s="10">
        <v>46112</v>
      </c>
      <c r="D3077" t="s">
        <v>2052</v>
      </c>
      <c r="E3077" s="11" t="s">
        <v>2478</v>
      </c>
      <c r="F3077" t="s">
        <v>1407</v>
      </c>
      <c r="G3077" t="s">
        <v>1408</v>
      </c>
      <c r="H3077" s="10">
        <v>45945</v>
      </c>
      <c r="I3077">
        <v>41310.620000000003</v>
      </c>
      <c r="J3077">
        <v>0</v>
      </c>
      <c r="K3077">
        <v>41310.620000000003</v>
      </c>
    </row>
    <row r="3078" spans="2:11" x14ac:dyDescent="0.35">
      <c r="B3078">
        <v>1400004672</v>
      </c>
      <c r="C3078" s="10">
        <v>46112</v>
      </c>
      <c r="D3078" t="s">
        <v>2037</v>
      </c>
      <c r="E3078" s="11" t="s">
        <v>2479</v>
      </c>
      <c r="F3078" t="s">
        <v>1513</v>
      </c>
      <c r="G3078" t="s">
        <v>1514</v>
      </c>
      <c r="H3078" s="10">
        <v>45900</v>
      </c>
      <c r="I3078">
        <v>59</v>
      </c>
      <c r="J3078">
        <v>0</v>
      </c>
      <c r="K3078">
        <v>59</v>
      </c>
    </row>
    <row r="3079" spans="2:11" x14ac:dyDescent="0.35">
      <c r="B3079">
        <v>1400004671</v>
      </c>
      <c r="C3079" s="10">
        <v>46112</v>
      </c>
      <c r="D3079" t="s">
        <v>2037</v>
      </c>
      <c r="E3079" s="11" t="s">
        <v>2480</v>
      </c>
      <c r="F3079" t="s">
        <v>1515</v>
      </c>
      <c r="G3079" t="s">
        <v>1516</v>
      </c>
      <c r="H3079" s="10">
        <v>45900</v>
      </c>
      <c r="I3079">
        <v>0.11</v>
      </c>
      <c r="J3079">
        <v>0</v>
      </c>
      <c r="K3079">
        <v>0.11</v>
      </c>
    </row>
    <row r="3080" spans="2:11" x14ac:dyDescent="0.35">
      <c r="B3080">
        <v>1400004670</v>
      </c>
      <c r="C3080" s="10">
        <v>46112</v>
      </c>
      <c r="D3080" t="s">
        <v>2037</v>
      </c>
      <c r="E3080" s="11" t="s">
        <v>2481</v>
      </c>
      <c r="F3080" t="s">
        <v>1495</v>
      </c>
      <c r="G3080" t="s">
        <v>1496</v>
      </c>
      <c r="H3080" s="10">
        <v>45900</v>
      </c>
      <c r="I3080">
        <v>59</v>
      </c>
      <c r="J3080">
        <v>0</v>
      </c>
      <c r="K3080">
        <v>59</v>
      </c>
    </row>
    <row r="3081" spans="2:11" x14ac:dyDescent="0.35">
      <c r="B3081">
        <v>1400004669</v>
      </c>
      <c r="C3081" s="10">
        <v>46112</v>
      </c>
      <c r="D3081" t="s">
        <v>2037</v>
      </c>
      <c r="E3081" s="11" t="s">
        <v>2482</v>
      </c>
      <c r="F3081" t="s">
        <v>1517</v>
      </c>
      <c r="G3081" t="s">
        <v>1518</v>
      </c>
      <c r="H3081" s="10">
        <v>45900</v>
      </c>
      <c r="I3081">
        <v>59</v>
      </c>
      <c r="J3081">
        <v>0</v>
      </c>
      <c r="K3081">
        <v>59</v>
      </c>
    </row>
    <row r="3082" spans="2:11" x14ac:dyDescent="0.35">
      <c r="B3082">
        <v>1400004668</v>
      </c>
      <c r="C3082" s="10">
        <v>46112</v>
      </c>
      <c r="D3082" t="s">
        <v>2037</v>
      </c>
      <c r="E3082" s="11" t="s">
        <v>2483</v>
      </c>
      <c r="F3082" t="s">
        <v>1519</v>
      </c>
      <c r="G3082" t="s">
        <v>1520</v>
      </c>
      <c r="H3082" s="10">
        <v>45900</v>
      </c>
      <c r="I3082">
        <v>59</v>
      </c>
      <c r="J3082">
        <v>0</v>
      </c>
      <c r="K3082">
        <v>59</v>
      </c>
    </row>
    <row r="3083" spans="2:11" x14ac:dyDescent="0.35">
      <c r="B3083">
        <v>1400004667</v>
      </c>
      <c r="C3083" s="10">
        <v>46112</v>
      </c>
      <c r="D3083" t="s">
        <v>2037</v>
      </c>
      <c r="E3083" s="11" t="s">
        <v>2484</v>
      </c>
      <c r="F3083" t="s">
        <v>1521</v>
      </c>
      <c r="G3083" t="s">
        <v>1522</v>
      </c>
      <c r="H3083" s="10">
        <v>45900</v>
      </c>
      <c r="I3083">
        <v>59</v>
      </c>
      <c r="J3083">
        <v>0</v>
      </c>
      <c r="K3083">
        <v>59</v>
      </c>
    </row>
    <row r="3084" spans="2:11" x14ac:dyDescent="0.35">
      <c r="B3084">
        <v>1400004666</v>
      </c>
      <c r="C3084" s="10">
        <v>46112</v>
      </c>
      <c r="D3084" t="s">
        <v>2037</v>
      </c>
      <c r="E3084" s="11" t="s">
        <v>2485</v>
      </c>
      <c r="F3084" t="s">
        <v>1523</v>
      </c>
      <c r="G3084" t="s">
        <v>1524</v>
      </c>
      <c r="H3084" s="10">
        <v>45900</v>
      </c>
      <c r="I3084">
        <v>59</v>
      </c>
      <c r="J3084">
        <v>0</v>
      </c>
      <c r="K3084">
        <v>59</v>
      </c>
    </row>
    <row r="3085" spans="2:11" x14ac:dyDescent="0.35">
      <c r="B3085">
        <v>1400004665</v>
      </c>
      <c r="C3085" s="10">
        <v>46112</v>
      </c>
      <c r="D3085" t="s">
        <v>2037</v>
      </c>
      <c r="E3085" s="11" t="s">
        <v>2486</v>
      </c>
      <c r="F3085" t="s">
        <v>1525</v>
      </c>
      <c r="G3085" t="s">
        <v>1526</v>
      </c>
      <c r="H3085" s="10">
        <v>45900</v>
      </c>
      <c r="I3085">
        <v>59</v>
      </c>
      <c r="J3085">
        <v>0</v>
      </c>
      <c r="K3085">
        <v>59</v>
      </c>
    </row>
    <row r="3086" spans="2:11" x14ac:dyDescent="0.35">
      <c r="B3086">
        <v>1400004664</v>
      </c>
      <c r="C3086" s="10">
        <v>46112</v>
      </c>
      <c r="D3086" t="s">
        <v>2037</v>
      </c>
      <c r="E3086" s="11" t="s">
        <v>2487</v>
      </c>
      <c r="F3086" t="s">
        <v>1505</v>
      </c>
      <c r="G3086" t="s">
        <v>1506</v>
      </c>
      <c r="H3086" s="10">
        <v>45900</v>
      </c>
      <c r="I3086">
        <v>59</v>
      </c>
      <c r="J3086">
        <v>0</v>
      </c>
      <c r="K3086">
        <v>59</v>
      </c>
    </row>
    <row r="3087" spans="2:11" x14ac:dyDescent="0.35">
      <c r="B3087">
        <v>1400004663</v>
      </c>
      <c r="C3087" s="10">
        <v>46112</v>
      </c>
      <c r="D3087" t="s">
        <v>2037</v>
      </c>
      <c r="E3087" s="11" t="s">
        <v>2488</v>
      </c>
      <c r="F3087" t="s">
        <v>1527</v>
      </c>
      <c r="G3087" t="s">
        <v>1528</v>
      </c>
      <c r="H3087" s="10">
        <v>45900</v>
      </c>
      <c r="I3087">
        <v>59</v>
      </c>
      <c r="J3087">
        <v>0</v>
      </c>
      <c r="K3087">
        <v>59</v>
      </c>
    </row>
    <row r="3088" spans="2:11" x14ac:dyDescent="0.35">
      <c r="B3088">
        <v>1400004662</v>
      </c>
      <c r="C3088" s="10">
        <v>46112</v>
      </c>
      <c r="D3088" t="s">
        <v>2037</v>
      </c>
      <c r="E3088" s="11" t="s">
        <v>2489</v>
      </c>
      <c r="F3088" t="s">
        <v>1529</v>
      </c>
      <c r="G3088" t="s">
        <v>1530</v>
      </c>
      <c r="H3088" s="10">
        <v>45900</v>
      </c>
      <c r="I3088">
        <v>59</v>
      </c>
      <c r="J3088">
        <v>0</v>
      </c>
      <c r="K3088">
        <v>59</v>
      </c>
    </row>
    <row r="3089" spans="2:11" x14ac:dyDescent="0.35">
      <c r="B3089">
        <v>1400004661</v>
      </c>
      <c r="C3089" s="10">
        <v>46112</v>
      </c>
      <c r="D3089" t="s">
        <v>2037</v>
      </c>
      <c r="E3089" s="11" t="s">
        <v>2490</v>
      </c>
      <c r="F3089" t="s">
        <v>1495</v>
      </c>
      <c r="G3089" t="s">
        <v>1496</v>
      </c>
      <c r="H3089" s="10">
        <v>45900</v>
      </c>
      <c r="I3089">
        <v>59</v>
      </c>
      <c r="J3089">
        <v>0</v>
      </c>
      <c r="K3089">
        <v>59</v>
      </c>
    </row>
    <row r="3090" spans="2:11" x14ac:dyDescent="0.35">
      <c r="B3090">
        <v>100000546</v>
      </c>
      <c r="C3090" s="10">
        <v>46112</v>
      </c>
      <c r="D3090" t="s">
        <v>2034</v>
      </c>
      <c r="E3090" s="11" t="s">
        <v>2491</v>
      </c>
      <c r="F3090" t="s">
        <v>1531</v>
      </c>
      <c r="G3090" t="s">
        <v>1532</v>
      </c>
      <c r="H3090" s="10">
        <v>45900</v>
      </c>
      <c r="I3090">
        <v>20032.61</v>
      </c>
      <c r="J3090">
        <v>12442.25</v>
      </c>
      <c r="K3090">
        <v>7590.3600000000006</v>
      </c>
    </row>
    <row r="3091" spans="2:11" x14ac:dyDescent="0.35">
      <c r="B3091">
        <v>9400000481</v>
      </c>
      <c r="C3091" s="10">
        <v>46112</v>
      </c>
      <c r="D3091" t="s">
        <v>2032</v>
      </c>
      <c r="E3091" s="11" t="s">
        <v>2492</v>
      </c>
      <c r="F3091" t="s">
        <v>1453</v>
      </c>
      <c r="G3091" t="s">
        <v>1454</v>
      </c>
      <c r="H3091" s="10">
        <v>45899</v>
      </c>
      <c r="I3091">
        <v>49456.92</v>
      </c>
      <c r="J3091">
        <v>0</v>
      </c>
      <c r="K3091">
        <v>49456.92</v>
      </c>
    </row>
    <row r="3092" spans="2:11" x14ac:dyDescent="0.35">
      <c r="B3092">
        <v>1800006008</v>
      </c>
      <c r="C3092" s="10">
        <v>46112</v>
      </c>
      <c r="D3092" t="s">
        <v>2052</v>
      </c>
      <c r="E3092" s="11" t="s">
        <v>2493</v>
      </c>
      <c r="F3092" t="s">
        <v>1533</v>
      </c>
      <c r="G3092" t="s">
        <v>1534</v>
      </c>
      <c r="H3092" s="10">
        <v>45944</v>
      </c>
      <c r="I3092">
        <v>3177.74</v>
      </c>
      <c r="J3092">
        <v>0</v>
      </c>
      <c r="K3092">
        <v>3177.74</v>
      </c>
    </row>
    <row r="3093" spans="2:11" x14ac:dyDescent="0.35">
      <c r="B3093">
        <v>1800006007</v>
      </c>
      <c r="C3093" s="10">
        <v>46112</v>
      </c>
      <c r="D3093" t="s">
        <v>2052</v>
      </c>
      <c r="E3093" s="11" t="s">
        <v>2494</v>
      </c>
      <c r="F3093" t="s">
        <v>1533</v>
      </c>
      <c r="G3093" t="s">
        <v>1534</v>
      </c>
      <c r="H3093" s="10">
        <v>45919</v>
      </c>
      <c r="I3093">
        <v>127955.53</v>
      </c>
      <c r="J3093">
        <v>59960.53</v>
      </c>
      <c r="K3093">
        <v>67995</v>
      </c>
    </row>
    <row r="3094" spans="2:11" x14ac:dyDescent="0.35">
      <c r="B3094">
        <v>1800003781</v>
      </c>
      <c r="C3094" s="10">
        <v>46112</v>
      </c>
      <c r="D3094" t="s">
        <v>2052</v>
      </c>
      <c r="E3094" s="11" t="s">
        <v>2495</v>
      </c>
      <c r="F3094" t="s">
        <v>1407</v>
      </c>
      <c r="G3094" t="s">
        <v>1408</v>
      </c>
      <c r="H3094" s="10">
        <v>45944</v>
      </c>
      <c r="I3094">
        <v>113280.35</v>
      </c>
      <c r="J3094">
        <v>0</v>
      </c>
      <c r="K3094">
        <v>113280.35</v>
      </c>
    </row>
    <row r="3095" spans="2:11" x14ac:dyDescent="0.35">
      <c r="B3095">
        <v>1800002568</v>
      </c>
      <c r="C3095" s="10">
        <v>46112</v>
      </c>
      <c r="D3095" t="s">
        <v>2052</v>
      </c>
      <c r="E3095" s="11" t="s">
        <v>2496</v>
      </c>
      <c r="F3095" t="s">
        <v>1389</v>
      </c>
      <c r="G3095" t="s">
        <v>1390</v>
      </c>
      <c r="H3095" s="10">
        <v>45944</v>
      </c>
      <c r="I3095">
        <v>64894.95</v>
      </c>
      <c r="J3095">
        <v>0</v>
      </c>
      <c r="K3095">
        <v>64894.95</v>
      </c>
    </row>
    <row r="3096" spans="2:11" x14ac:dyDescent="0.35">
      <c r="B3096">
        <v>1800002566</v>
      </c>
      <c r="C3096" s="10">
        <v>46112</v>
      </c>
      <c r="D3096" t="s">
        <v>2052</v>
      </c>
      <c r="E3096" s="11" t="s">
        <v>2497</v>
      </c>
      <c r="F3096" t="s">
        <v>1535</v>
      </c>
      <c r="G3096" t="s">
        <v>1536</v>
      </c>
      <c r="H3096" s="10">
        <v>45944</v>
      </c>
      <c r="I3096">
        <v>0.32</v>
      </c>
      <c r="J3096">
        <v>0</v>
      </c>
      <c r="K3096">
        <v>0.32</v>
      </c>
    </row>
    <row r="3097" spans="2:11" x14ac:dyDescent="0.35">
      <c r="B3097">
        <v>1800003780</v>
      </c>
      <c r="C3097" s="10">
        <v>46112</v>
      </c>
      <c r="D3097" t="s">
        <v>2052</v>
      </c>
      <c r="E3097" s="11" t="s">
        <v>2498</v>
      </c>
      <c r="F3097" t="s">
        <v>1407</v>
      </c>
      <c r="G3097" t="s">
        <v>1408</v>
      </c>
      <c r="H3097" s="10">
        <v>45942</v>
      </c>
      <c r="I3097">
        <v>142998.29999999999</v>
      </c>
      <c r="J3097">
        <v>0</v>
      </c>
      <c r="K3097">
        <v>142998.29999999999</v>
      </c>
    </row>
    <row r="3098" spans="2:11" x14ac:dyDescent="0.35">
      <c r="B3098">
        <v>100000545</v>
      </c>
      <c r="C3098" s="10">
        <v>46112</v>
      </c>
      <c r="D3098" t="s">
        <v>2034</v>
      </c>
      <c r="E3098" s="11" t="s">
        <v>2499</v>
      </c>
      <c r="F3098" t="s">
        <v>1537</v>
      </c>
      <c r="G3098" t="s">
        <v>1538</v>
      </c>
      <c r="H3098" s="10">
        <v>45897</v>
      </c>
      <c r="I3098">
        <v>77514.97</v>
      </c>
      <c r="J3098">
        <v>0</v>
      </c>
      <c r="K3098">
        <v>77514.97</v>
      </c>
    </row>
    <row r="3099" spans="2:11" x14ac:dyDescent="0.35">
      <c r="B3099">
        <v>100000543</v>
      </c>
      <c r="C3099" s="10">
        <v>46112</v>
      </c>
      <c r="D3099" t="s">
        <v>2034</v>
      </c>
      <c r="E3099" s="11" t="s">
        <v>2500</v>
      </c>
      <c r="F3099" t="s">
        <v>1525</v>
      </c>
      <c r="G3099" t="s">
        <v>1526</v>
      </c>
      <c r="H3099" s="10">
        <v>45895</v>
      </c>
      <c r="I3099">
        <v>250078</v>
      </c>
      <c r="J3099">
        <v>0</v>
      </c>
      <c r="K3099">
        <v>250078</v>
      </c>
    </row>
    <row r="3100" spans="2:11" x14ac:dyDescent="0.35">
      <c r="B3100">
        <v>100000542</v>
      </c>
      <c r="C3100" s="10">
        <v>46112</v>
      </c>
      <c r="D3100" t="s">
        <v>2034</v>
      </c>
      <c r="E3100" s="11" t="s">
        <v>2500</v>
      </c>
      <c r="F3100" t="s">
        <v>1539</v>
      </c>
      <c r="G3100" t="s">
        <v>1540</v>
      </c>
      <c r="H3100" s="10">
        <v>45895</v>
      </c>
      <c r="I3100">
        <v>15000</v>
      </c>
      <c r="J3100">
        <v>0</v>
      </c>
      <c r="K3100">
        <v>15000</v>
      </c>
    </row>
    <row r="3101" spans="2:11" x14ac:dyDescent="0.35">
      <c r="B3101">
        <v>1800004224</v>
      </c>
      <c r="C3101" s="10">
        <v>46112</v>
      </c>
      <c r="D3101" t="s">
        <v>2052</v>
      </c>
      <c r="E3101" s="11" t="s">
        <v>2501</v>
      </c>
      <c r="F3101" t="s">
        <v>1541</v>
      </c>
      <c r="G3101" t="s">
        <v>1542</v>
      </c>
      <c r="H3101" s="10">
        <v>45939</v>
      </c>
      <c r="I3101">
        <v>0.5</v>
      </c>
      <c r="J3101">
        <v>0</v>
      </c>
      <c r="K3101">
        <v>0.5</v>
      </c>
    </row>
    <row r="3102" spans="2:11" x14ac:dyDescent="0.35">
      <c r="B3102">
        <v>100000541</v>
      </c>
      <c r="C3102" s="10">
        <v>46112</v>
      </c>
      <c r="D3102" t="s">
        <v>2034</v>
      </c>
      <c r="E3102" s="11" t="s">
        <v>2502</v>
      </c>
      <c r="F3102" t="s">
        <v>1513</v>
      </c>
      <c r="G3102" t="s">
        <v>1514</v>
      </c>
      <c r="H3102" s="10">
        <v>45891</v>
      </c>
      <c r="I3102">
        <v>99185.74</v>
      </c>
      <c r="J3102">
        <v>0</v>
      </c>
      <c r="K3102">
        <v>99185.74</v>
      </c>
    </row>
    <row r="3103" spans="2:11" x14ac:dyDescent="0.35">
      <c r="B3103">
        <v>100000540</v>
      </c>
      <c r="C3103" s="10">
        <v>46112</v>
      </c>
      <c r="D3103" t="s">
        <v>2034</v>
      </c>
      <c r="E3103" s="11" t="s">
        <v>2502</v>
      </c>
      <c r="F3103" t="s">
        <v>1505</v>
      </c>
      <c r="G3103" t="s">
        <v>1506</v>
      </c>
      <c r="H3103" s="10">
        <v>45891</v>
      </c>
      <c r="I3103">
        <v>371895.63</v>
      </c>
      <c r="J3103">
        <v>0</v>
      </c>
      <c r="K3103">
        <v>371895.63</v>
      </c>
    </row>
    <row r="3104" spans="2:11" x14ac:dyDescent="0.35">
      <c r="B3104">
        <v>1800000525</v>
      </c>
      <c r="C3104" s="10">
        <v>46112</v>
      </c>
      <c r="D3104" t="s">
        <v>2052</v>
      </c>
      <c r="E3104" s="11" t="s">
        <v>2503</v>
      </c>
      <c r="F3104" t="s">
        <v>1359</v>
      </c>
      <c r="G3104" t="s">
        <v>1360</v>
      </c>
      <c r="H3104" s="10">
        <v>45964</v>
      </c>
      <c r="I3104">
        <v>12149.87</v>
      </c>
      <c r="J3104">
        <v>0</v>
      </c>
      <c r="K3104">
        <v>12149.87</v>
      </c>
    </row>
    <row r="3105" spans="2:11" x14ac:dyDescent="0.35">
      <c r="B3105">
        <v>1800000524</v>
      </c>
      <c r="C3105" s="10">
        <v>46112</v>
      </c>
      <c r="D3105" t="s">
        <v>2052</v>
      </c>
      <c r="E3105" s="11" t="s">
        <v>2504</v>
      </c>
      <c r="F3105" t="s">
        <v>1359</v>
      </c>
      <c r="G3105" t="s">
        <v>1360</v>
      </c>
      <c r="H3105" s="10">
        <v>45964</v>
      </c>
      <c r="I3105">
        <v>603819.22</v>
      </c>
      <c r="J3105">
        <v>0</v>
      </c>
      <c r="K3105">
        <v>603819.22</v>
      </c>
    </row>
    <row r="3106" spans="2:11" x14ac:dyDescent="0.35">
      <c r="B3106">
        <v>100000539</v>
      </c>
      <c r="C3106" s="10">
        <v>46112</v>
      </c>
      <c r="D3106" t="s">
        <v>2034</v>
      </c>
      <c r="E3106" s="11" t="s">
        <v>2505</v>
      </c>
      <c r="F3106" t="s">
        <v>1543</v>
      </c>
      <c r="G3106" t="s">
        <v>1544</v>
      </c>
      <c r="H3106" s="10">
        <v>45889</v>
      </c>
      <c r="I3106">
        <v>133359.23000000001</v>
      </c>
      <c r="J3106">
        <v>21264.16</v>
      </c>
      <c r="K3106">
        <v>112095.07</v>
      </c>
    </row>
    <row r="3107" spans="2:11" x14ac:dyDescent="0.35">
      <c r="B3107">
        <v>100000265</v>
      </c>
      <c r="C3107" s="10">
        <v>46112</v>
      </c>
      <c r="D3107" t="s">
        <v>2034</v>
      </c>
      <c r="E3107" s="11" t="s">
        <v>2506</v>
      </c>
      <c r="F3107" t="s">
        <v>1545</v>
      </c>
      <c r="G3107" t="s">
        <v>1546</v>
      </c>
      <c r="H3107" s="10">
        <v>45889</v>
      </c>
      <c r="I3107">
        <v>30</v>
      </c>
      <c r="J3107">
        <v>0</v>
      </c>
      <c r="K3107">
        <v>30</v>
      </c>
    </row>
    <row r="3108" spans="2:11" x14ac:dyDescent="0.35">
      <c r="B3108">
        <v>1400004660</v>
      </c>
      <c r="C3108" s="10">
        <v>46112</v>
      </c>
      <c r="D3108" t="s">
        <v>2037</v>
      </c>
      <c r="E3108" s="11" t="s">
        <v>2507</v>
      </c>
      <c r="F3108" t="s">
        <v>1517</v>
      </c>
      <c r="G3108" t="s">
        <v>1518</v>
      </c>
      <c r="H3108" s="10">
        <v>45888</v>
      </c>
      <c r="I3108">
        <v>101670</v>
      </c>
      <c r="J3108">
        <v>0</v>
      </c>
      <c r="K3108">
        <v>101670</v>
      </c>
    </row>
    <row r="3109" spans="2:11" x14ac:dyDescent="0.35">
      <c r="B3109">
        <v>1400004659</v>
      </c>
      <c r="C3109" s="10">
        <v>46112</v>
      </c>
      <c r="D3109" t="s">
        <v>2037</v>
      </c>
      <c r="E3109" s="11" t="s">
        <v>2508</v>
      </c>
      <c r="F3109" t="s">
        <v>1547</v>
      </c>
      <c r="G3109" t="s">
        <v>1548</v>
      </c>
      <c r="H3109" s="10">
        <v>45887</v>
      </c>
      <c r="I3109">
        <v>5343.9</v>
      </c>
      <c r="J3109">
        <v>0</v>
      </c>
      <c r="K3109">
        <v>5343.9</v>
      </c>
    </row>
    <row r="3110" spans="2:11" x14ac:dyDescent="0.35">
      <c r="B3110">
        <v>1400004658</v>
      </c>
      <c r="C3110" s="10">
        <v>46112</v>
      </c>
      <c r="D3110" t="s">
        <v>2037</v>
      </c>
      <c r="E3110" s="11" t="s">
        <v>2509</v>
      </c>
      <c r="F3110" t="s">
        <v>1549</v>
      </c>
      <c r="G3110" t="s">
        <v>1550</v>
      </c>
      <c r="H3110" s="10">
        <v>45887</v>
      </c>
      <c r="I3110">
        <v>39477.17</v>
      </c>
      <c r="J3110">
        <v>0</v>
      </c>
      <c r="K3110">
        <v>39477.17</v>
      </c>
    </row>
    <row r="3111" spans="2:11" x14ac:dyDescent="0.35">
      <c r="B3111">
        <v>1400004657</v>
      </c>
      <c r="C3111" s="10">
        <v>46112</v>
      </c>
      <c r="D3111" t="s">
        <v>2037</v>
      </c>
      <c r="E3111" s="11" t="s">
        <v>2510</v>
      </c>
      <c r="F3111" t="s">
        <v>1519</v>
      </c>
      <c r="G3111" t="s">
        <v>1520</v>
      </c>
      <c r="H3111" s="10">
        <v>45882</v>
      </c>
      <c r="I3111">
        <v>180108.6</v>
      </c>
      <c r="J3111">
        <v>0</v>
      </c>
      <c r="K3111">
        <v>180108.6</v>
      </c>
    </row>
    <row r="3112" spans="2:11" x14ac:dyDescent="0.35">
      <c r="B3112">
        <v>1400004656</v>
      </c>
      <c r="C3112" s="10">
        <v>46112</v>
      </c>
      <c r="D3112" t="s">
        <v>2037</v>
      </c>
      <c r="E3112" s="11" t="s">
        <v>2511</v>
      </c>
      <c r="F3112" t="s">
        <v>1521</v>
      </c>
      <c r="G3112" t="s">
        <v>1522</v>
      </c>
      <c r="H3112" s="10">
        <v>45881</v>
      </c>
      <c r="I3112">
        <v>52663</v>
      </c>
      <c r="J3112">
        <v>0</v>
      </c>
      <c r="K3112">
        <v>52663</v>
      </c>
    </row>
    <row r="3113" spans="2:11" x14ac:dyDescent="0.35">
      <c r="B3113">
        <v>1400004655</v>
      </c>
      <c r="C3113" s="10">
        <v>46112</v>
      </c>
      <c r="D3113" t="s">
        <v>2037</v>
      </c>
      <c r="E3113" s="11" t="s">
        <v>2512</v>
      </c>
      <c r="F3113" t="s">
        <v>1523</v>
      </c>
      <c r="G3113" t="s">
        <v>1524</v>
      </c>
      <c r="H3113" s="10">
        <v>45881</v>
      </c>
      <c r="I3113">
        <v>25000</v>
      </c>
      <c r="J3113">
        <v>0</v>
      </c>
      <c r="K3113">
        <v>25000</v>
      </c>
    </row>
    <row r="3114" spans="2:11" x14ac:dyDescent="0.35">
      <c r="B3114">
        <v>1400004654</v>
      </c>
      <c r="C3114" s="10">
        <v>46112</v>
      </c>
      <c r="D3114" t="s">
        <v>2037</v>
      </c>
      <c r="E3114" s="11" t="s">
        <v>2513</v>
      </c>
      <c r="F3114" t="s">
        <v>1525</v>
      </c>
      <c r="G3114" t="s">
        <v>1526</v>
      </c>
      <c r="H3114" s="10">
        <v>45881</v>
      </c>
      <c r="I3114">
        <v>59</v>
      </c>
      <c r="J3114">
        <v>0</v>
      </c>
      <c r="K3114">
        <v>59</v>
      </c>
    </row>
    <row r="3115" spans="2:11" x14ac:dyDescent="0.35">
      <c r="B3115">
        <v>1400004653</v>
      </c>
      <c r="C3115" s="10">
        <v>46112</v>
      </c>
      <c r="D3115" t="s">
        <v>2037</v>
      </c>
      <c r="E3115" s="11" t="s">
        <v>2514</v>
      </c>
      <c r="F3115" t="s">
        <v>1551</v>
      </c>
      <c r="G3115" t="s">
        <v>1552</v>
      </c>
      <c r="H3115" s="10">
        <v>45881</v>
      </c>
      <c r="I3115">
        <v>59</v>
      </c>
      <c r="J3115">
        <v>0</v>
      </c>
      <c r="K3115">
        <v>59</v>
      </c>
    </row>
    <row r="3116" spans="2:11" x14ac:dyDescent="0.35">
      <c r="B3116">
        <v>1400004652</v>
      </c>
      <c r="C3116" s="10">
        <v>46112</v>
      </c>
      <c r="D3116" t="s">
        <v>2037</v>
      </c>
      <c r="E3116" s="11" t="s">
        <v>2515</v>
      </c>
      <c r="F3116" t="s">
        <v>1527</v>
      </c>
      <c r="G3116" t="s">
        <v>1528</v>
      </c>
      <c r="H3116" s="10">
        <v>45880</v>
      </c>
      <c r="I3116">
        <v>3390.92</v>
      </c>
      <c r="J3116">
        <v>0</v>
      </c>
      <c r="K3116">
        <v>3390.92</v>
      </c>
    </row>
    <row r="3117" spans="2:11" x14ac:dyDescent="0.35">
      <c r="B3117">
        <v>1400004651</v>
      </c>
      <c r="C3117" s="10">
        <v>46112</v>
      </c>
      <c r="D3117" t="s">
        <v>2037</v>
      </c>
      <c r="E3117" s="11" t="s">
        <v>2516</v>
      </c>
      <c r="F3117" t="s">
        <v>1529</v>
      </c>
      <c r="G3117" t="s">
        <v>1530</v>
      </c>
      <c r="H3117" s="10">
        <v>45880</v>
      </c>
      <c r="I3117">
        <v>2.46</v>
      </c>
      <c r="J3117">
        <v>0</v>
      </c>
      <c r="K3117">
        <v>2.46</v>
      </c>
    </row>
    <row r="3118" spans="2:11" x14ac:dyDescent="0.35">
      <c r="B3118">
        <v>1800002037</v>
      </c>
      <c r="C3118" s="10">
        <v>46112</v>
      </c>
      <c r="D3118" t="s">
        <v>2052</v>
      </c>
      <c r="E3118" s="11" t="s">
        <v>2517</v>
      </c>
      <c r="F3118" t="s">
        <v>1553</v>
      </c>
      <c r="G3118" t="s">
        <v>1554</v>
      </c>
      <c r="H3118" s="10">
        <v>45921</v>
      </c>
      <c r="I3118">
        <v>18697.93</v>
      </c>
      <c r="J3118">
        <v>0</v>
      </c>
      <c r="K3118">
        <v>18697.93</v>
      </c>
    </row>
    <row r="3119" spans="2:11" x14ac:dyDescent="0.35">
      <c r="B3119">
        <v>1400004650</v>
      </c>
      <c r="C3119" s="10">
        <v>46112</v>
      </c>
      <c r="D3119" t="s">
        <v>2037</v>
      </c>
      <c r="E3119" s="11" t="s">
        <v>2518</v>
      </c>
      <c r="F3119" t="s">
        <v>1463</v>
      </c>
      <c r="G3119" t="s">
        <v>1464</v>
      </c>
      <c r="H3119" s="10">
        <v>45876</v>
      </c>
      <c r="I3119">
        <v>63313</v>
      </c>
      <c r="J3119">
        <v>0</v>
      </c>
      <c r="K3119">
        <v>63313</v>
      </c>
    </row>
    <row r="3120" spans="2:11" x14ac:dyDescent="0.35">
      <c r="B3120">
        <v>1600000257</v>
      </c>
      <c r="C3120" s="10">
        <v>46112</v>
      </c>
      <c r="D3120" t="s">
        <v>2519</v>
      </c>
      <c r="E3120" s="11" t="s">
        <v>2520</v>
      </c>
      <c r="F3120" t="s">
        <v>1555</v>
      </c>
      <c r="G3120" t="s">
        <v>1556</v>
      </c>
      <c r="H3120" s="10">
        <v>45875</v>
      </c>
      <c r="I3120">
        <v>354.51</v>
      </c>
      <c r="J3120">
        <v>0</v>
      </c>
      <c r="K3120">
        <v>354.51</v>
      </c>
    </row>
    <row r="3121" spans="2:11" x14ac:dyDescent="0.35">
      <c r="B3121">
        <v>1600000256</v>
      </c>
      <c r="C3121" s="10">
        <v>46112</v>
      </c>
      <c r="D3121" t="s">
        <v>2519</v>
      </c>
      <c r="E3121" s="11" t="s">
        <v>2521</v>
      </c>
      <c r="F3121" t="s">
        <v>1557</v>
      </c>
      <c r="G3121" t="s">
        <v>1558</v>
      </c>
      <c r="H3121" s="10">
        <v>45875</v>
      </c>
      <c r="I3121">
        <v>444</v>
      </c>
      <c r="J3121">
        <v>0</v>
      </c>
      <c r="K3121">
        <v>444</v>
      </c>
    </row>
    <row r="3122" spans="2:11" x14ac:dyDescent="0.35">
      <c r="B3122">
        <v>1600000255</v>
      </c>
      <c r="C3122" s="10">
        <v>46112</v>
      </c>
      <c r="D3122" t="s">
        <v>2519</v>
      </c>
      <c r="E3122" s="11" t="s">
        <v>2522</v>
      </c>
      <c r="F3122" t="s">
        <v>1551</v>
      </c>
      <c r="G3122" t="s">
        <v>1552</v>
      </c>
      <c r="H3122" s="10">
        <v>45875</v>
      </c>
      <c r="I3122">
        <v>118</v>
      </c>
      <c r="J3122">
        <v>0</v>
      </c>
      <c r="K3122">
        <v>118</v>
      </c>
    </row>
    <row r="3123" spans="2:11" x14ac:dyDescent="0.35">
      <c r="B3123">
        <v>1600000254</v>
      </c>
      <c r="C3123" s="10">
        <v>46112</v>
      </c>
      <c r="D3123" t="s">
        <v>2519</v>
      </c>
      <c r="E3123" s="11" t="s">
        <v>2523</v>
      </c>
      <c r="F3123" t="s">
        <v>1559</v>
      </c>
      <c r="G3123" t="s">
        <v>1560</v>
      </c>
      <c r="H3123" s="10">
        <v>45875</v>
      </c>
      <c r="I3123">
        <v>300</v>
      </c>
      <c r="J3123">
        <v>0</v>
      </c>
      <c r="K3123">
        <v>300</v>
      </c>
    </row>
    <row r="3124" spans="2:11" x14ac:dyDescent="0.35">
      <c r="B3124">
        <v>1600000253</v>
      </c>
      <c r="C3124" s="10">
        <v>46112</v>
      </c>
      <c r="D3124" t="s">
        <v>2519</v>
      </c>
      <c r="E3124" s="11" t="s">
        <v>2524</v>
      </c>
      <c r="F3124" t="s">
        <v>1561</v>
      </c>
      <c r="G3124" t="s">
        <v>1562</v>
      </c>
      <c r="H3124" s="10">
        <v>45875</v>
      </c>
      <c r="I3124">
        <v>925</v>
      </c>
      <c r="J3124">
        <v>0</v>
      </c>
      <c r="K3124">
        <v>925</v>
      </c>
    </row>
    <row r="3125" spans="2:11" x14ac:dyDescent="0.35">
      <c r="B3125">
        <v>1600000252</v>
      </c>
      <c r="C3125" s="10">
        <v>46112</v>
      </c>
      <c r="D3125" t="s">
        <v>2519</v>
      </c>
      <c r="E3125" s="11" t="s">
        <v>2525</v>
      </c>
      <c r="F3125" t="s">
        <v>1525</v>
      </c>
      <c r="G3125" t="s">
        <v>1526</v>
      </c>
      <c r="H3125" s="10">
        <v>45875</v>
      </c>
      <c r="I3125">
        <v>13305</v>
      </c>
      <c r="J3125">
        <v>0</v>
      </c>
      <c r="K3125">
        <v>13305</v>
      </c>
    </row>
    <row r="3126" spans="2:11" x14ac:dyDescent="0.35">
      <c r="B3126">
        <v>1600000251</v>
      </c>
      <c r="C3126" s="10">
        <v>46112</v>
      </c>
      <c r="D3126" t="s">
        <v>2519</v>
      </c>
      <c r="E3126" s="11" t="s">
        <v>2526</v>
      </c>
      <c r="F3126" t="s">
        <v>1563</v>
      </c>
      <c r="G3126" t="s">
        <v>1564</v>
      </c>
      <c r="H3126" s="10">
        <v>45875</v>
      </c>
      <c r="I3126">
        <v>5483</v>
      </c>
      <c r="J3126">
        <v>0</v>
      </c>
      <c r="K3126">
        <v>5483</v>
      </c>
    </row>
    <row r="3127" spans="2:11" x14ac:dyDescent="0.35">
      <c r="B3127">
        <v>1600000250</v>
      </c>
      <c r="C3127" s="10">
        <v>46112</v>
      </c>
      <c r="D3127" t="s">
        <v>2519</v>
      </c>
      <c r="E3127" s="11" t="s">
        <v>2527</v>
      </c>
      <c r="F3127" t="s">
        <v>1565</v>
      </c>
      <c r="G3127" t="s">
        <v>1566</v>
      </c>
      <c r="H3127" s="10">
        <v>45875</v>
      </c>
      <c r="I3127">
        <v>355</v>
      </c>
      <c r="J3127">
        <v>0</v>
      </c>
      <c r="K3127">
        <v>355</v>
      </c>
    </row>
    <row r="3128" spans="2:11" x14ac:dyDescent="0.35">
      <c r="B3128">
        <v>1600000249</v>
      </c>
      <c r="C3128" s="10">
        <v>46112</v>
      </c>
      <c r="D3128" t="s">
        <v>2519</v>
      </c>
      <c r="E3128" s="11" t="s">
        <v>2528</v>
      </c>
      <c r="F3128" t="s">
        <v>1415</v>
      </c>
      <c r="G3128" t="s">
        <v>1416</v>
      </c>
      <c r="H3128" s="10">
        <v>45875</v>
      </c>
      <c r="I3128">
        <v>910</v>
      </c>
      <c r="J3128">
        <v>0</v>
      </c>
      <c r="K3128">
        <v>910</v>
      </c>
    </row>
    <row r="3129" spans="2:11" x14ac:dyDescent="0.35">
      <c r="B3129">
        <v>1600000248</v>
      </c>
      <c r="C3129" s="10">
        <v>46112</v>
      </c>
      <c r="D3129" t="s">
        <v>2519</v>
      </c>
      <c r="E3129" s="11" t="s">
        <v>2529</v>
      </c>
      <c r="F3129" t="s">
        <v>1453</v>
      </c>
      <c r="G3129" t="s">
        <v>1454</v>
      </c>
      <c r="H3129" s="10">
        <v>45875</v>
      </c>
      <c r="I3129">
        <v>1776</v>
      </c>
      <c r="J3129">
        <v>0</v>
      </c>
      <c r="K3129">
        <v>1776</v>
      </c>
    </row>
    <row r="3130" spans="2:11" x14ac:dyDescent="0.35">
      <c r="B3130">
        <v>1600000247</v>
      </c>
      <c r="C3130" s="10">
        <v>46112</v>
      </c>
      <c r="D3130" t="s">
        <v>2519</v>
      </c>
      <c r="E3130" s="11" t="s">
        <v>2530</v>
      </c>
      <c r="F3130" t="s">
        <v>1567</v>
      </c>
      <c r="G3130" t="s">
        <v>1568</v>
      </c>
      <c r="H3130" s="10">
        <v>45875</v>
      </c>
      <c r="I3130">
        <v>444</v>
      </c>
      <c r="J3130">
        <v>0</v>
      </c>
      <c r="K3130">
        <v>444</v>
      </c>
    </row>
    <row r="3131" spans="2:11" x14ac:dyDescent="0.35">
      <c r="B3131">
        <v>1600000246</v>
      </c>
      <c r="C3131" s="10">
        <v>46112</v>
      </c>
      <c r="D3131" t="s">
        <v>2519</v>
      </c>
      <c r="E3131" s="11" t="s">
        <v>2531</v>
      </c>
      <c r="F3131" t="s">
        <v>1569</v>
      </c>
      <c r="G3131" t="s">
        <v>1570</v>
      </c>
      <c r="H3131" s="10">
        <v>45875</v>
      </c>
      <c r="I3131">
        <v>1169</v>
      </c>
      <c r="J3131">
        <v>0</v>
      </c>
      <c r="K3131">
        <v>1169</v>
      </c>
    </row>
    <row r="3132" spans="2:11" x14ac:dyDescent="0.35">
      <c r="B3132">
        <v>1600000245</v>
      </c>
      <c r="C3132" s="10">
        <v>46112</v>
      </c>
      <c r="D3132" t="s">
        <v>2519</v>
      </c>
      <c r="E3132" s="11" t="s">
        <v>2532</v>
      </c>
      <c r="F3132" t="s">
        <v>1475</v>
      </c>
      <c r="G3132" t="s">
        <v>1476</v>
      </c>
      <c r="H3132" s="10">
        <v>45875</v>
      </c>
      <c r="I3132">
        <v>4118</v>
      </c>
      <c r="J3132">
        <v>0</v>
      </c>
      <c r="K3132">
        <v>4118</v>
      </c>
    </row>
    <row r="3133" spans="2:11" x14ac:dyDescent="0.35">
      <c r="B3133">
        <v>1600000244</v>
      </c>
      <c r="C3133" s="10">
        <v>46112</v>
      </c>
      <c r="D3133" t="s">
        <v>2519</v>
      </c>
      <c r="E3133" s="11" t="s">
        <v>2533</v>
      </c>
      <c r="F3133" t="s">
        <v>1571</v>
      </c>
      <c r="G3133" t="s">
        <v>1572</v>
      </c>
      <c r="H3133" s="10">
        <v>45875</v>
      </c>
      <c r="I3133">
        <v>1502</v>
      </c>
      <c r="J3133">
        <v>0</v>
      </c>
      <c r="K3133">
        <v>1502</v>
      </c>
    </row>
    <row r="3134" spans="2:11" x14ac:dyDescent="0.35">
      <c r="B3134">
        <v>1600000243</v>
      </c>
      <c r="C3134" s="10">
        <v>46112</v>
      </c>
      <c r="D3134" t="s">
        <v>2519</v>
      </c>
      <c r="E3134" s="11" t="s">
        <v>2534</v>
      </c>
      <c r="F3134" t="s">
        <v>1439</v>
      </c>
      <c r="G3134" t="s">
        <v>1440</v>
      </c>
      <c r="H3134" s="10">
        <v>45875</v>
      </c>
      <c r="I3134">
        <v>4070</v>
      </c>
      <c r="J3134">
        <v>0</v>
      </c>
      <c r="K3134">
        <v>4070</v>
      </c>
    </row>
    <row r="3135" spans="2:11" x14ac:dyDescent="0.35">
      <c r="B3135">
        <v>1600000242</v>
      </c>
      <c r="C3135" s="10">
        <v>46112</v>
      </c>
      <c r="D3135" t="s">
        <v>2519</v>
      </c>
      <c r="E3135" s="11" t="s">
        <v>2535</v>
      </c>
      <c r="F3135" t="s">
        <v>1463</v>
      </c>
      <c r="G3135" t="s">
        <v>1464</v>
      </c>
      <c r="H3135" s="10">
        <v>45875</v>
      </c>
      <c r="I3135">
        <v>4921</v>
      </c>
      <c r="J3135">
        <v>0</v>
      </c>
      <c r="K3135">
        <v>4921</v>
      </c>
    </row>
    <row r="3136" spans="2:11" x14ac:dyDescent="0.35">
      <c r="B3136">
        <v>1600000241</v>
      </c>
      <c r="C3136" s="10">
        <v>46112</v>
      </c>
      <c r="D3136" t="s">
        <v>2519</v>
      </c>
      <c r="E3136" s="11" t="s">
        <v>2536</v>
      </c>
      <c r="F3136" t="s">
        <v>1573</v>
      </c>
      <c r="G3136" t="s">
        <v>1574</v>
      </c>
      <c r="H3136" s="10">
        <v>45875</v>
      </c>
      <c r="I3136">
        <v>289</v>
      </c>
      <c r="J3136">
        <v>0</v>
      </c>
      <c r="K3136">
        <v>289</v>
      </c>
    </row>
    <row r="3137" spans="2:11" x14ac:dyDescent="0.35">
      <c r="B3137">
        <v>1600000240</v>
      </c>
      <c r="C3137" s="10">
        <v>46112</v>
      </c>
      <c r="D3137" t="s">
        <v>2519</v>
      </c>
      <c r="E3137" s="11" t="s">
        <v>2537</v>
      </c>
      <c r="F3137" t="s">
        <v>1575</v>
      </c>
      <c r="G3137" t="s">
        <v>1576</v>
      </c>
      <c r="H3137" s="10">
        <v>45875</v>
      </c>
      <c r="I3137">
        <v>222</v>
      </c>
      <c r="J3137">
        <v>0</v>
      </c>
      <c r="K3137">
        <v>222</v>
      </c>
    </row>
    <row r="3138" spans="2:11" x14ac:dyDescent="0.35">
      <c r="B3138">
        <v>1600000239</v>
      </c>
      <c r="C3138" s="10">
        <v>46112</v>
      </c>
      <c r="D3138" t="s">
        <v>2519</v>
      </c>
      <c r="E3138" s="11" t="s">
        <v>2538</v>
      </c>
      <c r="F3138" t="s">
        <v>1577</v>
      </c>
      <c r="G3138" t="s">
        <v>1578</v>
      </c>
      <c r="H3138" s="10">
        <v>45875</v>
      </c>
      <c r="I3138">
        <v>133</v>
      </c>
      <c r="J3138">
        <v>0</v>
      </c>
      <c r="K3138">
        <v>133</v>
      </c>
    </row>
    <row r="3139" spans="2:11" x14ac:dyDescent="0.35">
      <c r="B3139">
        <v>1600000238</v>
      </c>
      <c r="C3139" s="10">
        <v>46112</v>
      </c>
      <c r="D3139" t="s">
        <v>2519</v>
      </c>
      <c r="E3139" s="11" t="s">
        <v>2539</v>
      </c>
      <c r="F3139" t="s">
        <v>1579</v>
      </c>
      <c r="G3139" t="s">
        <v>1580</v>
      </c>
      <c r="H3139" s="10">
        <v>45875</v>
      </c>
      <c r="I3139">
        <v>1776</v>
      </c>
      <c r="J3139">
        <v>0</v>
      </c>
      <c r="K3139">
        <v>1776</v>
      </c>
    </row>
    <row r="3140" spans="2:11" x14ac:dyDescent="0.35">
      <c r="B3140">
        <v>1600000237</v>
      </c>
      <c r="C3140" s="10">
        <v>46112</v>
      </c>
      <c r="D3140" t="s">
        <v>2519</v>
      </c>
      <c r="E3140" s="11" t="s">
        <v>2540</v>
      </c>
      <c r="F3140" t="s">
        <v>1493</v>
      </c>
      <c r="G3140" t="s">
        <v>1494</v>
      </c>
      <c r="H3140" s="10">
        <v>45875</v>
      </c>
      <c r="I3140">
        <v>2041.01</v>
      </c>
      <c r="J3140">
        <v>0</v>
      </c>
      <c r="K3140">
        <v>2041.01</v>
      </c>
    </row>
    <row r="3141" spans="2:11" x14ac:dyDescent="0.35">
      <c r="B3141">
        <v>1600000236</v>
      </c>
      <c r="C3141" s="10">
        <v>46112</v>
      </c>
      <c r="D3141" t="s">
        <v>2519</v>
      </c>
      <c r="E3141" s="11" t="s">
        <v>2541</v>
      </c>
      <c r="F3141" t="s">
        <v>1581</v>
      </c>
      <c r="G3141" t="s">
        <v>1582</v>
      </c>
      <c r="H3141" s="10">
        <v>45875</v>
      </c>
      <c r="I3141">
        <v>477</v>
      </c>
      <c r="J3141">
        <v>0</v>
      </c>
      <c r="K3141">
        <v>477</v>
      </c>
    </row>
    <row r="3142" spans="2:11" x14ac:dyDescent="0.35">
      <c r="B3142">
        <v>1600000235</v>
      </c>
      <c r="C3142" s="10">
        <v>46112</v>
      </c>
      <c r="D3142" t="s">
        <v>2519</v>
      </c>
      <c r="E3142" s="11" t="s">
        <v>2542</v>
      </c>
      <c r="F3142" t="s">
        <v>1583</v>
      </c>
      <c r="G3142" t="s">
        <v>1584</v>
      </c>
      <c r="H3142" s="10">
        <v>45875</v>
      </c>
      <c r="I3142">
        <v>33</v>
      </c>
      <c r="J3142">
        <v>0</v>
      </c>
      <c r="K3142">
        <v>33</v>
      </c>
    </row>
    <row r="3143" spans="2:11" x14ac:dyDescent="0.35">
      <c r="B3143">
        <v>1600000234</v>
      </c>
      <c r="C3143" s="10">
        <v>46112</v>
      </c>
      <c r="D3143" t="s">
        <v>2519</v>
      </c>
      <c r="E3143" s="11" t="s">
        <v>2543</v>
      </c>
      <c r="F3143" t="s">
        <v>1585</v>
      </c>
      <c r="G3143" t="s">
        <v>1586</v>
      </c>
      <c r="H3143" s="10">
        <v>45875</v>
      </c>
      <c r="I3143">
        <v>666</v>
      </c>
      <c r="J3143">
        <v>0</v>
      </c>
      <c r="K3143">
        <v>666</v>
      </c>
    </row>
    <row r="3144" spans="2:11" x14ac:dyDescent="0.35">
      <c r="B3144">
        <v>1600000233</v>
      </c>
      <c r="C3144" s="10">
        <v>46112</v>
      </c>
      <c r="D3144" t="s">
        <v>2519</v>
      </c>
      <c r="E3144" s="11" t="s">
        <v>2544</v>
      </c>
      <c r="F3144" t="s">
        <v>1081</v>
      </c>
      <c r="G3144" t="s">
        <v>1082</v>
      </c>
      <c r="H3144" s="10">
        <v>45875</v>
      </c>
      <c r="I3144">
        <v>1425</v>
      </c>
      <c r="J3144">
        <v>0</v>
      </c>
      <c r="K3144">
        <v>1425</v>
      </c>
    </row>
    <row r="3145" spans="2:11" x14ac:dyDescent="0.35">
      <c r="B3145">
        <v>1600000232</v>
      </c>
      <c r="C3145" s="10">
        <v>46112</v>
      </c>
      <c r="D3145" t="s">
        <v>2519</v>
      </c>
      <c r="E3145" s="11" t="s">
        <v>2545</v>
      </c>
      <c r="F3145" t="s">
        <v>1587</v>
      </c>
      <c r="G3145" t="s">
        <v>1588</v>
      </c>
      <c r="H3145" s="10">
        <v>45875</v>
      </c>
      <c r="I3145">
        <v>1576</v>
      </c>
      <c r="J3145">
        <v>0</v>
      </c>
      <c r="K3145">
        <v>1576</v>
      </c>
    </row>
    <row r="3146" spans="2:11" x14ac:dyDescent="0.35">
      <c r="B3146">
        <v>1600000231</v>
      </c>
      <c r="C3146" s="10">
        <v>46112</v>
      </c>
      <c r="D3146" t="s">
        <v>2519</v>
      </c>
      <c r="E3146" s="11" t="s">
        <v>2546</v>
      </c>
      <c r="F3146" t="s">
        <v>1589</v>
      </c>
      <c r="G3146" t="s">
        <v>1590</v>
      </c>
      <c r="H3146" s="10">
        <v>45875</v>
      </c>
      <c r="I3146">
        <v>1543</v>
      </c>
      <c r="J3146">
        <v>0</v>
      </c>
      <c r="K3146">
        <v>1543</v>
      </c>
    </row>
    <row r="3147" spans="2:11" x14ac:dyDescent="0.35">
      <c r="B3147">
        <v>1600000230</v>
      </c>
      <c r="C3147" s="10">
        <v>46112</v>
      </c>
      <c r="D3147" t="s">
        <v>2519</v>
      </c>
      <c r="E3147" s="11" t="s">
        <v>2547</v>
      </c>
      <c r="F3147" t="s">
        <v>1591</v>
      </c>
      <c r="G3147" t="s">
        <v>1592</v>
      </c>
      <c r="H3147" s="10">
        <v>45875</v>
      </c>
      <c r="I3147">
        <v>259</v>
      </c>
      <c r="J3147">
        <v>0</v>
      </c>
      <c r="K3147">
        <v>259</v>
      </c>
    </row>
    <row r="3148" spans="2:11" x14ac:dyDescent="0.35">
      <c r="B3148">
        <v>1600000229</v>
      </c>
      <c r="C3148" s="10">
        <v>46112</v>
      </c>
      <c r="D3148" t="s">
        <v>2519</v>
      </c>
      <c r="E3148" s="11" t="s">
        <v>2548</v>
      </c>
      <c r="F3148" t="s">
        <v>1593</v>
      </c>
      <c r="G3148" t="s">
        <v>1594</v>
      </c>
      <c r="H3148" s="10">
        <v>45875</v>
      </c>
      <c r="I3148">
        <v>544</v>
      </c>
      <c r="J3148">
        <v>0</v>
      </c>
      <c r="K3148">
        <v>544</v>
      </c>
    </row>
    <row r="3149" spans="2:11" x14ac:dyDescent="0.35">
      <c r="B3149">
        <v>1600000228</v>
      </c>
      <c r="C3149" s="10">
        <v>46112</v>
      </c>
      <c r="D3149" t="s">
        <v>2519</v>
      </c>
      <c r="E3149" s="11" t="s">
        <v>2549</v>
      </c>
      <c r="F3149" t="s">
        <v>1595</v>
      </c>
      <c r="G3149" t="s">
        <v>1596</v>
      </c>
      <c r="H3149" s="10">
        <v>45875</v>
      </c>
      <c r="I3149">
        <v>4</v>
      </c>
      <c r="J3149">
        <v>0</v>
      </c>
      <c r="K3149">
        <v>4</v>
      </c>
    </row>
    <row r="3150" spans="2:11" x14ac:dyDescent="0.35">
      <c r="B3150">
        <v>1600000227</v>
      </c>
      <c r="C3150" s="10">
        <v>46112</v>
      </c>
      <c r="D3150" t="s">
        <v>2519</v>
      </c>
      <c r="E3150" s="11" t="s">
        <v>2550</v>
      </c>
      <c r="F3150" t="s">
        <v>1597</v>
      </c>
      <c r="G3150" t="s">
        <v>1598</v>
      </c>
      <c r="H3150" s="10">
        <v>45875</v>
      </c>
      <c r="I3150">
        <v>385.26</v>
      </c>
      <c r="J3150">
        <v>0</v>
      </c>
      <c r="K3150">
        <v>385.26</v>
      </c>
    </row>
    <row r="3151" spans="2:11" x14ac:dyDescent="0.35">
      <c r="B3151">
        <v>1600000226</v>
      </c>
      <c r="C3151" s="10">
        <v>46112</v>
      </c>
      <c r="D3151" t="s">
        <v>2519</v>
      </c>
      <c r="E3151" s="11" t="s">
        <v>2551</v>
      </c>
      <c r="F3151" t="s">
        <v>1147</v>
      </c>
      <c r="G3151" t="s">
        <v>1148</v>
      </c>
      <c r="H3151" s="10">
        <v>45875</v>
      </c>
      <c r="I3151">
        <v>725</v>
      </c>
      <c r="J3151">
        <v>0</v>
      </c>
      <c r="K3151">
        <v>725</v>
      </c>
    </row>
    <row r="3152" spans="2:11" x14ac:dyDescent="0.35">
      <c r="B3152">
        <v>1600000225</v>
      </c>
      <c r="C3152" s="10">
        <v>46112</v>
      </c>
      <c r="D3152" t="s">
        <v>2519</v>
      </c>
      <c r="E3152" s="11" t="s">
        <v>2552</v>
      </c>
      <c r="F3152" t="s">
        <v>1599</v>
      </c>
      <c r="G3152" t="s">
        <v>1600</v>
      </c>
      <c r="H3152" s="10">
        <v>45875</v>
      </c>
      <c r="I3152">
        <v>425</v>
      </c>
      <c r="J3152">
        <v>0</v>
      </c>
      <c r="K3152">
        <v>425</v>
      </c>
    </row>
    <row r="3153" spans="2:11" x14ac:dyDescent="0.35">
      <c r="B3153">
        <v>1600000223</v>
      </c>
      <c r="C3153" s="10">
        <v>46112</v>
      </c>
      <c r="D3153" t="s">
        <v>2519</v>
      </c>
      <c r="E3153" s="11" t="s">
        <v>2553</v>
      </c>
      <c r="F3153" t="s">
        <v>1601</v>
      </c>
      <c r="G3153" t="s">
        <v>1602</v>
      </c>
      <c r="H3153" s="10">
        <v>45875</v>
      </c>
      <c r="I3153">
        <v>274</v>
      </c>
      <c r="J3153">
        <v>0</v>
      </c>
      <c r="K3153">
        <v>274</v>
      </c>
    </row>
    <row r="3154" spans="2:11" x14ac:dyDescent="0.35">
      <c r="B3154">
        <v>1600000222</v>
      </c>
      <c r="C3154" s="10">
        <v>46112</v>
      </c>
      <c r="D3154" t="s">
        <v>2519</v>
      </c>
      <c r="E3154" s="11" t="s">
        <v>2554</v>
      </c>
      <c r="F3154" t="s">
        <v>1603</v>
      </c>
      <c r="G3154" t="s">
        <v>1604</v>
      </c>
      <c r="H3154" s="10">
        <v>45875</v>
      </c>
      <c r="I3154">
        <v>311</v>
      </c>
      <c r="J3154">
        <v>0</v>
      </c>
      <c r="K3154">
        <v>311</v>
      </c>
    </row>
    <row r="3155" spans="2:11" x14ac:dyDescent="0.35">
      <c r="B3155">
        <v>1600000221</v>
      </c>
      <c r="C3155" s="10">
        <v>46112</v>
      </c>
      <c r="D3155" t="s">
        <v>2519</v>
      </c>
      <c r="E3155" s="11" t="s">
        <v>2555</v>
      </c>
      <c r="F3155" t="s">
        <v>1605</v>
      </c>
      <c r="G3155" t="s">
        <v>1606</v>
      </c>
      <c r="H3155" s="10">
        <v>45875</v>
      </c>
      <c r="I3155">
        <v>222</v>
      </c>
      <c r="J3155">
        <v>0</v>
      </c>
      <c r="K3155">
        <v>222</v>
      </c>
    </row>
    <row r="3156" spans="2:11" x14ac:dyDescent="0.35">
      <c r="B3156">
        <v>1600000220</v>
      </c>
      <c r="C3156" s="10">
        <v>46112</v>
      </c>
      <c r="D3156" t="s">
        <v>2519</v>
      </c>
      <c r="E3156" s="11" t="s">
        <v>2556</v>
      </c>
      <c r="F3156" t="s">
        <v>1545</v>
      </c>
      <c r="G3156" t="s">
        <v>1546</v>
      </c>
      <c r="H3156" s="10">
        <v>45875</v>
      </c>
      <c r="I3156">
        <v>74</v>
      </c>
      <c r="J3156">
        <v>0</v>
      </c>
      <c r="K3156">
        <v>74</v>
      </c>
    </row>
    <row r="3157" spans="2:11" x14ac:dyDescent="0.35">
      <c r="B3157">
        <v>1400004649</v>
      </c>
      <c r="C3157" s="10">
        <v>46112</v>
      </c>
      <c r="D3157" t="s">
        <v>2037</v>
      </c>
      <c r="E3157" s="11" t="s">
        <v>2557</v>
      </c>
      <c r="F3157" t="s">
        <v>1525</v>
      </c>
      <c r="G3157" t="s">
        <v>1526</v>
      </c>
      <c r="H3157" s="10">
        <v>45875</v>
      </c>
      <c r="I3157">
        <v>229733</v>
      </c>
      <c r="J3157">
        <v>0</v>
      </c>
      <c r="K3157">
        <v>229733</v>
      </c>
    </row>
    <row r="3158" spans="2:11" x14ac:dyDescent="0.35">
      <c r="B3158">
        <v>1400004648</v>
      </c>
      <c r="C3158" s="10">
        <v>46112</v>
      </c>
      <c r="D3158" t="s">
        <v>2037</v>
      </c>
      <c r="E3158" s="11" t="s">
        <v>2558</v>
      </c>
      <c r="F3158" t="s">
        <v>1607</v>
      </c>
      <c r="G3158" t="s">
        <v>1608</v>
      </c>
      <c r="H3158" s="10">
        <v>45875</v>
      </c>
      <c r="I3158">
        <v>3594.63</v>
      </c>
      <c r="J3158">
        <v>0</v>
      </c>
      <c r="K3158">
        <v>3594.63</v>
      </c>
    </row>
    <row r="3159" spans="2:11" x14ac:dyDescent="0.35">
      <c r="B3159">
        <v>1800003197</v>
      </c>
      <c r="C3159" s="10">
        <v>46112</v>
      </c>
      <c r="D3159" t="s">
        <v>2052</v>
      </c>
      <c r="E3159" s="11" t="s">
        <v>2559</v>
      </c>
      <c r="F3159" t="s">
        <v>1609</v>
      </c>
      <c r="G3159" t="s">
        <v>1610</v>
      </c>
      <c r="H3159" s="10">
        <v>45899</v>
      </c>
      <c r="I3159">
        <v>25013.24</v>
      </c>
      <c r="J3159">
        <v>0</v>
      </c>
      <c r="K3159">
        <v>25013.24</v>
      </c>
    </row>
    <row r="3160" spans="2:11" x14ac:dyDescent="0.35">
      <c r="B3160">
        <v>1800003196</v>
      </c>
      <c r="C3160" s="10">
        <v>46112</v>
      </c>
      <c r="D3160" t="s">
        <v>2052</v>
      </c>
      <c r="E3160" s="11" t="s">
        <v>2560</v>
      </c>
      <c r="F3160" t="s">
        <v>1609</v>
      </c>
      <c r="G3160" t="s">
        <v>1610</v>
      </c>
      <c r="H3160" s="10">
        <v>45914</v>
      </c>
      <c r="I3160">
        <v>1604.8</v>
      </c>
      <c r="J3160">
        <v>0</v>
      </c>
      <c r="K3160">
        <v>1604.8</v>
      </c>
    </row>
    <row r="3161" spans="2:11" x14ac:dyDescent="0.35">
      <c r="B3161">
        <v>1800003195</v>
      </c>
      <c r="C3161" s="10">
        <v>46112</v>
      </c>
      <c r="D3161" t="s">
        <v>2052</v>
      </c>
      <c r="E3161" s="11" t="s">
        <v>2561</v>
      </c>
      <c r="F3161" t="s">
        <v>1609</v>
      </c>
      <c r="G3161" t="s">
        <v>1610</v>
      </c>
      <c r="H3161" s="10">
        <v>45914</v>
      </c>
      <c r="I3161">
        <v>63623.24</v>
      </c>
      <c r="J3161">
        <v>0</v>
      </c>
      <c r="K3161">
        <v>63623.24</v>
      </c>
    </row>
    <row r="3162" spans="2:11" x14ac:dyDescent="0.35">
      <c r="B3162">
        <v>1800003194</v>
      </c>
      <c r="C3162" s="10">
        <v>46112</v>
      </c>
      <c r="D3162" t="s">
        <v>2052</v>
      </c>
      <c r="E3162" s="11" t="s">
        <v>2562</v>
      </c>
      <c r="F3162" t="s">
        <v>1537</v>
      </c>
      <c r="G3162" t="s">
        <v>1538</v>
      </c>
      <c r="H3162" s="10">
        <v>45899</v>
      </c>
      <c r="I3162">
        <v>62793.94</v>
      </c>
      <c r="J3162">
        <v>0</v>
      </c>
      <c r="K3162">
        <v>62793.94</v>
      </c>
    </row>
    <row r="3163" spans="2:11" x14ac:dyDescent="0.35">
      <c r="B3163">
        <v>1800002565</v>
      </c>
      <c r="C3163" s="10">
        <v>46112</v>
      </c>
      <c r="D3163" t="s">
        <v>2052</v>
      </c>
      <c r="E3163" s="11" t="s">
        <v>2563</v>
      </c>
      <c r="F3163" t="s">
        <v>1501</v>
      </c>
      <c r="G3163" t="s">
        <v>1502</v>
      </c>
      <c r="H3163" s="10">
        <v>45939</v>
      </c>
      <c r="I3163">
        <v>63318.33</v>
      </c>
      <c r="J3163">
        <v>49799.07</v>
      </c>
      <c r="K3163">
        <v>13519.260000000002</v>
      </c>
    </row>
    <row r="3164" spans="2:11" x14ac:dyDescent="0.35">
      <c r="B3164">
        <v>1800001566</v>
      </c>
      <c r="C3164" s="10">
        <v>46112</v>
      </c>
      <c r="D3164" t="s">
        <v>2052</v>
      </c>
      <c r="E3164" s="11" t="s">
        <v>2564</v>
      </c>
      <c r="F3164" t="s">
        <v>1611</v>
      </c>
      <c r="G3164" t="s">
        <v>1612</v>
      </c>
      <c r="H3164" s="10">
        <v>45884</v>
      </c>
      <c r="I3164">
        <v>719.81</v>
      </c>
      <c r="J3164">
        <v>0</v>
      </c>
      <c r="K3164">
        <v>719.81</v>
      </c>
    </row>
    <row r="3165" spans="2:11" x14ac:dyDescent="0.35">
      <c r="B3165">
        <v>1400004647</v>
      </c>
      <c r="C3165" s="10">
        <v>46112</v>
      </c>
      <c r="D3165" t="s">
        <v>2037</v>
      </c>
      <c r="E3165" s="11" t="s">
        <v>2565</v>
      </c>
      <c r="F3165" t="s">
        <v>1551</v>
      </c>
      <c r="G3165" t="s">
        <v>1552</v>
      </c>
      <c r="H3165" s="10">
        <v>45869</v>
      </c>
      <c r="I3165">
        <v>10609</v>
      </c>
      <c r="J3165">
        <v>0</v>
      </c>
      <c r="K3165">
        <v>10609</v>
      </c>
    </row>
    <row r="3166" spans="2:11" x14ac:dyDescent="0.35">
      <c r="B3166">
        <v>100001508</v>
      </c>
      <c r="C3166" s="10">
        <v>46112</v>
      </c>
      <c r="D3166" t="s">
        <v>2034</v>
      </c>
      <c r="E3166" s="11" t="s">
        <v>2566</v>
      </c>
      <c r="F3166" t="s">
        <v>1545</v>
      </c>
      <c r="G3166" t="s">
        <v>1546</v>
      </c>
      <c r="H3166" s="10">
        <v>45869</v>
      </c>
      <c r="I3166">
        <v>1678.27</v>
      </c>
      <c r="J3166">
        <v>0</v>
      </c>
      <c r="K3166">
        <v>1678.27</v>
      </c>
    </row>
    <row r="3167" spans="2:11" x14ac:dyDescent="0.35">
      <c r="B3167">
        <v>1800002564</v>
      </c>
      <c r="C3167" s="10">
        <v>46112</v>
      </c>
      <c r="D3167" t="s">
        <v>2052</v>
      </c>
      <c r="E3167" s="11" t="s">
        <v>2567</v>
      </c>
      <c r="F3167" t="s">
        <v>1613</v>
      </c>
      <c r="G3167" t="s">
        <v>1614</v>
      </c>
      <c r="H3167" s="10">
        <v>45913</v>
      </c>
      <c r="I3167">
        <v>0.15</v>
      </c>
      <c r="J3167">
        <v>0</v>
      </c>
      <c r="K3167">
        <v>0.15</v>
      </c>
    </row>
    <row r="3168" spans="2:11" x14ac:dyDescent="0.35">
      <c r="B3168">
        <v>1400004646</v>
      </c>
      <c r="C3168" s="10">
        <v>46112</v>
      </c>
      <c r="D3168" t="s">
        <v>2037</v>
      </c>
      <c r="E3168" s="11" t="s">
        <v>2568</v>
      </c>
      <c r="F3168" t="s">
        <v>1525</v>
      </c>
      <c r="G3168" t="s">
        <v>1526</v>
      </c>
      <c r="H3168" s="10">
        <v>45868</v>
      </c>
      <c r="I3168">
        <v>59</v>
      </c>
      <c r="J3168">
        <v>0</v>
      </c>
      <c r="K3168">
        <v>59</v>
      </c>
    </row>
    <row r="3169" spans="2:11" x14ac:dyDescent="0.35">
      <c r="B3169">
        <v>100000362</v>
      </c>
      <c r="C3169" s="10">
        <v>46112</v>
      </c>
      <c r="D3169" t="s">
        <v>2034</v>
      </c>
      <c r="E3169" s="11" t="s">
        <v>2569</v>
      </c>
      <c r="F3169" t="s">
        <v>1589</v>
      </c>
      <c r="G3169" t="s">
        <v>1590</v>
      </c>
      <c r="H3169" s="10">
        <v>45868</v>
      </c>
      <c r="I3169">
        <v>136643</v>
      </c>
      <c r="J3169">
        <v>0</v>
      </c>
      <c r="K3169">
        <v>136643</v>
      </c>
    </row>
    <row r="3170" spans="2:11" x14ac:dyDescent="0.35">
      <c r="B3170">
        <v>1800002036</v>
      </c>
      <c r="C3170" s="10">
        <v>46112</v>
      </c>
      <c r="D3170" t="s">
        <v>2052</v>
      </c>
      <c r="E3170" s="11" t="s">
        <v>2570</v>
      </c>
      <c r="F3170" t="s">
        <v>1553</v>
      </c>
      <c r="G3170" t="s">
        <v>1554</v>
      </c>
      <c r="H3170" s="10">
        <v>45912</v>
      </c>
      <c r="I3170">
        <v>7694.6</v>
      </c>
      <c r="J3170">
        <v>0</v>
      </c>
      <c r="K3170">
        <v>7694.6</v>
      </c>
    </row>
    <row r="3171" spans="2:11" x14ac:dyDescent="0.35">
      <c r="B3171">
        <v>1400004645</v>
      </c>
      <c r="C3171" s="10">
        <v>46112</v>
      </c>
      <c r="D3171" t="s">
        <v>2037</v>
      </c>
      <c r="E3171" s="11" t="s">
        <v>2571</v>
      </c>
      <c r="F3171" t="s">
        <v>1525</v>
      </c>
      <c r="G3171" t="s">
        <v>1526</v>
      </c>
      <c r="H3171" s="10">
        <v>45866</v>
      </c>
      <c r="I3171">
        <v>123741.29</v>
      </c>
      <c r="J3171">
        <v>0</v>
      </c>
      <c r="K3171">
        <v>123741.29</v>
      </c>
    </row>
    <row r="3172" spans="2:11" x14ac:dyDescent="0.35">
      <c r="B3172">
        <v>9400000480</v>
      </c>
      <c r="C3172" s="10">
        <v>46112</v>
      </c>
      <c r="D3172" t="s">
        <v>2032</v>
      </c>
      <c r="E3172" s="11" t="s">
        <v>2572</v>
      </c>
      <c r="F3172" t="s">
        <v>1615</v>
      </c>
      <c r="G3172" t="s">
        <v>1616</v>
      </c>
      <c r="H3172" s="10">
        <v>45862</v>
      </c>
      <c r="I3172">
        <v>444.77</v>
      </c>
      <c r="J3172">
        <v>0</v>
      </c>
      <c r="K3172">
        <v>444.77</v>
      </c>
    </row>
    <row r="3173" spans="2:11" x14ac:dyDescent="0.35">
      <c r="B3173">
        <v>1400004644</v>
      </c>
      <c r="C3173" s="10">
        <v>46112</v>
      </c>
      <c r="D3173" t="s">
        <v>2037</v>
      </c>
      <c r="E3173" s="11" t="s">
        <v>2573</v>
      </c>
      <c r="F3173" t="s">
        <v>1551</v>
      </c>
      <c r="G3173" t="s">
        <v>1552</v>
      </c>
      <c r="H3173" s="10">
        <v>45861</v>
      </c>
      <c r="I3173">
        <v>59</v>
      </c>
      <c r="J3173">
        <v>0</v>
      </c>
      <c r="K3173">
        <v>59</v>
      </c>
    </row>
    <row r="3174" spans="2:11" x14ac:dyDescent="0.35">
      <c r="B3174">
        <v>1400004643</v>
      </c>
      <c r="C3174" s="10">
        <v>46112</v>
      </c>
      <c r="D3174" t="s">
        <v>2037</v>
      </c>
      <c r="E3174" s="11" t="s">
        <v>2574</v>
      </c>
      <c r="F3174" t="s">
        <v>1617</v>
      </c>
      <c r="G3174" t="s">
        <v>1618</v>
      </c>
      <c r="H3174" s="10">
        <v>45860</v>
      </c>
      <c r="I3174">
        <v>59</v>
      </c>
      <c r="J3174">
        <v>0</v>
      </c>
      <c r="K3174">
        <v>59</v>
      </c>
    </row>
    <row r="3175" spans="2:11" x14ac:dyDescent="0.35">
      <c r="B3175">
        <v>1400004642</v>
      </c>
      <c r="C3175" s="10">
        <v>46112</v>
      </c>
      <c r="D3175" t="s">
        <v>2037</v>
      </c>
      <c r="E3175" s="11" t="s">
        <v>2575</v>
      </c>
      <c r="F3175" t="s">
        <v>1475</v>
      </c>
      <c r="G3175" t="s">
        <v>1476</v>
      </c>
      <c r="H3175" s="10">
        <v>45860</v>
      </c>
      <c r="I3175">
        <v>59</v>
      </c>
      <c r="J3175">
        <v>0</v>
      </c>
      <c r="K3175">
        <v>59</v>
      </c>
    </row>
    <row r="3176" spans="2:11" x14ac:dyDescent="0.35">
      <c r="B3176">
        <v>1400004641</v>
      </c>
      <c r="C3176" s="10">
        <v>46112</v>
      </c>
      <c r="D3176" t="s">
        <v>2037</v>
      </c>
      <c r="E3176" s="11" t="s">
        <v>2576</v>
      </c>
      <c r="F3176" t="s">
        <v>1449</v>
      </c>
      <c r="G3176" t="s">
        <v>1450</v>
      </c>
      <c r="H3176" s="10">
        <v>45860</v>
      </c>
      <c r="I3176">
        <v>118</v>
      </c>
      <c r="J3176">
        <v>0</v>
      </c>
      <c r="K3176">
        <v>118</v>
      </c>
    </row>
    <row r="3177" spans="2:11" x14ac:dyDescent="0.35">
      <c r="B3177">
        <v>1400004640</v>
      </c>
      <c r="C3177" s="10">
        <v>46112</v>
      </c>
      <c r="D3177" t="s">
        <v>2037</v>
      </c>
      <c r="E3177" s="11" t="s">
        <v>2577</v>
      </c>
      <c r="F3177" t="s">
        <v>1619</v>
      </c>
      <c r="G3177" t="s">
        <v>1620</v>
      </c>
      <c r="H3177" s="10">
        <v>45860</v>
      </c>
      <c r="I3177">
        <v>59</v>
      </c>
      <c r="J3177">
        <v>0</v>
      </c>
      <c r="K3177">
        <v>59</v>
      </c>
    </row>
    <row r="3178" spans="2:11" x14ac:dyDescent="0.35">
      <c r="B3178">
        <v>1400004639</v>
      </c>
      <c r="C3178" s="10">
        <v>46112</v>
      </c>
      <c r="D3178" t="s">
        <v>2037</v>
      </c>
      <c r="E3178" s="11" t="s">
        <v>2578</v>
      </c>
      <c r="F3178" t="s">
        <v>1551</v>
      </c>
      <c r="G3178" t="s">
        <v>1552</v>
      </c>
      <c r="H3178" s="10">
        <v>45860</v>
      </c>
      <c r="I3178">
        <v>3160.28</v>
      </c>
      <c r="J3178">
        <v>0</v>
      </c>
      <c r="K3178">
        <v>3160.28</v>
      </c>
    </row>
    <row r="3179" spans="2:11" x14ac:dyDescent="0.35">
      <c r="B3179">
        <v>1400004638</v>
      </c>
      <c r="C3179" s="10">
        <v>46112</v>
      </c>
      <c r="D3179" t="s">
        <v>2037</v>
      </c>
      <c r="E3179" s="11" t="s">
        <v>2579</v>
      </c>
      <c r="F3179" t="s">
        <v>1415</v>
      </c>
      <c r="G3179" t="s">
        <v>1416</v>
      </c>
      <c r="H3179" s="10">
        <v>45860</v>
      </c>
      <c r="I3179">
        <v>59</v>
      </c>
      <c r="J3179">
        <v>0</v>
      </c>
      <c r="K3179">
        <v>59</v>
      </c>
    </row>
    <row r="3180" spans="2:11" x14ac:dyDescent="0.35">
      <c r="B3180">
        <v>1400004637</v>
      </c>
      <c r="C3180" s="10">
        <v>46112</v>
      </c>
      <c r="D3180" t="s">
        <v>2037</v>
      </c>
      <c r="E3180" s="11" t="s">
        <v>2580</v>
      </c>
      <c r="F3180" t="s">
        <v>1563</v>
      </c>
      <c r="G3180" t="s">
        <v>1564</v>
      </c>
      <c r="H3180" s="10">
        <v>45860</v>
      </c>
      <c r="I3180">
        <v>59</v>
      </c>
      <c r="J3180">
        <v>0</v>
      </c>
      <c r="K3180">
        <v>59</v>
      </c>
    </row>
    <row r="3181" spans="2:11" x14ac:dyDescent="0.35">
      <c r="B3181">
        <v>1400004635</v>
      </c>
      <c r="C3181" s="10">
        <v>46112</v>
      </c>
      <c r="D3181" t="s">
        <v>2037</v>
      </c>
      <c r="E3181" s="11" t="s">
        <v>2581</v>
      </c>
      <c r="F3181" t="s">
        <v>1087</v>
      </c>
      <c r="G3181" t="s">
        <v>1088</v>
      </c>
      <c r="H3181" s="10">
        <v>45859</v>
      </c>
      <c r="I3181">
        <v>59</v>
      </c>
      <c r="J3181">
        <v>0</v>
      </c>
      <c r="K3181">
        <v>59</v>
      </c>
    </row>
    <row r="3182" spans="2:11" x14ac:dyDescent="0.35">
      <c r="B3182">
        <v>1400004634</v>
      </c>
      <c r="C3182" s="10">
        <v>46112</v>
      </c>
      <c r="D3182" t="s">
        <v>2037</v>
      </c>
      <c r="E3182" s="11" t="s">
        <v>2582</v>
      </c>
      <c r="F3182" t="s">
        <v>1447</v>
      </c>
      <c r="G3182" t="s">
        <v>1448</v>
      </c>
      <c r="H3182" s="10">
        <v>45859</v>
      </c>
      <c r="I3182">
        <v>59</v>
      </c>
      <c r="J3182">
        <v>0</v>
      </c>
      <c r="K3182">
        <v>59</v>
      </c>
    </row>
    <row r="3183" spans="2:11" x14ac:dyDescent="0.35">
      <c r="B3183">
        <v>1400004633</v>
      </c>
      <c r="C3183" s="10">
        <v>46112</v>
      </c>
      <c r="D3183" t="s">
        <v>2037</v>
      </c>
      <c r="E3183" s="11" t="s">
        <v>2583</v>
      </c>
      <c r="F3183" t="s">
        <v>1449</v>
      </c>
      <c r="G3183" t="s">
        <v>1450</v>
      </c>
      <c r="H3183" s="10">
        <v>45856</v>
      </c>
      <c r="I3183">
        <v>149113.62</v>
      </c>
      <c r="J3183">
        <v>0</v>
      </c>
      <c r="K3183">
        <v>149113.62</v>
      </c>
    </row>
    <row r="3184" spans="2:11" x14ac:dyDescent="0.35">
      <c r="B3184">
        <v>1400004632</v>
      </c>
      <c r="C3184" s="10">
        <v>46112</v>
      </c>
      <c r="D3184" t="s">
        <v>2037</v>
      </c>
      <c r="E3184" s="11" t="s">
        <v>2584</v>
      </c>
      <c r="F3184" t="s">
        <v>1619</v>
      </c>
      <c r="G3184" t="s">
        <v>1620</v>
      </c>
      <c r="H3184" s="10">
        <v>45856</v>
      </c>
      <c r="I3184">
        <v>24274</v>
      </c>
      <c r="J3184">
        <v>0</v>
      </c>
      <c r="K3184">
        <v>24274</v>
      </c>
    </row>
    <row r="3185" spans="2:11" x14ac:dyDescent="0.35">
      <c r="B3185">
        <v>1400004631</v>
      </c>
      <c r="C3185" s="10">
        <v>46112</v>
      </c>
      <c r="D3185" t="s">
        <v>2037</v>
      </c>
      <c r="E3185" s="11" t="s">
        <v>2585</v>
      </c>
      <c r="F3185" t="s">
        <v>1573</v>
      </c>
      <c r="G3185" t="s">
        <v>1574</v>
      </c>
      <c r="H3185" s="10">
        <v>45856</v>
      </c>
      <c r="I3185">
        <v>306374</v>
      </c>
      <c r="J3185">
        <v>0</v>
      </c>
      <c r="K3185">
        <v>306374</v>
      </c>
    </row>
    <row r="3186" spans="2:11" x14ac:dyDescent="0.35">
      <c r="B3186">
        <v>9400000387</v>
      </c>
      <c r="C3186" s="10">
        <v>46112</v>
      </c>
      <c r="D3186" t="s">
        <v>2032</v>
      </c>
      <c r="E3186" s="11" t="s">
        <v>2586</v>
      </c>
      <c r="F3186" t="s">
        <v>1087</v>
      </c>
      <c r="G3186" t="s">
        <v>1088</v>
      </c>
      <c r="H3186" s="10">
        <v>45855</v>
      </c>
      <c r="I3186">
        <v>31.78</v>
      </c>
      <c r="J3186">
        <v>0</v>
      </c>
      <c r="K3186">
        <v>31.78</v>
      </c>
    </row>
    <row r="3187" spans="2:11" x14ac:dyDescent="0.35">
      <c r="B3187">
        <v>9400000386</v>
      </c>
      <c r="C3187" s="10">
        <v>46112</v>
      </c>
      <c r="D3187" t="s">
        <v>2032</v>
      </c>
      <c r="E3187" s="11" t="s">
        <v>2587</v>
      </c>
      <c r="F3187" t="s">
        <v>1573</v>
      </c>
      <c r="G3187" t="s">
        <v>1574</v>
      </c>
      <c r="H3187" s="10">
        <v>45855</v>
      </c>
      <c r="I3187">
        <v>31.78</v>
      </c>
      <c r="J3187">
        <v>0</v>
      </c>
      <c r="K3187">
        <v>31.78</v>
      </c>
    </row>
    <row r="3188" spans="2:11" x14ac:dyDescent="0.35">
      <c r="B3188">
        <v>1400004630</v>
      </c>
      <c r="C3188" s="10">
        <v>46112</v>
      </c>
      <c r="D3188" t="s">
        <v>2037</v>
      </c>
      <c r="E3188" s="11" t="s">
        <v>2588</v>
      </c>
      <c r="F3188" t="s">
        <v>1447</v>
      </c>
      <c r="G3188" t="s">
        <v>1448</v>
      </c>
      <c r="H3188" s="10">
        <v>45855</v>
      </c>
      <c r="I3188">
        <v>215887</v>
      </c>
      <c r="J3188">
        <v>37442.379999999997</v>
      </c>
      <c r="K3188">
        <v>178444.62</v>
      </c>
    </row>
    <row r="3189" spans="2:11" x14ac:dyDescent="0.35">
      <c r="B3189">
        <v>1400004629</v>
      </c>
      <c r="C3189" s="10">
        <v>46112</v>
      </c>
      <c r="D3189" t="s">
        <v>2037</v>
      </c>
      <c r="E3189" s="11" t="s">
        <v>2589</v>
      </c>
      <c r="F3189" t="s">
        <v>1617</v>
      </c>
      <c r="G3189" t="s">
        <v>1618</v>
      </c>
      <c r="H3189" s="10">
        <v>45855</v>
      </c>
      <c r="I3189">
        <v>512.35</v>
      </c>
      <c r="J3189">
        <v>0</v>
      </c>
      <c r="K3189">
        <v>512.35</v>
      </c>
    </row>
    <row r="3190" spans="2:11" x14ac:dyDescent="0.35">
      <c r="B3190">
        <v>1400004628</v>
      </c>
      <c r="C3190" s="10">
        <v>46112</v>
      </c>
      <c r="D3190" t="s">
        <v>2037</v>
      </c>
      <c r="E3190" s="11" t="s">
        <v>2590</v>
      </c>
      <c r="F3190" t="s">
        <v>1475</v>
      </c>
      <c r="G3190" t="s">
        <v>1476</v>
      </c>
      <c r="H3190" s="10">
        <v>45854</v>
      </c>
      <c r="I3190">
        <v>138556</v>
      </c>
      <c r="J3190">
        <v>0</v>
      </c>
      <c r="K3190">
        <v>138556</v>
      </c>
    </row>
    <row r="3191" spans="2:11" x14ac:dyDescent="0.35">
      <c r="B3191">
        <v>100000330</v>
      </c>
      <c r="C3191" s="10">
        <v>46112</v>
      </c>
      <c r="D3191" t="s">
        <v>2034</v>
      </c>
      <c r="E3191" s="11" t="s">
        <v>2591</v>
      </c>
      <c r="F3191" t="s">
        <v>1621</v>
      </c>
      <c r="G3191" t="s">
        <v>462</v>
      </c>
      <c r="H3191" s="10">
        <v>45854</v>
      </c>
      <c r="I3191">
        <v>0.18</v>
      </c>
      <c r="J3191">
        <v>0</v>
      </c>
      <c r="K3191">
        <v>0.18</v>
      </c>
    </row>
    <row r="3192" spans="2:11" x14ac:dyDescent="0.35">
      <c r="B3192">
        <v>1800002700</v>
      </c>
      <c r="C3192" s="10">
        <v>46112</v>
      </c>
      <c r="D3192" t="s">
        <v>2052</v>
      </c>
      <c r="E3192" s="11" t="s">
        <v>2592</v>
      </c>
      <c r="F3192" t="s">
        <v>1495</v>
      </c>
      <c r="G3192" t="s">
        <v>1496</v>
      </c>
      <c r="H3192" s="10">
        <v>45898</v>
      </c>
      <c r="I3192">
        <v>15231.72</v>
      </c>
      <c r="J3192">
        <v>0</v>
      </c>
      <c r="K3192">
        <v>15231.72</v>
      </c>
    </row>
    <row r="3193" spans="2:11" x14ac:dyDescent="0.35">
      <c r="B3193">
        <v>100001507</v>
      </c>
      <c r="C3193" s="10">
        <v>46112</v>
      </c>
      <c r="D3193" t="s">
        <v>2034</v>
      </c>
      <c r="E3193" s="11" t="s">
        <v>2593</v>
      </c>
      <c r="F3193" t="s">
        <v>1475</v>
      </c>
      <c r="G3193" t="s">
        <v>1476</v>
      </c>
      <c r="H3193" s="10">
        <v>45853</v>
      </c>
      <c r="I3193">
        <v>7600</v>
      </c>
      <c r="J3193">
        <v>0</v>
      </c>
      <c r="K3193">
        <v>7600</v>
      </c>
    </row>
    <row r="3194" spans="2:11" x14ac:dyDescent="0.35">
      <c r="B3194">
        <v>100001506</v>
      </c>
      <c r="C3194" s="10">
        <v>46112</v>
      </c>
      <c r="D3194" t="s">
        <v>2034</v>
      </c>
      <c r="E3194" s="11" t="s">
        <v>2594</v>
      </c>
      <c r="F3194" t="s">
        <v>1475</v>
      </c>
      <c r="G3194" t="s">
        <v>1476</v>
      </c>
      <c r="H3194" s="10">
        <v>45853</v>
      </c>
      <c r="I3194">
        <v>7600</v>
      </c>
      <c r="J3194">
        <v>0</v>
      </c>
      <c r="K3194">
        <v>7600</v>
      </c>
    </row>
    <row r="3195" spans="2:11" x14ac:dyDescent="0.35">
      <c r="B3195">
        <v>100000342</v>
      </c>
      <c r="C3195" s="10">
        <v>46112</v>
      </c>
      <c r="D3195" t="s">
        <v>2034</v>
      </c>
      <c r="E3195" s="11" t="s">
        <v>2595</v>
      </c>
      <c r="F3195" t="s">
        <v>1622</v>
      </c>
      <c r="G3195" t="s">
        <v>1623</v>
      </c>
      <c r="H3195" s="10">
        <v>45853</v>
      </c>
      <c r="I3195">
        <v>727542.71</v>
      </c>
      <c r="J3195">
        <v>0</v>
      </c>
      <c r="K3195">
        <v>727542.71</v>
      </c>
    </row>
    <row r="3196" spans="2:11" x14ac:dyDescent="0.35">
      <c r="B3196">
        <v>100000329</v>
      </c>
      <c r="C3196" s="10">
        <v>46112</v>
      </c>
      <c r="D3196" t="s">
        <v>2034</v>
      </c>
      <c r="E3196" s="11" t="s">
        <v>2596</v>
      </c>
      <c r="F3196" t="s">
        <v>1624</v>
      </c>
      <c r="G3196" t="s">
        <v>1625</v>
      </c>
      <c r="H3196" s="10">
        <v>45853</v>
      </c>
      <c r="I3196">
        <v>26869.75</v>
      </c>
      <c r="J3196">
        <v>0</v>
      </c>
      <c r="K3196">
        <v>26869.75</v>
      </c>
    </row>
    <row r="3197" spans="2:11" x14ac:dyDescent="0.35">
      <c r="B3197">
        <v>1400004627</v>
      </c>
      <c r="C3197" s="10">
        <v>46112</v>
      </c>
      <c r="D3197" t="s">
        <v>2037</v>
      </c>
      <c r="E3197" s="11" t="s">
        <v>2597</v>
      </c>
      <c r="F3197" t="s">
        <v>1415</v>
      </c>
      <c r="G3197" t="s">
        <v>1416</v>
      </c>
      <c r="H3197" s="10">
        <v>45852</v>
      </c>
      <c r="I3197">
        <v>579239.56999999995</v>
      </c>
      <c r="J3197">
        <v>0</v>
      </c>
      <c r="K3197">
        <v>579239.56999999995</v>
      </c>
    </row>
    <row r="3198" spans="2:11" x14ac:dyDescent="0.35">
      <c r="B3198">
        <v>1400004626</v>
      </c>
      <c r="C3198" s="10">
        <v>46112</v>
      </c>
      <c r="D3198" t="s">
        <v>2037</v>
      </c>
      <c r="E3198" s="11" t="s">
        <v>2598</v>
      </c>
      <c r="F3198" t="s">
        <v>1563</v>
      </c>
      <c r="G3198" t="s">
        <v>1564</v>
      </c>
      <c r="H3198" s="10">
        <v>45850</v>
      </c>
      <c r="I3198">
        <v>135281</v>
      </c>
      <c r="J3198">
        <v>0</v>
      </c>
      <c r="K3198">
        <v>135281</v>
      </c>
    </row>
    <row r="3199" spans="2:11" x14ac:dyDescent="0.35">
      <c r="B3199">
        <v>1800003187</v>
      </c>
      <c r="C3199" s="10">
        <v>46112</v>
      </c>
      <c r="D3199" t="s">
        <v>2052</v>
      </c>
      <c r="E3199" s="11" t="s">
        <v>2599</v>
      </c>
      <c r="F3199" t="s">
        <v>1626</v>
      </c>
      <c r="G3199" t="s">
        <v>1627</v>
      </c>
      <c r="H3199" s="10">
        <v>45894</v>
      </c>
      <c r="I3199">
        <v>0.36</v>
      </c>
      <c r="J3199">
        <v>0</v>
      </c>
      <c r="K3199">
        <v>0.36</v>
      </c>
    </row>
    <row r="3200" spans="2:11" x14ac:dyDescent="0.35">
      <c r="B3200">
        <v>1800006303</v>
      </c>
      <c r="C3200" s="10">
        <v>46112</v>
      </c>
      <c r="D3200" t="s">
        <v>2052</v>
      </c>
      <c r="E3200" s="11" t="s">
        <v>2600</v>
      </c>
      <c r="F3200" t="s">
        <v>1557</v>
      </c>
      <c r="G3200" t="s">
        <v>1558</v>
      </c>
      <c r="H3200" s="10">
        <v>45868</v>
      </c>
      <c r="I3200">
        <v>27392.52</v>
      </c>
      <c r="J3200">
        <v>0</v>
      </c>
      <c r="K3200">
        <v>27392.52</v>
      </c>
    </row>
    <row r="3201" spans="2:11" x14ac:dyDescent="0.35">
      <c r="B3201">
        <v>9400000653</v>
      </c>
      <c r="C3201" s="10">
        <v>46112</v>
      </c>
      <c r="D3201" t="s">
        <v>2032</v>
      </c>
      <c r="E3201" s="11" t="s">
        <v>2601</v>
      </c>
      <c r="F3201" t="s">
        <v>1628</v>
      </c>
      <c r="G3201" t="s">
        <v>1629</v>
      </c>
      <c r="H3201" s="10">
        <v>45846</v>
      </c>
      <c r="I3201">
        <v>1022.4</v>
      </c>
      <c r="J3201">
        <v>0</v>
      </c>
      <c r="K3201">
        <v>1022.4</v>
      </c>
    </row>
    <row r="3202" spans="2:11" x14ac:dyDescent="0.35">
      <c r="B3202">
        <v>9400000430</v>
      </c>
      <c r="C3202" s="10">
        <v>46112</v>
      </c>
      <c r="D3202" t="s">
        <v>2032</v>
      </c>
      <c r="E3202" s="11" t="s">
        <v>2602</v>
      </c>
      <c r="F3202" t="s">
        <v>1607</v>
      </c>
      <c r="G3202" t="s">
        <v>1608</v>
      </c>
      <c r="H3202" s="10">
        <v>45846</v>
      </c>
      <c r="I3202">
        <v>5067.42</v>
      </c>
      <c r="J3202">
        <v>0</v>
      </c>
      <c r="K3202">
        <v>5067.42</v>
      </c>
    </row>
    <row r="3203" spans="2:11" x14ac:dyDescent="0.35">
      <c r="B3203">
        <v>1800002034</v>
      </c>
      <c r="C3203" s="10">
        <v>46112</v>
      </c>
      <c r="D3203" t="s">
        <v>2052</v>
      </c>
      <c r="E3203" s="11" t="s">
        <v>2603</v>
      </c>
      <c r="F3203" t="s">
        <v>1607</v>
      </c>
      <c r="G3203" t="s">
        <v>1608</v>
      </c>
      <c r="H3203" s="10">
        <v>45891</v>
      </c>
      <c r="I3203">
        <v>9990.82</v>
      </c>
      <c r="J3203">
        <v>0</v>
      </c>
      <c r="K3203">
        <v>9990.82</v>
      </c>
    </row>
    <row r="3204" spans="2:11" x14ac:dyDescent="0.35">
      <c r="B3204">
        <v>1400004624</v>
      </c>
      <c r="C3204" s="10">
        <v>46112</v>
      </c>
      <c r="D3204" t="s">
        <v>2037</v>
      </c>
      <c r="E3204" s="11" t="s">
        <v>2604</v>
      </c>
      <c r="F3204" t="s">
        <v>1595</v>
      </c>
      <c r="G3204" t="s">
        <v>1596</v>
      </c>
      <c r="H3204" s="10">
        <v>45846</v>
      </c>
      <c r="I3204">
        <v>7944</v>
      </c>
      <c r="J3204">
        <v>0</v>
      </c>
      <c r="K3204">
        <v>7944</v>
      </c>
    </row>
    <row r="3205" spans="2:11" x14ac:dyDescent="0.35">
      <c r="B3205">
        <v>1800000650</v>
      </c>
      <c r="C3205" s="10">
        <v>46112</v>
      </c>
      <c r="D3205" t="s">
        <v>2052</v>
      </c>
      <c r="E3205" s="11" t="s">
        <v>2605</v>
      </c>
      <c r="F3205" t="s">
        <v>1630</v>
      </c>
      <c r="G3205" t="s">
        <v>1631</v>
      </c>
      <c r="H3205" s="10">
        <v>45888</v>
      </c>
      <c r="I3205">
        <v>8.5399999999999991</v>
      </c>
      <c r="J3205">
        <v>0</v>
      </c>
      <c r="K3205">
        <v>8.5399999999999991</v>
      </c>
    </row>
    <row r="3206" spans="2:11" x14ac:dyDescent="0.35">
      <c r="B3206">
        <v>1400004623</v>
      </c>
      <c r="C3206" s="10">
        <v>46112</v>
      </c>
      <c r="D3206" t="s">
        <v>2037</v>
      </c>
      <c r="E3206" s="11" t="s">
        <v>2606</v>
      </c>
      <c r="F3206" t="s">
        <v>1463</v>
      </c>
      <c r="G3206" t="s">
        <v>1464</v>
      </c>
      <c r="H3206" s="10">
        <v>45842</v>
      </c>
      <c r="I3206">
        <v>54373</v>
      </c>
      <c r="J3206">
        <v>0</v>
      </c>
      <c r="K3206">
        <v>54373</v>
      </c>
    </row>
    <row r="3207" spans="2:11" x14ac:dyDescent="0.35">
      <c r="B3207">
        <v>1800004676</v>
      </c>
      <c r="C3207" s="10">
        <v>46112</v>
      </c>
      <c r="D3207" t="s">
        <v>2052</v>
      </c>
      <c r="E3207" s="11" t="s">
        <v>2607</v>
      </c>
      <c r="F3207" t="s">
        <v>1517</v>
      </c>
      <c r="G3207" t="s">
        <v>1518</v>
      </c>
      <c r="H3207" s="10">
        <v>45883</v>
      </c>
      <c r="I3207">
        <v>45388.61</v>
      </c>
      <c r="J3207">
        <v>0</v>
      </c>
      <c r="K3207">
        <v>45388.61</v>
      </c>
    </row>
    <row r="3208" spans="2:11" x14ac:dyDescent="0.35">
      <c r="B3208">
        <v>1800003778</v>
      </c>
      <c r="C3208" s="10">
        <v>46112</v>
      </c>
      <c r="D3208" t="s">
        <v>2052</v>
      </c>
      <c r="E3208" s="11" t="s">
        <v>2608</v>
      </c>
      <c r="F3208" t="s">
        <v>1551</v>
      </c>
      <c r="G3208" t="s">
        <v>1552</v>
      </c>
      <c r="H3208" s="10">
        <v>45868</v>
      </c>
      <c r="I3208">
        <v>10608.53</v>
      </c>
      <c r="J3208">
        <v>0</v>
      </c>
      <c r="K3208">
        <v>10608.53</v>
      </c>
    </row>
    <row r="3209" spans="2:11" x14ac:dyDescent="0.35">
      <c r="B3209">
        <v>1800003185</v>
      </c>
      <c r="C3209" s="10">
        <v>46112</v>
      </c>
      <c r="D3209" t="s">
        <v>2052</v>
      </c>
      <c r="E3209" s="11" t="s">
        <v>2609</v>
      </c>
      <c r="F3209" t="s">
        <v>1489</v>
      </c>
      <c r="G3209" t="s">
        <v>1490</v>
      </c>
      <c r="H3209" s="10">
        <v>45853</v>
      </c>
      <c r="I3209">
        <v>66320.149999999994</v>
      </c>
      <c r="J3209">
        <v>0</v>
      </c>
      <c r="K3209">
        <v>66320.149999999994</v>
      </c>
    </row>
    <row r="3210" spans="2:11" x14ac:dyDescent="0.35">
      <c r="B3210">
        <v>1800002033</v>
      </c>
      <c r="C3210" s="10">
        <v>46112</v>
      </c>
      <c r="D3210" t="s">
        <v>2052</v>
      </c>
      <c r="E3210" s="11" t="s">
        <v>2610</v>
      </c>
      <c r="F3210" t="s">
        <v>1632</v>
      </c>
      <c r="G3210" t="s">
        <v>1633</v>
      </c>
      <c r="H3210" s="10">
        <v>45883</v>
      </c>
      <c r="I3210">
        <v>21834.18</v>
      </c>
      <c r="J3210">
        <v>13287</v>
      </c>
      <c r="K3210">
        <v>8547.18</v>
      </c>
    </row>
    <row r="3211" spans="2:11" x14ac:dyDescent="0.35">
      <c r="B3211">
        <v>1800000646</v>
      </c>
      <c r="C3211" s="10">
        <v>46112</v>
      </c>
      <c r="D3211" t="s">
        <v>2052</v>
      </c>
      <c r="E3211" s="11" t="s">
        <v>2611</v>
      </c>
      <c r="F3211" t="s">
        <v>1634</v>
      </c>
      <c r="G3211" t="s">
        <v>1635</v>
      </c>
      <c r="H3211" s="10">
        <v>45883</v>
      </c>
      <c r="I3211">
        <v>0.9</v>
      </c>
      <c r="J3211">
        <v>0</v>
      </c>
      <c r="K3211">
        <v>0.9</v>
      </c>
    </row>
    <row r="3212" spans="2:11" x14ac:dyDescent="0.35">
      <c r="B3212">
        <v>1800003971</v>
      </c>
      <c r="C3212" s="10">
        <v>46112</v>
      </c>
      <c r="D3212" t="s">
        <v>2052</v>
      </c>
      <c r="E3212" s="11" t="s">
        <v>2612</v>
      </c>
      <c r="F3212" t="s">
        <v>1636</v>
      </c>
      <c r="G3212" t="s">
        <v>1637</v>
      </c>
      <c r="H3212" s="10">
        <v>45882</v>
      </c>
      <c r="I3212">
        <v>19338.8</v>
      </c>
      <c r="J3212">
        <v>0</v>
      </c>
      <c r="K3212">
        <v>19338.8</v>
      </c>
    </row>
    <row r="3213" spans="2:11" x14ac:dyDescent="0.35">
      <c r="B3213">
        <v>1400004622</v>
      </c>
      <c r="C3213" s="10">
        <v>46112</v>
      </c>
      <c r="D3213" t="s">
        <v>2037</v>
      </c>
      <c r="E3213" s="11" t="s">
        <v>2613</v>
      </c>
      <c r="F3213" t="s">
        <v>1638</v>
      </c>
      <c r="G3213" t="s">
        <v>1639</v>
      </c>
      <c r="H3213" s="10">
        <v>45835</v>
      </c>
      <c r="I3213">
        <v>59</v>
      </c>
      <c r="J3213">
        <v>0</v>
      </c>
      <c r="K3213">
        <v>59</v>
      </c>
    </row>
    <row r="3214" spans="2:11" x14ac:dyDescent="0.35">
      <c r="B3214">
        <v>1400004621</v>
      </c>
      <c r="C3214" s="10">
        <v>46112</v>
      </c>
      <c r="D3214" t="s">
        <v>2037</v>
      </c>
      <c r="E3214" s="11" t="s">
        <v>2614</v>
      </c>
      <c r="F3214" t="s">
        <v>1081</v>
      </c>
      <c r="G3214" t="s">
        <v>1082</v>
      </c>
      <c r="H3214" s="10">
        <v>45835</v>
      </c>
      <c r="I3214">
        <v>59</v>
      </c>
      <c r="J3214">
        <v>0</v>
      </c>
      <c r="K3214">
        <v>59</v>
      </c>
    </row>
    <row r="3215" spans="2:11" x14ac:dyDescent="0.35">
      <c r="B3215">
        <v>1400004620</v>
      </c>
      <c r="C3215" s="10">
        <v>46112</v>
      </c>
      <c r="D3215" t="s">
        <v>2037</v>
      </c>
      <c r="E3215" s="11" t="s">
        <v>2615</v>
      </c>
      <c r="F3215" t="s">
        <v>1640</v>
      </c>
      <c r="G3215" t="s">
        <v>1641</v>
      </c>
      <c r="H3215" s="10">
        <v>45834</v>
      </c>
      <c r="I3215">
        <v>0.79</v>
      </c>
      <c r="J3215">
        <v>0</v>
      </c>
      <c r="K3215">
        <v>0.79</v>
      </c>
    </row>
    <row r="3216" spans="2:11" x14ac:dyDescent="0.35">
      <c r="B3216">
        <v>1400004619</v>
      </c>
      <c r="C3216" s="10">
        <v>46112</v>
      </c>
      <c r="D3216" t="s">
        <v>2037</v>
      </c>
      <c r="E3216" s="11" t="s">
        <v>2616</v>
      </c>
      <c r="F3216" t="s">
        <v>1563</v>
      </c>
      <c r="G3216" t="s">
        <v>1564</v>
      </c>
      <c r="H3216" s="10">
        <v>45834</v>
      </c>
      <c r="I3216">
        <v>59</v>
      </c>
      <c r="J3216">
        <v>0</v>
      </c>
      <c r="K3216">
        <v>59</v>
      </c>
    </row>
    <row r="3217" spans="2:11" x14ac:dyDescent="0.35">
      <c r="B3217">
        <v>1400004618</v>
      </c>
      <c r="C3217" s="10">
        <v>46112</v>
      </c>
      <c r="D3217" t="s">
        <v>2037</v>
      </c>
      <c r="E3217" s="11" t="s">
        <v>2617</v>
      </c>
      <c r="F3217" t="s">
        <v>1523</v>
      </c>
      <c r="G3217" t="s">
        <v>1524</v>
      </c>
      <c r="H3217" s="10">
        <v>45834</v>
      </c>
      <c r="I3217">
        <v>59</v>
      </c>
      <c r="J3217">
        <v>0</v>
      </c>
      <c r="K3217">
        <v>59</v>
      </c>
    </row>
    <row r="3218" spans="2:11" x14ac:dyDescent="0.35">
      <c r="B3218">
        <v>1800006302</v>
      </c>
      <c r="C3218" s="10">
        <v>46112</v>
      </c>
      <c r="D3218" t="s">
        <v>2052</v>
      </c>
      <c r="E3218" s="11" t="s">
        <v>2618</v>
      </c>
      <c r="F3218" t="s">
        <v>1557</v>
      </c>
      <c r="G3218" t="s">
        <v>1558</v>
      </c>
      <c r="H3218" s="10">
        <v>45878</v>
      </c>
      <c r="I3218">
        <v>15888.7</v>
      </c>
      <c r="J3218">
        <v>0</v>
      </c>
      <c r="K3218">
        <v>15888.7</v>
      </c>
    </row>
    <row r="3219" spans="2:11" x14ac:dyDescent="0.35">
      <c r="B3219">
        <v>1400004617</v>
      </c>
      <c r="C3219" s="10">
        <v>46112</v>
      </c>
      <c r="D3219" t="s">
        <v>2037</v>
      </c>
      <c r="E3219" s="11" t="s">
        <v>2619</v>
      </c>
      <c r="F3219" t="s">
        <v>1642</v>
      </c>
      <c r="G3219" t="s">
        <v>1643</v>
      </c>
      <c r="H3219" s="10">
        <v>45833</v>
      </c>
      <c r="I3219">
        <v>59</v>
      </c>
      <c r="J3219">
        <v>0</v>
      </c>
      <c r="K3219">
        <v>59</v>
      </c>
    </row>
    <row r="3220" spans="2:11" x14ac:dyDescent="0.35">
      <c r="B3220">
        <v>1400004616</v>
      </c>
      <c r="C3220" s="10">
        <v>46112</v>
      </c>
      <c r="D3220" t="s">
        <v>2037</v>
      </c>
      <c r="E3220" s="11" t="s">
        <v>2620</v>
      </c>
      <c r="F3220" t="s">
        <v>1563</v>
      </c>
      <c r="G3220" t="s">
        <v>1564</v>
      </c>
      <c r="H3220" s="10">
        <v>45833</v>
      </c>
      <c r="I3220">
        <v>59</v>
      </c>
      <c r="J3220">
        <v>0</v>
      </c>
      <c r="K3220">
        <v>59</v>
      </c>
    </row>
    <row r="3221" spans="2:11" x14ac:dyDescent="0.35">
      <c r="B3221">
        <v>1400004615</v>
      </c>
      <c r="C3221" s="10">
        <v>46112</v>
      </c>
      <c r="D3221" t="s">
        <v>2037</v>
      </c>
      <c r="E3221" s="11" t="s">
        <v>2621</v>
      </c>
      <c r="F3221" t="s">
        <v>1081</v>
      </c>
      <c r="G3221" t="s">
        <v>1082</v>
      </c>
      <c r="H3221" s="10">
        <v>45833</v>
      </c>
      <c r="I3221">
        <v>79041.55</v>
      </c>
      <c r="J3221">
        <v>0</v>
      </c>
      <c r="K3221">
        <v>79041.55</v>
      </c>
    </row>
    <row r="3222" spans="2:11" x14ac:dyDescent="0.35">
      <c r="B3222">
        <v>1400004614</v>
      </c>
      <c r="C3222" s="10">
        <v>46112</v>
      </c>
      <c r="D3222" t="s">
        <v>2037</v>
      </c>
      <c r="E3222" s="11" t="s">
        <v>2622</v>
      </c>
      <c r="F3222" t="s">
        <v>1567</v>
      </c>
      <c r="G3222" t="s">
        <v>1568</v>
      </c>
      <c r="H3222" s="10">
        <v>45833</v>
      </c>
      <c r="I3222">
        <v>59</v>
      </c>
      <c r="J3222">
        <v>0</v>
      </c>
      <c r="K3222">
        <v>59</v>
      </c>
    </row>
    <row r="3223" spans="2:11" x14ac:dyDescent="0.35">
      <c r="B3223">
        <v>1400004613</v>
      </c>
      <c r="C3223" s="10">
        <v>46112</v>
      </c>
      <c r="D3223" t="s">
        <v>2037</v>
      </c>
      <c r="E3223" s="11" t="s">
        <v>2623</v>
      </c>
      <c r="F3223" t="s">
        <v>1638</v>
      </c>
      <c r="G3223" t="s">
        <v>1639</v>
      </c>
      <c r="H3223" s="10">
        <v>45833</v>
      </c>
      <c r="I3223">
        <v>59</v>
      </c>
      <c r="J3223">
        <v>0</v>
      </c>
      <c r="K3223">
        <v>59</v>
      </c>
    </row>
    <row r="3224" spans="2:11" x14ac:dyDescent="0.35">
      <c r="B3224">
        <v>1400004612</v>
      </c>
      <c r="C3224" s="10">
        <v>46112</v>
      </c>
      <c r="D3224" t="s">
        <v>2037</v>
      </c>
      <c r="E3224" s="11" t="s">
        <v>2624</v>
      </c>
      <c r="F3224" t="s">
        <v>1523</v>
      </c>
      <c r="G3224" t="s">
        <v>1524</v>
      </c>
      <c r="H3224" s="10">
        <v>45833</v>
      </c>
      <c r="I3224">
        <v>59</v>
      </c>
      <c r="J3224">
        <v>0</v>
      </c>
      <c r="K3224">
        <v>59</v>
      </c>
    </row>
    <row r="3225" spans="2:11" x14ac:dyDescent="0.35">
      <c r="B3225">
        <v>100000321</v>
      </c>
      <c r="C3225" s="10">
        <v>46112</v>
      </c>
      <c r="D3225" t="s">
        <v>2034</v>
      </c>
      <c r="E3225" s="11" t="s">
        <v>2625</v>
      </c>
      <c r="F3225" t="s">
        <v>1453</v>
      </c>
      <c r="G3225" t="s">
        <v>1454</v>
      </c>
      <c r="H3225" s="10">
        <v>45832</v>
      </c>
      <c r="I3225">
        <v>318260.90000000002</v>
      </c>
      <c r="J3225">
        <v>49173.68</v>
      </c>
      <c r="K3225">
        <v>269087.22000000003</v>
      </c>
    </row>
    <row r="3226" spans="2:11" x14ac:dyDescent="0.35">
      <c r="B3226">
        <v>100000320</v>
      </c>
      <c r="C3226" s="10">
        <v>46112</v>
      </c>
      <c r="D3226" t="s">
        <v>2034</v>
      </c>
      <c r="E3226" s="11" t="s">
        <v>2625</v>
      </c>
      <c r="F3226" t="s">
        <v>1644</v>
      </c>
      <c r="G3226" t="s">
        <v>1645</v>
      </c>
      <c r="H3226" s="10">
        <v>45832</v>
      </c>
      <c r="I3226">
        <v>18593</v>
      </c>
      <c r="J3226">
        <v>0</v>
      </c>
      <c r="K3226">
        <v>18593</v>
      </c>
    </row>
    <row r="3227" spans="2:11" x14ac:dyDescent="0.35">
      <c r="B3227">
        <v>100000319</v>
      </c>
      <c r="C3227" s="10">
        <v>46112</v>
      </c>
      <c r="D3227" t="s">
        <v>2034</v>
      </c>
      <c r="E3227" s="11" t="s">
        <v>2626</v>
      </c>
      <c r="F3227" t="s">
        <v>1463</v>
      </c>
      <c r="G3227" t="s">
        <v>1464</v>
      </c>
      <c r="H3227" s="10">
        <v>45832</v>
      </c>
      <c r="I3227">
        <v>86231</v>
      </c>
      <c r="J3227">
        <v>0</v>
      </c>
      <c r="K3227">
        <v>86231</v>
      </c>
    </row>
    <row r="3228" spans="2:11" x14ac:dyDescent="0.35">
      <c r="B3228">
        <v>9400000132</v>
      </c>
      <c r="C3228" s="10">
        <v>46112</v>
      </c>
      <c r="D3228" t="s">
        <v>2032</v>
      </c>
      <c r="E3228" s="11" t="s">
        <v>2627</v>
      </c>
      <c r="F3228" t="s">
        <v>1646</v>
      </c>
      <c r="G3228" t="s">
        <v>1647</v>
      </c>
      <c r="H3228" s="10">
        <v>45831</v>
      </c>
      <c r="I3228">
        <v>31.46</v>
      </c>
      <c r="J3228">
        <v>0</v>
      </c>
      <c r="K3228">
        <v>31.46</v>
      </c>
    </row>
    <row r="3229" spans="2:11" x14ac:dyDescent="0.35">
      <c r="B3229">
        <v>1400004611</v>
      </c>
      <c r="C3229" s="10">
        <v>46112</v>
      </c>
      <c r="D3229" t="s">
        <v>2037</v>
      </c>
      <c r="E3229" s="11" t="s">
        <v>2628</v>
      </c>
      <c r="F3229" t="s">
        <v>1605</v>
      </c>
      <c r="G3229" t="s">
        <v>1606</v>
      </c>
      <c r="H3229" s="10">
        <v>45831</v>
      </c>
      <c r="I3229">
        <v>81940.27</v>
      </c>
      <c r="J3229">
        <v>0</v>
      </c>
      <c r="K3229">
        <v>81940.27</v>
      </c>
    </row>
    <row r="3230" spans="2:11" x14ac:dyDescent="0.35">
      <c r="B3230">
        <v>100001533</v>
      </c>
      <c r="C3230" s="10">
        <v>46112</v>
      </c>
      <c r="D3230" t="s">
        <v>2034</v>
      </c>
      <c r="E3230" s="11" t="s">
        <v>2629</v>
      </c>
      <c r="F3230" t="s">
        <v>1648</v>
      </c>
      <c r="G3230" t="s">
        <v>1649</v>
      </c>
      <c r="H3230" s="10">
        <v>45831</v>
      </c>
      <c r="I3230">
        <v>1200</v>
      </c>
      <c r="J3230">
        <v>0</v>
      </c>
      <c r="K3230">
        <v>1200</v>
      </c>
    </row>
    <row r="3231" spans="2:11" x14ac:dyDescent="0.35">
      <c r="B3231">
        <v>100001532</v>
      </c>
      <c r="C3231" s="10">
        <v>46112</v>
      </c>
      <c r="D3231" t="s">
        <v>2034</v>
      </c>
      <c r="E3231" s="11" t="s">
        <v>2630</v>
      </c>
      <c r="F3231" t="s">
        <v>1573</v>
      </c>
      <c r="G3231" t="s">
        <v>1574</v>
      </c>
      <c r="H3231" s="10">
        <v>45831</v>
      </c>
      <c r="I3231">
        <v>26</v>
      </c>
      <c r="J3231">
        <v>0</v>
      </c>
      <c r="K3231">
        <v>26</v>
      </c>
    </row>
    <row r="3232" spans="2:11" x14ac:dyDescent="0.35">
      <c r="B3232">
        <v>100001531</v>
      </c>
      <c r="C3232" s="10">
        <v>46112</v>
      </c>
      <c r="D3232" t="s">
        <v>2034</v>
      </c>
      <c r="E3232" s="11" t="s">
        <v>2631</v>
      </c>
      <c r="F3232" t="s">
        <v>1648</v>
      </c>
      <c r="G3232" t="s">
        <v>1649</v>
      </c>
      <c r="H3232" s="10">
        <v>45831</v>
      </c>
      <c r="I3232">
        <v>771</v>
      </c>
      <c r="J3232">
        <v>0</v>
      </c>
      <c r="K3232">
        <v>771</v>
      </c>
    </row>
    <row r="3233" spans="2:11" x14ac:dyDescent="0.35">
      <c r="B3233">
        <v>100001530</v>
      </c>
      <c r="C3233" s="10">
        <v>46112</v>
      </c>
      <c r="D3233" t="s">
        <v>2034</v>
      </c>
      <c r="E3233" s="11" t="s">
        <v>2632</v>
      </c>
      <c r="F3233" t="s">
        <v>1573</v>
      </c>
      <c r="G3233" t="s">
        <v>1574</v>
      </c>
      <c r="H3233" s="10">
        <v>45831</v>
      </c>
      <c r="I3233">
        <v>110</v>
      </c>
      <c r="J3233">
        <v>0</v>
      </c>
      <c r="K3233">
        <v>110</v>
      </c>
    </row>
    <row r="3234" spans="2:11" x14ac:dyDescent="0.35">
      <c r="B3234">
        <v>1400004610</v>
      </c>
      <c r="C3234" s="10">
        <v>46112</v>
      </c>
      <c r="D3234" t="s">
        <v>2037</v>
      </c>
      <c r="E3234" s="11" t="s">
        <v>2633</v>
      </c>
      <c r="F3234" t="s">
        <v>1559</v>
      </c>
      <c r="G3234" t="s">
        <v>1560</v>
      </c>
      <c r="H3234" s="10">
        <v>45828</v>
      </c>
      <c r="I3234">
        <v>59</v>
      </c>
      <c r="J3234">
        <v>0</v>
      </c>
      <c r="K3234">
        <v>59</v>
      </c>
    </row>
    <row r="3235" spans="2:11" x14ac:dyDescent="0.35">
      <c r="B3235">
        <v>1400004609</v>
      </c>
      <c r="C3235" s="10">
        <v>46112</v>
      </c>
      <c r="D3235" t="s">
        <v>2037</v>
      </c>
      <c r="E3235" s="11" t="s">
        <v>2634</v>
      </c>
      <c r="F3235" t="s">
        <v>1559</v>
      </c>
      <c r="G3235" t="s">
        <v>1560</v>
      </c>
      <c r="H3235" s="10">
        <v>45828</v>
      </c>
      <c r="I3235">
        <v>59</v>
      </c>
      <c r="J3235">
        <v>0</v>
      </c>
      <c r="K3235">
        <v>59</v>
      </c>
    </row>
    <row r="3236" spans="2:11" x14ac:dyDescent="0.35">
      <c r="B3236">
        <v>1400004608</v>
      </c>
      <c r="C3236" s="10">
        <v>46112</v>
      </c>
      <c r="D3236" t="s">
        <v>2037</v>
      </c>
      <c r="E3236" s="11" t="s">
        <v>2635</v>
      </c>
      <c r="F3236" t="s">
        <v>1559</v>
      </c>
      <c r="G3236" t="s">
        <v>1560</v>
      </c>
      <c r="H3236" s="10">
        <v>45828</v>
      </c>
      <c r="I3236">
        <v>59</v>
      </c>
      <c r="J3236">
        <v>0</v>
      </c>
      <c r="K3236">
        <v>59</v>
      </c>
    </row>
    <row r="3237" spans="2:11" x14ac:dyDescent="0.35">
      <c r="B3237">
        <v>1400004607</v>
      </c>
      <c r="C3237" s="10">
        <v>46112</v>
      </c>
      <c r="D3237" t="s">
        <v>2037</v>
      </c>
      <c r="E3237" s="11" t="s">
        <v>2636</v>
      </c>
      <c r="F3237" t="s">
        <v>1563</v>
      </c>
      <c r="G3237" t="s">
        <v>1564</v>
      </c>
      <c r="H3237" s="10">
        <v>45827</v>
      </c>
      <c r="I3237">
        <v>320745</v>
      </c>
      <c r="J3237">
        <v>0</v>
      </c>
      <c r="K3237">
        <v>320745</v>
      </c>
    </row>
    <row r="3238" spans="2:11" x14ac:dyDescent="0.35">
      <c r="B3238">
        <v>1400004606</v>
      </c>
      <c r="C3238" s="10">
        <v>46112</v>
      </c>
      <c r="D3238" t="s">
        <v>2037</v>
      </c>
      <c r="E3238" s="11" t="s">
        <v>2637</v>
      </c>
      <c r="F3238" t="s">
        <v>1439</v>
      </c>
      <c r="G3238" t="s">
        <v>1440</v>
      </c>
      <c r="H3238" s="10">
        <v>45827</v>
      </c>
      <c r="I3238">
        <v>122247</v>
      </c>
      <c r="J3238">
        <v>0</v>
      </c>
      <c r="K3238">
        <v>122247</v>
      </c>
    </row>
    <row r="3239" spans="2:11" x14ac:dyDescent="0.35">
      <c r="B3239">
        <v>1400004605</v>
      </c>
      <c r="C3239" s="10">
        <v>46112</v>
      </c>
      <c r="D3239" t="s">
        <v>2037</v>
      </c>
      <c r="E3239" s="11" t="s">
        <v>2638</v>
      </c>
      <c r="F3239" t="s">
        <v>1463</v>
      </c>
      <c r="G3239" t="s">
        <v>1464</v>
      </c>
      <c r="H3239" s="10">
        <v>45827</v>
      </c>
      <c r="I3239">
        <v>115376.28</v>
      </c>
      <c r="J3239">
        <v>0</v>
      </c>
      <c r="K3239">
        <v>115376.28</v>
      </c>
    </row>
    <row r="3240" spans="2:11" x14ac:dyDescent="0.35">
      <c r="B3240">
        <v>1400004604</v>
      </c>
      <c r="C3240" s="10">
        <v>46112</v>
      </c>
      <c r="D3240" t="s">
        <v>2037</v>
      </c>
      <c r="E3240" s="11" t="s">
        <v>2639</v>
      </c>
      <c r="F3240" t="s">
        <v>1573</v>
      </c>
      <c r="G3240" t="s">
        <v>1574</v>
      </c>
      <c r="H3240" s="10">
        <v>45827</v>
      </c>
      <c r="I3240">
        <v>25932.28</v>
      </c>
      <c r="J3240">
        <v>0</v>
      </c>
      <c r="K3240">
        <v>25932.28</v>
      </c>
    </row>
    <row r="3241" spans="2:11" x14ac:dyDescent="0.35">
      <c r="B3241">
        <v>1400004603</v>
      </c>
      <c r="C3241" s="10">
        <v>46112</v>
      </c>
      <c r="D3241" t="s">
        <v>2037</v>
      </c>
      <c r="E3241" s="11" t="s">
        <v>2640</v>
      </c>
      <c r="F3241" t="s">
        <v>1638</v>
      </c>
      <c r="G3241" t="s">
        <v>1639</v>
      </c>
      <c r="H3241" s="10">
        <v>45827</v>
      </c>
      <c r="I3241">
        <v>669115.12</v>
      </c>
      <c r="J3241">
        <v>16380.21</v>
      </c>
      <c r="K3241">
        <v>652734.91</v>
      </c>
    </row>
    <row r="3242" spans="2:11" x14ac:dyDescent="0.35">
      <c r="B3242">
        <v>1800006300</v>
      </c>
      <c r="C3242" s="10">
        <v>46112</v>
      </c>
      <c r="D3242" t="s">
        <v>2052</v>
      </c>
      <c r="E3242" s="11" t="s">
        <v>2641</v>
      </c>
      <c r="F3242" t="s">
        <v>1557</v>
      </c>
      <c r="G3242" t="s">
        <v>1558</v>
      </c>
      <c r="H3242" s="10">
        <v>45871</v>
      </c>
      <c r="I3242">
        <v>20093.04</v>
      </c>
      <c r="J3242">
        <v>0</v>
      </c>
      <c r="K3242">
        <v>20093.04</v>
      </c>
    </row>
    <row r="3243" spans="2:11" x14ac:dyDescent="0.35">
      <c r="B3243">
        <v>1400004602</v>
      </c>
      <c r="C3243" s="10">
        <v>46112</v>
      </c>
      <c r="D3243" t="s">
        <v>2037</v>
      </c>
      <c r="E3243" s="11" t="s">
        <v>2642</v>
      </c>
      <c r="F3243" t="s">
        <v>1559</v>
      </c>
      <c r="G3243" t="s">
        <v>1560</v>
      </c>
      <c r="H3243" s="10">
        <v>45826</v>
      </c>
      <c r="I3243">
        <v>99487</v>
      </c>
      <c r="J3243">
        <v>0</v>
      </c>
      <c r="K3243">
        <v>99487</v>
      </c>
    </row>
    <row r="3244" spans="2:11" x14ac:dyDescent="0.35">
      <c r="B3244">
        <v>9400000329</v>
      </c>
      <c r="C3244" s="10">
        <v>46112</v>
      </c>
      <c r="D3244" t="s">
        <v>2032</v>
      </c>
      <c r="E3244" s="11" t="s">
        <v>2643</v>
      </c>
      <c r="F3244" t="s">
        <v>1650</v>
      </c>
      <c r="G3244" t="s">
        <v>1651</v>
      </c>
      <c r="H3244" s="10">
        <v>45824</v>
      </c>
      <c r="I3244">
        <v>2850.76</v>
      </c>
      <c r="J3244">
        <v>0</v>
      </c>
      <c r="K3244">
        <v>2850.76</v>
      </c>
    </row>
    <row r="3245" spans="2:11" x14ac:dyDescent="0.35">
      <c r="B3245">
        <v>9400000131</v>
      </c>
      <c r="C3245" s="10">
        <v>46112</v>
      </c>
      <c r="D3245" t="s">
        <v>2032</v>
      </c>
      <c r="E3245" s="11" t="s">
        <v>2644</v>
      </c>
      <c r="F3245" t="s">
        <v>1652</v>
      </c>
      <c r="G3245" t="s">
        <v>1653</v>
      </c>
      <c r="H3245" s="10">
        <v>45824</v>
      </c>
      <c r="I3245">
        <v>31.46</v>
      </c>
      <c r="J3245">
        <v>0</v>
      </c>
      <c r="K3245">
        <v>31.46</v>
      </c>
    </row>
    <row r="3246" spans="2:11" x14ac:dyDescent="0.35">
      <c r="B3246">
        <v>9400000130</v>
      </c>
      <c r="C3246" s="10">
        <v>46112</v>
      </c>
      <c r="D3246" t="s">
        <v>2032</v>
      </c>
      <c r="E3246" s="11" t="s">
        <v>2645</v>
      </c>
      <c r="F3246" t="s">
        <v>1654</v>
      </c>
      <c r="G3246" t="s">
        <v>1655</v>
      </c>
      <c r="H3246" s="10">
        <v>45824</v>
      </c>
      <c r="I3246">
        <v>61.17</v>
      </c>
      <c r="J3246">
        <v>0</v>
      </c>
      <c r="K3246">
        <v>61.17</v>
      </c>
    </row>
    <row r="3247" spans="2:11" x14ac:dyDescent="0.35">
      <c r="B3247">
        <v>9400000129</v>
      </c>
      <c r="C3247" s="10">
        <v>46112</v>
      </c>
      <c r="D3247" t="s">
        <v>2032</v>
      </c>
      <c r="E3247" s="11" t="s">
        <v>2646</v>
      </c>
      <c r="F3247" t="s">
        <v>1147</v>
      </c>
      <c r="G3247" t="s">
        <v>1148</v>
      </c>
      <c r="H3247" s="10">
        <v>45824</v>
      </c>
      <c r="I3247">
        <v>61.17</v>
      </c>
      <c r="J3247">
        <v>0</v>
      </c>
      <c r="K3247">
        <v>61.17</v>
      </c>
    </row>
    <row r="3248" spans="2:11" x14ac:dyDescent="0.35">
      <c r="B3248">
        <v>1400004601</v>
      </c>
      <c r="C3248" s="10">
        <v>46112</v>
      </c>
      <c r="D3248" t="s">
        <v>2037</v>
      </c>
      <c r="E3248" s="11" t="s">
        <v>2647</v>
      </c>
      <c r="F3248" t="s">
        <v>1559</v>
      </c>
      <c r="G3248" t="s">
        <v>1560</v>
      </c>
      <c r="H3248" s="10">
        <v>45824</v>
      </c>
      <c r="I3248">
        <v>51050</v>
      </c>
      <c r="J3248">
        <v>0</v>
      </c>
      <c r="K3248">
        <v>51050</v>
      </c>
    </row>
    <row r="3249" spans="2:11" x14ac:dyDescent="0.35">
      <c r="B3249">
        <v>9400000128</v>
      </c>
      <c r="C3249" s="10">
        <v>46112</v>
      </c>
      <c r="D3249" t="s">
        <v>2032</v>
      </c>
      <c r="E3249" s="11" t="s">
        <v>2648</v>
      </c>
      <c r="F3249" t="s">
        <v>1654</v>
      </c>
      <c r="G3249" t="s">
        <v>1655</v>
      </c>
      <c r="H3249" s="10">
        <v>45822</v>
      </c>
      <c r="I3249">
        <v>61.17</v>
      </c>
      <c r="J3249">
        <v>0</v>
      </c>
      <c r="K3249">
        <v>61.17</v>
      </c>
    </row>
    <row r="3250" spans="2:11" x14ac:dyDescent="0.35">
      <c r="B3250">
        <v>9400000127</v>
      </c>
      <c r="C3250" s="10">
        <v>46112</v>
      </c>
      <c r="D3250" t="s">
        <v>2032</v>
      </c>
      <c r="E3250" s="11" t="s">
        <v>2649</v>
      </c>
      <c r="F3250" t="s">
        <v>1147</v>
      </c>
      <c r="G3250" t="s">
        <v>1148</v>
      </c>
      <c r="H3250" s="10">
        <v>45822</v>
      </c>
      <c r="I3250">
        <v>61.17</v>
      </c>
      <c r="J3250">
        <v>0</v>
      </c>
      <c r="K3250">
        <v>61.17</v>
      </c>
    </row>
    <row r="3251" spans="2:11" x14ac:dyDescent="0.35">
      <c r="B3251">
        <v>1800006298</v>
      </c>
      <c r="C3251" s="10">
        <v>46112</v>
      </c>
      <c r="D3251" t="s">
        <v>2052</v>
      </c>
      <c r="E3251" s="11" t="s">
        <v>2650</v>
      </c>
      <c r="F3251" t="s">
        <v>1557</v>
      </c>
      <c r="G3251" t="s">
        <v>1558</v>
      </c>
      <c r="H3251" s="10">
        <v>45866</v>
      </c>
      <c r="I3251">
        <v>2090.35</v>
      </c>
      <c r="J3251">
        <v>0</v>
      </c>
      <c r="K3251">
        <v>2090.35</v>
      </c>
    </row>
    <row r="3252" spans="2:11" x14ac:dyDescent="0.35">
      <c r="B3252">
        <v>1400004600</v>
      </c>
      <c r="C3252" s="10">
        <v>46112</v>
      </c>
      <c r="D3252" t="s">
        <v>2037</v>
      </c>
      <c r="E3252" s="11" t="s">
        <v>2651</v>
      </c>
      <c r="F3252" t="s">
        <v>1523</v>
      </c>
      <c r="G3252" t="s">
        <v>1524</v>
      </c>
      <c r="H3252" s="10">
        <v>45821</v>
      </c>
      <c r="I3252">
        <v>24230</v>
      </c>
      <c r="J3252">
        <v>0</v>
      </c>
      <c r="K3252">
        <v>24230</v>
      </c>
    </row>
    <row r="3253" spans="2:11" x14ac:dyDescent="0.35">
      <c r="B3253">
        <v>1800002559</v>
      </c>
      <c r="C3253" s="10">
        <v>46112</v>
      </c>
      <c r="D3253" t="s">
        <v>2052</v>
      </c>
      <c r="E3253" s="11" t="s">
        <v>2652</v>
      </c>
      <c r="F3253" t="s">
        <v>1525</v>
      </c>
      <c r="G3253" t="s">
        <v>1526</v>
      </c>
      <c r="H3253" s="10">
        <v>45890</v>
      </c>
      <c r="I3253">
        <v>250077.8</v>
      </c>
      <c r="J3253">
        <v>0</v>
      </c>
      <c r="K3253">
        <v>250077.8</v>
      </c>
    </row>
    <row r="3254" spans="2:11" x14ac:dyDescent="0.35">
      <c r="B3254">
        <v>1800000072</v>
      </c>
      <c r="C3254" s="10">
        <v>46112</v>
      </c>
      <c r="D3254" t="s">
        <v>2052</v>
      </c>
      <c r="E3254" s="11" t="s">
        <v>2653</v>
      </c>
      <c r="F3254" t="s">
        <v>1521</v>
      </c>
      <c r="G3254" t="s">
        <v>1522</v>
      </c>
      <c r="H3254" s="10">
        <v>45879</v>
      </c>
      <c r="I3254">
        <v>31584.37</v>
      </c>
      <c r="J3254">
        <v>4968.22</v>
      </c>
      <c r="K3254">
        <v>26616.149999999998</v>
      </c>
    </row>
    <row r="3255" spans="2:11" x14ac:dyDescent="0.35">
      <c r="B3255">
        <v>1400004599</v>
      </c>
      <c r="C3255" s="10">
        <v>46112</v>
      </c>
      <c r="D3255" t="s">
        <v>2037</v>
      </c>
      <c r="E3255" s="11" t="s">
        <v>2654</v>
      </c>
      <c r="F3255" t="s">
        <v>1642</v>
      </c>
      <c r="G3255" t="s">
        <v>1643</v>
      </c>
      <c r="H3255" s="10">
        <v>45819</v>
      </c>
      <c r="I3255">
        <v>183014</v>
      </c>
      <c r="J3255">
        <v>0</v>
      </c>
      <c r="K3255">
        <v>183014</v>
      </c>
    </row>
    <row r="3256" spans="2:11" x14ac:dyDescent="0.35">
      <c r="B3256">
        <v>1400004598</v>
      </c>
      <c r="C3256" s="10">
        <v>46112</v>
      </c>
      <c r="D3256" t="s">
        <v>2037</v>
      </c>
      <c r="E3256" s="11" t="s">
        <v>2655</v>
      </c>
      <c r="F3256" t="s">
        <v>1523</v>
      </c>
      <c r="G3256" t="s">
        <v>1524</v>
      </c>
      <c r="H3256" s="10">
        <v>45819</v>
      </c>
      <c r="I3256">
        <v>18880</v>
      </c>
      <c r="J3256">
        <v>0</v>
      </c>
      <c r="K3256">
        <v>18880</v>
      </c>
    </row>
    <row r="3257" spans="2:11" x14ac:dyDescent="0.35">
      <c r="B3257">
        <v>9400000572</v>
      </c>
      <c r="C3257" s="10">
        <v>46112</v>
      </c>
      <c r="D3257" t="s">
        <v>2032</v>
      </c>
      <c r="E3257" s="11" t="s">
        <v>2656</v>
      </c>
      <c r="F3257" t="s">
        <v>1656</v>
      </c>
      <c r="G3257" t="s">
        <v>1657</v>
      </c>
      <c r="H3257" s="10">
        <v>45818</v>
      </c>
      <c r="I3257">
        <v>68.02</v>
      </c>
      <c r="J3257">
        <v>0</v>
      </c>
      <c r="K3257">
        <v>68.02</v>
      </c>
    </row>
    <row r="3258" spans="2:11" x14ac:dyDescent="0.35">
      <c r="B3258">
        <v>100000315</v>
      </c>
      <c r="C3258" s="10">
        <v>46112</v>
      </c>
      <c r="D3258" t="s">
        <v>2034</v>
      </c>
      <c r="E3258" s="11" t="s">
        <v>2657</v>
      </c>
      <c r="F3258" t="s">
        <v>1575</v>
      </c>
      <c r="G3258" t="s">
        <v>1576</v>
      </c>
      <c r="H3258" s="10">
        <v>45817</v>
      </c>
      <c r="I3258">
        <v>50000</v>
      </c>
      <c r="J3258">
        <v>0</v>
      </c>
      <c r="K3258">
        <v>50000</v>
      </c>
    </row>
    <row r="3259" spans="2:11" x14ac:dyDescent="0.35">
      <c r="B3259">
        <v>100000314</v>
      </c>
      <c r="C3259" s="10">
        <v>46112</v>
      </c>
      <c r="D3259" t="s">
        <v>2034</v>
      </c>
      <c r="E3259" s="11" t="s">
        <v>2657</v>
      </c>
      <c r="F3259" t="s">
        <v>1658</v>
      </c>
      <c r="G3259" t="s">
        <v>1659</v>
      </c>
      <c r="H3259" s="10">
        <v>45817</v>
      </c>
      <c r="I3259">
        <v>30000</v>
      </c>
      <c r="J3259">
        <v>0</v>
      </c>
      <c r="K3259">
        <v>30000</v>
      </c>
    </row>
    <row r="3260" spans="2:11" x14ac:dyDescent="0.35">
      <c r="B3260">
        <v>100000313</v>
      </c>
      <c r="C3260" s="10">
        <v>46112</v>
      </c>
      <c r="D3260" t="s">
        <v>2034</v>
      </c>
      <c r="E3260" s="11" t="s">
        <v>2658</v>
      </c>
      <c r="F3260" t="s">
        <v>1575</v>
      </c>
      <c r="G3260" t="s">
        <v>1576</v>
      </c>
      <c r="H3260" s="10">
        <v>45817</v>
      </c>
      <c r="I3260">
        <v>10185</v>
      </c>
      <c r="J3260">
        <v>0</v>
      </c>
      <c r="K3260">
        <v>10185</v>
      </c>
    </row>
    <row r="3261" spans="2:11" x14ac:dyDescent="0.35">
      <c r="B3261">
        <v>1800002558</v>
      </c>
      <c r="C3261" s="10">
        <v>46112</v>
      </c>
      <c r="D3261" t="s">
        <v>2052</v>
      </c>
      <c r="E3261" s="11" t="s">
        <v>2659</v>
      </c>
      <c r="F3261" t="s">
        <v>1660</v>
      </c>
      <c r="G3261" t="s">
        <v>1661</v>
      </c>
      <c r="H3261" s="10">
        <v>45882</v>
      </c>
      <c r="I3261">
        <v>67171.67</v>
      </c>
      <c r="J3261">
        <v>0</v>
      </c>
      <c r="K3261">
        <v>67171.67</v>
      </c>
    </row>
    <row r="3262" spans="2:11" x14ac:dyDescent="0.35">
      <c r="B3262">
        <v>100000312</v>
      </c>
      <c r="C3262" s="10">
        <v>46112</v>
      </c>
      <c r="D3262" t="s">
        <v>2034</v>
      </c>
      <c r="E3262" s="11" t="s">
        <v>2660</v>
      </c>
      <c r="F3262" t="s">
        <v>1662</v>
      </c>
      <c r="G3262" t="s">
        <v>1663</v>
      </c>
      <c r="H3262" s="10">
        <v>45812</v>
      </c>
      <c r="I3262">
        <v>0.32</v>
      </c>
      <c r="J3262">
        <v>0</v>
      </c>
      <c r="K3262">
        <v>0.32</v>
      </c>
    </row>
    <row r="3263" spans="2:11" x14ac:dyDescent="0.35">
      <c r="B3263">
        <v>100000311</v>
      </c>
      <c r="C3263" s="10">
        <v>46112</v>
      </c>
      <c r="D3263" t="s">
        <v>2034</v>
      </c>
      <c r="E3263" s="11" t="s">
        <v>2661</v>
      </c>
      <c r="F3263" t="s">
        <v>1577</v>
      </c>
      <c r="G3263" t="s">
        <v>1578</v>
      </c>
      <c r="H3263" s="10">
        <v>45811</v>
      </c>
      <c r="I3263">
        <v>30000</v>
      </c>
      <c r="J3263">
        <v>0</v>
      </c>
      <c r="K3263">
        <v>30000</v>
      </c>
    </row>
    <row r="3264" spans="2:11" x14ac:dyDescent="0.35">
      <c r="B3264">
        <v>100000310</v>
      </c>
      <c r="C3264" s="10">
        <v>46112</v>
      </c>
      <c r="D3264" t="s">
        <v>2034</v>
      </c>
      <c r="E3264" s="11" t="s">
        <v>2661</v>
      </c>
      <c r="F3264" t="s">
        <v>1658</v>
      </c>
      <c r="G3264" t="s">
        <v>1659</v>
      </c>
      <c r="H3264" s="10">
        <v>45811</v>
      </c>
      <c r="I3264">
        <v>30000</v>
      </c>
      <c r="J3264">
        <v>0</v>
      </c>
      <c r="K3264">
        <v>30000</v>
      </c>
    </row>
    <row r="3265" spans="2:11" x14ac:dyDescent="0.35">
      <c r="B3265">
        <v>9400000579</v>
      </c>
      <c r="C3265" s="10">
        <v>46112</v>
      </c>
      <c r="D3265" t="s">
        <v>2032</v>
      </c>
      <c r="E3265" s="11" t="s">
        <v>2662</v>
      </c>
      <c r="F3265" t="s">
        <v>1591</v>
      </c>
      <c r="G3265" t="s">
        <v>1592</v>
      </c>
      <c r="H3265" s="10">
        <v>45808</v>
      </c>
      <c r="I3265">
        <v>276.54000000000002</v>
      </c>
      <c r="J3265">
        <v>0</v>
      </c>
      <c r="K3265">
        <v>276.54000000000002</v>
      </c>
    </row>
    <row r="3266" spans="2:11" x14ac:dyDescent="0.35">
      <c r="B3266">
        <v>1800006294</v>
      </c>
      <c r="C3266" s="10">
        <v>46112</v>
      </c>
      <c r="D3266" t="s">
        <v>2052</v>
      </c>
      <c r="E3266" s="11" t="s">
        <v>2663</v>
      </c>
      <c r="F3266" t="s">
        <v>1664</v>
      </c>
      <c r="G3266" t="s">
        <v>1665</v>
      </c>
      <c r="H3266" s="10">
        <v>45853</v>
      </c>
      <c r="I3266">
        <v>0.17</v>
      </c>
      <c r="J3266">
        <v>0</v>
      </c>
      <c r="K3266">
        <v>0.17</v>
      </c>
    </row>
    <row r="3267" spans="2:11" x14ac:dyDescent="0.35">
      <c r="B3267">
        <v>1800003970</v>
      </c>
      <c r="C3267" s="10">
        <v>46112</v>
      </c>
      <c r="D3267" t="s">
        <v>2052</v>
      </c>
      <c r="E3267" s="11" t="s">
        <v>2664</v>
      </c>
      <c r="F3267" t="s">
        <v>1619</v>
      </c>
      <c r="G3267" t="s">
        <v>1620</v>
      </c>
      <c r="H3267" s="10">
        <v>45853</v>
      </c>
      <c r="I3267">
        <v>24273.83</v>
      </c>
      <c r="J3267">
        <v>0</v>
      </c>
      <c r="K3267">
        <v>24273.83</v>
      </c>
    </row>
    <row r="3268" spans="2:11" x14ac:dyDescent="0.35">
      <c r="B3268">
        <v>1800003181</v>
      </c>
      <c r="C3268" s="10">
        <v>46112</v>
      </c>
      <c r="D3268" t="s">
        <v>2052</v>
      </c>
      <c r="E3268" s="11" t="s">
        <v>2665</v>
      </c>
      <c r="F3268" t="s">
        <v>1463</v>
      </c>
      <c r="G3268" t="s">
        <v>1464</v>
      </c>
      <c r="H3268" s="10">
        <v>45838</v>
      </c>
      <c r="I3268">
        <v>54372.98</v>
      </c>
      <c r="J3268">
        <v>0</v>
      </c>
      <c r="K3268">
        <v>54372.98</v>
      </c>
    </row>
    <row r="3269" spans="2:11" x14ac:dyDescent="0.35">
      <c r="B3269">
        <v>1800003180</v>
      </c>
      <c r="C3269" s="10">
        <v>46112</v>
      </c>
      <c r="D3269" t="s">
        <v>2052</v>
      </c>
      <c r="E3269" s="11" t="s">
        <v>2666</v>
      </c>
      <c r="F3269" t="s">
        <v>1463</v>
      </c>
      <c r="G3269" t="s">
        <v>1464</v>
      </c>
      <c r="H3269" s="10">
        <v>45853</v>
      </c>
      <c r="I3269">
        <v>63312.66</v>
      </c>
      <c r="J3269">
        <v>0</v>
      </c>
      <c r="K3269">
        <v>63312.66</v>
      </c>
    </row>
    <row r="3270" spans="2:11" x14ac:dyDescent="0.35">
      <c r="B3270">
        <v>1800003179</v>
      </c>
      <c r="C3270" s="10">
        <v>46112</v>
      </c>
      <c r="D3270" t="s">
        <v>2052</v>
      </c>
      <c r="E3270" s="11" t="s">
        <v>2667</v>
      </c>
      <c r="F3270" t="s">
        <v>1087</v>
      </c>
      <c r="G3270" t="s">
        <v>1088</v>
      </c>
      <c r="H3270" s="10">
        <v>45853</v>
      </c>
      <c r="I3270">
        <v>58674.74</v>
      </c>
      <c r="J3270">
        <v>0</v>
      </c>
      <c r="K3270">
        <v>58674.74</v>
      </c>
    </row>
    <row r="3271" spans="2:11" x14ac:dyDescent="0.35">
      <c r="B3271">
        <v>1800002557</v>
      </c>
      <c r="C3271" s="10">
        <v>46112</v>
      </c>
      <c r="D3271" t="s">
        <v>2052</v>
      </c>
      <c r="E3271" s="11" t="s">
        <v>2668</v>
      </c>
      <c r="F3271" t="s">
        <v>1475</v>
      </c>
      <c r="G3271" t="s">
        <v>1476</v>
      </c>
      <c r="H3271" s="10">
        <v>45853</v>
      </c>
      <c r="I3271">
        <v>9023.7000000000007</v>
      </c>
      <c r="J3271">
        <v>0</v>
      </c>
      <c r="K3271">
        <v>9023.7000000000007</v>
      </c>
    </row>
    <row r="3272" spans="2:11" x14ac:dyDescent="0.35">
      <c r="B3272">
        <v>1800003175</v>
      </c>
      <c r="C3272" s="10">
        <v>46112</v>
      </c>
      <c r="D3272" t="s">
        <v>2052</v>
      </c>
      <c r="E3272" s="11" t="s">
        <v>2669</v>
      </c>
      <c r="F3272" t="s">
        <v>1573</v>
      </c>
      <c r="G3272" t="s">
        <v>1574</v>
      </c>
      <c r="H3272" s="10">
        <v>45852</v>
      </c>
      <c r="I3272">
        <v>306374.26</v>
      </c>
      <c r="J3272">
        <v>0</v>
      </c>
      <c r="K3272">
        <v>306374.26</v>
      </c>
    </row>
    <row r="3273" spans="2:11" x14ac:dyDescent="0.35">
      <c r="B3273">
        <v>1400004597</v>
      </c>
      <c r="C3273" s="10">
        <v>46112</v>
      </c>
      <c r="D3273" t="s">
        <v>2037</v>
      </c>
      <c r="E3273" s="11" t="s">
        <v>2670</v>
      </c>
      <c r="F3273" t="s">
        <v>1615</v>
      </c>
      <c r="G3273" t="s">
        <v>1616</v>
      </c>
      <c r="H3273" s="10">
        <v>45807</v>
      </c>
      <c r="I3273">
        <v>4989.09</v>
      </c>
      <c r="J3273">
        <v>0</v>
      </c>
      <c r="K3273">
        <v>4989.09</v>
      </c>
    </row>
    <row r="3274" spans="2:11" x14ac:dyDescent="0.35">
      <c r="B3274">
        <v>9400000476</v>
      </c>
      <c r="C3274" s="10">
        <v>46112</v>
      </c>
      <c r="D3274" t="s">
        <v>2032</v>
      </c>
      <c r="E3274" s="11" t="s">
        <v>2671</v>
      </c>
      <c r="F3274" t="s">
        <v>1648</v>
      </c>
      <c r="G3274" t="s">
        <v>1649</v>
      </c>
      <c r="H3274" s="10">
        <v>45827</v>
      </c>
      <c r="I3274">
        <v>14925.58</v>
      </c>
      <c r="J3274">
        <v>0</v>
      </c>
      <c r="K3274">
        <v>14925.58</v>
      </c>
    </row>
    <row r="3275" spans="2:11" x14ac:dyDescent="0.35">
      <c r="B3275">
        <v>1800002555</v>
      </c>
      <c r="C3275" s="10">
        <v>46112</v>
      </c>
      <c r="D3275" t="s">
        <v>2052</v>
      </c>
      <c r="E3275" s="11" t="s">
        <v>2672</v>
      </c>
      <c r="F3275" t="s">
        <v>1648</v>
      </c>
      <c r="G3275" t="s">
        <v>1649</v>
      </c>
      <c r="H3275" s="10">
        <v>45836</v>
      </c>
      <c r="I3275">
        <v>156624.89000000001</v>
      </c>
      <c r="J3275">
        <v>0</v>
      </c>
      <c r="K3275">
        <v>156624.89000000001</v>
      </c>
    </row>
    <row r="3276" spans="2:11" x14ac:dyDescent="0.35">
      <c r="B3276">
        <v>1800002554</v>
      </c>
      <c r="C3276" s="10">
        <v>46112</v>
      </c>
      <c r="D3276" t="s">
        <v>2052</v>
      </c>
      <c r="E3276" s="11" t="s">
        <v>2673</v>
      </c>
      <c r="F3276" t="s">
        <v>1648</v>
      </c>
      <c r="G3276" t="s">
        <v>1649</v>
      </c>
      <c r="H3276" s="10">
        <v>45851</v>
      </c>
      <c r="I3276">
        <v>13438.78</v>
      </c>
      <c r="J3276">
        <v>0</v>
      </c>
      <c r="K3276">
        <v>13438.78</v>
      </c>
    </row>
    <row r="3277" spans="2:11" x14ac:dyDescent="0.35">
      <c r="B3277">
        <v>9400000475</v>
      </c>
      <c r="C3277" s="10">
        <v>46112</v>
      </c>
      <c r="D3277" t="s">
        <v>2032</v>
      </c>
      <c r="E3277" s="11" t="s">
        <v>2674</v>
      </c>
      <c r="F3277" t="s">
        <v>1563</v>
      </c>
      <c r="G3277" t="s">
        <v>1564</v>
      </c>
      <c r="H3277" s="10">
        <v>45805</v>
      </c>
      <c r="I3277">
        <v>1169.76</v>
      </c>
      <c r="J3277">
        <v>0</v>
      </c>
      <c r="K3277">
        <v>1169.76</v>
      </c>
    </row>
    <row r="3278" spans="2:11" x14ac:dyDescent="0.35">
      <c r="B3278">
        <v>1800002551</v>
      </c>
      <c r="C3278" s="10">
        <v>46112</v>
      </c>
      <c r="D3278" t="s">
        <v>2052</v>
      </c>
      <c r="E3278" s="11" t="s">
        <v>2675</v>
      </c>
      <c r="F3278" t="s">
        <v>1475</v>
      </c>
      <c r="G3278" t="s">
        <v>1476</v>
      </c>
      <c r="H3278" s="10">
        <v>45850</v>
      </c>
      <c r="I3278">
        <v>41580.879999999997</v>
      </c>
      <c r="J3278">
        <v>0</v>
      </c>
      <c r="K3278">
        <v>41580.879999999997</v>
      </c>
    </row>
    <row r="3279" spans="2:11" x14ac:dyDescent="0.35">
      <c r="B3279">
        <v>1400004539</v>
      </c>
      <c r="C3279" s="10">
        <v>46112</v>
      </c>
      <c r="D3279" t="s">
        <v>2037</v>
      </c>
      <c r="E3279" s="11" t="s">
        <v>2676</v>
      </c>
      <c r="F3279" t="s">
        <v>1666</v>
      </c>
      <c r="G3279" t="s">
        <v>1667</v>
      </c>
      <c r="H3279" s="10">
        <v>45805</v>
      </c>
      <c r="I3279">
        <v>868.55</v>
      </c>
      <c r="J3279">
        <v>0</v>
      </c>
      <c r="K3279">
        <v>868.55</v>
      </c>
    </row>
    <row r="3280" spans="2:11" x14ac:dyDescent="0.35">
      <c r="B3280">
        <v>1800002550</v>
      </c>
      <c r="C3280" s="10">
        <v>46112</v>
      </c>
      <c r="D3280" t="s">
        <v>2052</v>
      </c>
      <c r="E3280" s="11" t="s">
        <v>2677</v>
      </c>
      <c r="F3280" t="s">
        <v>1563</v>
      </c>
      <c r="G3280" t="s">
        <v>1564</v>
      </c>
      <c r="H3280" s="10">
        <v>45848</v>
      </c>
      <c r="I3280">
        <v>28093.68</v>
      </c>
      <c r="J3280">
        <v>0</v>
      </c>
      <c r="K3280">
        <v>28093.68</v>
      </c>
    </row>
    <row r="3281" spans="2:11" x14ac:dyDescent="0.35">
      <c r="B3281">
        <v>1800002549</v>
      </c>
      <c r="C3281" s="10">
        <v>46112</v>
      </c>
      <c r="D3281" t="s">
        <v>2052</v>
      </c>
      <c r="E3281" s="11" t="s">
        <v>2678</v>
      </c>
      <c r="F3281" t="s">
        <v>1563</v>
      </c>
      <c r="G3281" t="s">
        <v>1564</v>
      </c>
      <c r="H3281" s="10">
        <v>45846</v>
      </c>
      <c r="I3281">
        <v>90187.4</v>
      </c>
      <c r="J3281">
        <v>0</v>
      </c>
      <c r="K3281">
        <v>90187.4</v>
      </c>
    </row>
    <row r="3282" spans="2:11" x14ac:dyDescent="0.35">
      <c r="B3282">
        <v>1800002548</v>
      </c>
      <c r="C3282" s="10">
        <v>46112</v>
      </c>
      <c r="D3282" t="s">
        <v>2052</v>
      </c>
      <c r="E3282" s="11" t="s">
        <v>2679</v>
      </c>
      <c r="F3282" t="s">
        <v>1563</v>
      </c>
      <c r="G3282" t="s">
        <v>1564</v>
      </c>
      <c r="H3282" s="10">
        <v>45831</v>
      </c>
      <c r="I3282">
        <v>702.9</v>
      </c>
      <c r="J3282">
        <v>0</v>
      </c>
      <c r="K3282">
        <v>702.9</v>
      </c>
    </row>
    <row r="3283" spans="2:11" x14ac:dyDescent="0.35">
      <c r="B3283">
        <v>1800002547</v>
      </c>
      <c r="C3283" s="10">
        <v>46112</v>
      </c>
      <c r="D3283" t="s">
        <v>2052</v>
      </c>
      <c r="E3283" s="11" t="s">
        <v>2680</v>
      </c>
      <c r="F3283" t="s">
        <v>1525</v>
      </c>
      <c r="G3283" t="s">
        <v>1526</v>
      </c>
      <c r="H3283" s="10">
        <v>45871</v>
      </c>
      <c r="I3283">
        <v>119954.98</v>
      </c>
      <c r="J3283">
        <v>0</v>
      </c>
      <c r="K3283">
        <v>119954.98</v>
      </c>
    </row>
    <row r="3284" spans="2:11" x14ac:dyDescent="0.35">
      <c r="B3284">
        <v>1800002546</v>
      </c>
      <c r="C3284" s="10">
        <v>46112</v>
      </c>
      <c r="D3284" t="s">
        <v>2052</v>
      </c>
      <c r="E3284" s="11" t="s">
        <v>2681</v>
      </c>
      <c r="F3284" t="s">
        <v>1563</v>
      </c>
      <c r="G3284" t="s">
        <v>1564</v>
      </c>
      <c r="H3284" s="10">
        <v>45831</v>
      </c>
      <c r="I3284">
        <v>16869.52</v>
      </c>
      <c r="J3284">
        <v>0</v>
      </c>
      <c r="K3284">
        <v>16869.52</v>
      </c>
    </row>
    <row r="3285" spans="2:11" x14ac:dyDescent="0.35">
      <c r="B3285">
        <v>1800002545</v>
      </c>
      <c r="C3285" s="10">
        <v>46112</v>
      </c>
      <c r="D3285" t="s">
        <v>2052</v>
      </c>
      <c r="E3285" s="11" t="s">
        <v>2682</v>
      </c>
      <c r="F3285" t="s">
        <v>1563</v>
      </c>
      <c r="G3285" t="s">
        <v>1564</v>
      </c>
      <c r="H3285" s="10">
        <v>45846</v>
      </c>
      <c r="I3285">
        <v>45093.7</v>
      </c>
      <c r="J3285">
        <v>0</v>
      </c>
      <c r="K3285">
        <v>45093.7</v>
      </c>
    </row>
    <row r="3286" spans="2:11" x14ac:dyDescent="0.35">
      <c r="B3286">
        <v>1400004596</v>
      </c>
      <c r="C3286" s="10">
        <v>46112</v>
      </c>
      <c r="D3286" t="s">
        <v>2037</v>
      </c>
      <c r="E3286" s="11" t="s">
        <v>2683</v>
      </c>
      <c r="F3286" t="s">
        <v>1565</v>
      </c>
      <c r="G3286" t="s">
        <v>1566</v>
      </c>
      <c r="H3286" s="10">
        <v>45801</v>
      </c>
      <c r="I3286">
        <v>59</v>
      </c>
      <c r="J3286">
        <v>0</v>
      </c>
      <c r="K3286">
        <v>59</v>
      </c>
    </row>
    <row r="3287" spans="2:11" x14ac:dyDescent="0.35">
      <c r="B3287">
        <v>1400004595</v>
      </c>
      <c r="C3287" s="10">
        <v>46112</v>
      </c>
      <c r="D3287" t="s">
        <v>2037</v>
      </c>
      <c r="E3287" s="11" t="s">
        <v>2684</v>
      </c>
      <c r="F3287" t="s">
        <v>557</v>
      </c>
      <c r="G3287" t="s">
        <v>558</v>
      </c>
      <c r="H3287" s="10">
        <v>45801</v>
      </c>
      <c r="I3287">
        <v>59</v>
      </c>
      <c r="J3287">
        <v>0</v>
      </c>
      <c r="K3287">
        <v>59</v>
      </c>
    </row>
    <row r="3288" spans="2:11" x14ac:dyDescent="0.35">
      <c r="B3288">
        <v>1400004593</v>
      </c>
      <c r="C3288" s="10">
        <v>46112</v>
      </c>
      <c r="D3288" t="s">
        <v>2037</v>
      </c>
      <c r="E3288" s="11" t="s">
        <v>2685</v>
      </c>
      <c r="F3288" t="s">
        <v>1523</v>
      </c>
      <c r="G3288" t="s">
        <v>1524</v>
      </c>
      <c r="H3288" s="10">
        <v>45801</v>
      </c>
      <c r="I3288">
        <v>59</v>
      </c>
      <c r="J3288">
        <v>0</v>
      </c>
      <c r="K3288">
        <v>59</v>
      </c>
    </row>
    <row r="3289" spans="2:11" x14ac:dyDescent="0.35">
      <c r="B3289">
        <v>1400004592</v>
      </c>
      <c r="C3289" s="10">
        <v>46112</v>
      </c>
      <c r="D3289" t="s">
        <v>2037</v>
      </c>
      <c r="E3289" s="11" t="s">
        <v>2686</v>
      </c>
      <c r="F3289" t="s">
        <v>1670</v>
      </c>
      <c r="G3289" t="s">
        <v>1671</v>
      </c>
      <c r="H3289" s="10">
        <v>45801</v>
      </c>
      <c r="I3289">
        <v>3.7</v>
      </c>
      <c r="J3289">
        <v>0</v>
      </c>
      <c r="K3289">
        <v>3.7</v>
      </c>
    </row>
    <row r="3290" spans="2:11" x14ac:dyDescent="0.35">
      <c r="B3290">
        <v>1400004591</v>
      </c>
      <c r="C3290" s="10">
        <v>46112</v>
      </c>
      <c r="D3290" t="s">
        <v>2037</v>
      </c>
      <c r="E3290" s="11" t="s">
        <v>2687</v>
      </c>
      <c r="F3290" t="s">
        <v>1672</v>
      </c>
      <c r="G3290" t="s">
        <v>1673</v>
      </c>
      <c r="H3290" s="10">
        <v>45801</v>
      </c>
      <c r="I3290">
        <v>59</v>
      </c>
      <c r="J3290">
        <v>0</v>
      </c>
      <c r="K3290">
        <v>59</v>
      </c>
    </row>
    <row r="3291" spans="2:11" x14ac:dyDescent="0.35">
      <c r="B3291">
        <v>1400004590</v>
      </c>
      <c r="C3291" s="10">
        <v>46112</v>
      </c>
      <c r="D3291" t="s">
        <v>2037</v>
      </c>
      <c r="E3291" s="11" t="s">
        <v>2688</v>
      </c>
      <c r="F3291" t="s">
        <v>1674</v>
      </c>
      <c r="G3291" t="s">
        <v>1675</v>
      </c>
      <c r="H3291" s="10">
        <v>45801</v>
      </c>
      <c r="I3291">
        <v>59</v>
      </c>
      <c r="J3291">
        <v>0</v>
      </c>
      <c r="K3291">
        <v>59</v>
      </c>
    </row>
    <row r="3292" spans="2:11" x14ac:dyDescent="0.35">
      <c r="B3292">
        <v>1400004589</v>
      </c>
      <c r="C3292" s="10">
        <v>46112</v>
      </c>
      <c r="D3292" t="s">
        <v>2037</v>
      </c>
      <c r="E3292" s="11" t="s">
        <v>2689</v>
      </c>
      <c r="F3292" t="s">
        <v>1147</v>
      </c>
      <c r="G3292" t="s">
        <v>1148</v>
      </c>
      <c r="H3292" s="10">
        <v>45801</v>
      </c>
      <c r="I3292">
        <v>59</v>
      </c>
      <c r="J3292">
        <v>0</v>
      </c>
      <c r="K3292">
        <v>59</v>
      </c>
    </row>
    <row r="3293" spans="2:11" x14ac:dyDescent="0.35">
      <c r="B3293">
        <v>1800002693</v>
      </c>
      <c r="C3293" s="10">
        <v>46112</v>
      </c>
      <c r="D3293" t="s">
        <v>2052</v>
      </c>
      <c r="E3293" s="11" t="s">
        <v>2690</v>
      </c>
      <c r="F3293" t="s">
        <v>1595</v>
      </c>
      <c r="G3293" t="s">
        <v>1596</v>
      </c>
      <c r="H3293" s="10">
        <v>45845</v>
      </c>
      <c r="I3293">
        <v>320.5</v>
      </c>
      <c r="J3293">
        <v>0</v>
      </c>
      <c r="K3293">
        <v>320.5</v>
      </c>
    </row>
    <row r="3294" spans="2:11" x14ac:dyDescent="0.35">
      <c r="B3294">
        <v>1400004588</v>
      </c>
      <c r="C3294" s="10">
        <v>46112</v>
      </c>
      <c r="D3294" t="s">
        <v>2037</v>
      </c>
      <c r="E3294" s="11" t="s">
        <v>2691</v>
      </c>
      <c r="F3294" t="s">
        <v>1565</v>
      </c>
      <c r="G3294" t="s">
        <v>1566</v>
      </c>
      <c r="H3294" s="10">
        <v>45800</v>
      </c>
      <c r="I3294">
        <v>59</v>
      </c>
      <c r="J3294">
        <v>0</v>
      </c>
      <c r="K3294">
        <v>59</v>
      </c>
    </row>
    <row r="3295" spans="2:11" x14ac:dyDescent="0.35">
      <c r="B3295">
        <v>1400004587</v>
      </c>
      <c r="C3295" s="10">
        <v>46112</v>
      </c>
      <c r="D3295" t="s">
        <v>2037</v>
      </c>
      <c r="E3295" s="11" t="s">
        <v>2692</v>
      </c>
      <c r="F3295" t="s">
        <v>1642</v>
      </c>
      <c r="G3295" t="s">
        <v>1643</v>
      </c>
      <c r="H3295" s="10">
        <v>45800</v>
      </c>
      <c r="I3295">
        <v>59</v>
      </c>
      <c r="J3295">
        <v>0</v>
      </c>
      <c r="K3295">
        <v>59</v>
      </c>
    </row>
    <row r="3296" spans="2:11" x14ac:dyDescent="0.35">
      <c r="B3296">
        <v>1400004586</v>
      </c>
      <c r="C3296" s="10">
        <v>46112</v>
      </c>
      <c r="D3296" t="s">
        <v>2037</v>
      </c>
      <c r="E3296" s="11" t="s">
        <v>2693</v>
      </c>
      <c r="F3296" t="s">
        <v>1571</v>
      </c>
      <c r="G3296" t="s">
        <v>1572</v>
      </c>
      <c r="H3296" s="10">
        <v>45800</v>
      </c>
      <c r="I3296">
        <v>390813.66</v>
      </c>
      <c r="J3296">
        <v>238410.79</v>
      </c>
      <c r="K3296">
        <v>152402.86999999997</v>
      </c>
    </row>
    <row r="3297" spans="2:11" x14ac:dyDescent="0.35">
      <c r="B3297">
        <v>1400004585</v>
      </c>
      <c r="C3297" s="10">
        <v>46112</v>
      </c>
      <c r="D3297" t="s">
        <v>2037</v>
      </c>
      <c r="E3297" s="11" t="s">
        <v>2694</v>
      </c>
      <c r="F3297" t="s">
        <v>1523</v>
      </c>
      <c r="G3297" t="s">
        <v>1524</v>
      </c>
      <c r="H3297" s="10">
        <v>45800</v>
      </c>
      <c r="I3297">
        <v>59</v>
      </c>
      <c r="J3297">
        <v>0</v>
      </c>
      <c r="K3297">
        <v>59</v>
      </c>
    </row>
    <row r="3298" spans="2:11" x14ac:dyDescent="0.35">
      <c r="B3298">
        <v>1400004584</v>
      </c>
      <c r="C3298" s="10">
        <v>46112</v>
      </c>
      <c r="D3298" t="s">
        <v>2037</v>
      </c>
      <c r="E3298" s="11" t="s">
        <v>2695</v>
      </c>
      <c r="F3298" t="s">
        <v>1599</v>
      </c>
      <c r="G3298" t="s">
        <v>1600</v>
      </c>
      <c r="H3298" s="10">
        <v>45800</v>
      </c>
      <c r="I3298">
        <v>59</v>
      </c>
      <c r="J3298">
        <v>0</v>
      </c>
      <c r="K3298">
        <v>59</v>
      </c>
    </row>
    <row r="3299" spans="2:11" x14ac:dyDescent="0.35">
      <c r="B3299">
        <v>1400004583</v>
      </c>
      <c r="C3299" s="10">
        <v>46112</v>
      </c>
      <c r="D3299" t="s">
        <v>2037</v>
      </c>
      <c r="E3299" s="11" t="s">
        <v>2696</v>
      </c>
      <c r="F3299" t="s">
        <v>1646</v>
      </c>
      <c r="G3299" t="s">
        <v>1647</v>
      </c>
      <c r="H3299" s="10">
        <v>45800</v>
      </c>
      <c r="I3299">
        <v>59</v>
      </c>
      <c r="J3299">
        <v>0</v>
      </c>
      <c r="K3299">
        <v>59</v>
      </c>
    </row>
    <row r="3300" spans="2:11" x14ac:dyDescent="0.35">
      <c r="B3300">
        <v>9400000427</v>
      </c>
      <c r="C3300" s="10">
        <v>46112</v>
      </c>
      <c r="D3300" t="s">
        <v>2032</v>
      </c>
      <c r="E3300" s="11" t="s">
        <v>2697</v>
      </c>
      <c r="F3300" t="s">
        <v>1587</v>
      </c>
      <c r="G3300" t="s">
        <v>1588</v>
      </c>
      <c r="H3300" s="10">
        <v>45798</v>
      </c>
      <c r="I3300">
        <v>30.5</v>
      </c>
      <c r="J3300">
        <v>0</v>
      </c>
      <c r="K3300">
        <v>30.5</v>
      </c>
    </row>
    <row r="3301" spans="2:11" x14ac:dyDescent="0.35">
      <c r="B3301">
        <v>9400000385</v>
      </c>
      <c r="C3301" s="10">
        <v>46112</v>
      </c>
      <c r="D3301" t="s">
        <v>2032</v>
      </c>
      <c r="E3301" s="11" t="s">
        <v>2698</v>
      </c>
      <c r="F3301" t="s">
        <v>1581</v>
      </c>
      <c r="G3301" t="s">
        <v>1582</v>
      </c>
      <c r="H3301" s="10">
        <v>45798</v>
      </c>
      <c r="I3301">
        <v>31.78</v>
      </c>
      <c r="J3301">
        <v>0</v>
      </c>
      <c r="K3301">
        <v>31.78</v>
      </c>
    </row>
    <row r="3302" spans="2:11" x14ac:dyDescent="0.35">
      <c r="B3302">
        <v>1400004581</v>
      </c>
      <c r="C3302" s="10">
        <v>46112</v>
      </c>
      <c r="D3302" t="s">
        <v>2037</v>
      </c>
      <c r="E3302" s="11" t="s">
        <v>2699</v>
      </c>
      <c r="F3302" t="s">
        <v>1642</v>
      </c>
      <c r="G3302" t="s">
        <v>1643</v>
      </c>
      <c r="H3302" s="10">
        <v>45798</v>
      </c>
      <c r="I3302">
        <v>52289</v>
      </c>
      <c r="J3302">
        <v>0</v>
      </c>
      <c r="K3302">
        <v>52289</v>
      </c>
    </row>
    <row r="3303" spans="2:11" x14ac:dyDescent="0.35">
      <c r="B3303">
        <v>9400000474</v>
      </c>
      <c r="C3303" s="10">
        <v>46112</v>
      </c>
      <c r="D3303" t="s">
        <v>2032</v>
      </c>
      <c r="E3303" s="11" t="s">
        <v>2700</v>
      </c>
      <c r="F3303" t="s">
        <v>1563</v>
      </c>
      <c r="G3303" t="s">
        <v>1564</v>
      </c>
      <c r="H3303" s="10">
        <v>45797</v>
      </c>
      <c r="I3303">
        <v>66.599999999999994</v>
      </c>
      <c r="J3303">
        <v>0</v>
      </c>
      <c r="K3303">
        <v>66.599999999999994</v>
      </c>
    </row>
    <row r="3304" spans="2:11" x14ac:dyDescent="0.35">
      <c r="B3304">
        <v>9400000473</v>
      </c>
      <c r="C3304" s="10">
        <v>46112</v>
      </c>
      <c r="D3304" t="s">
        <v>2032</v>
      </c>
      <c r="E3304" s="11" t="s">
        <v>2701</v>
      </c>
      <c r="F3304" t="s">
        <v>1565</v>
      </c>
      <c r="G3304" t="s">
        <v>1566</v>
      </c>
      <c r="H3304" s="10">
        <v>45797</v>
      </c>
      <c r="I3304">
        <v>47.79</v>
      </c>
      <c r="J3304">
        <v>0</v>
      </c>
      <c r="K3304">
        <v>47.79</v>
      </c>
    </row>
    <row r="3305" spans="2:11" x14ac:dyDescent="0.35">
      <c r="B3305">
        <v>1400004580</v>
      </c>
      <c r="C3305" s="10">
        <v>46112</v>
      </c>
      <c r="D3305" t="s">
        <v>2037</v>
      </c>
      <c r="E3305" s="11" t="s">
        <v>2702</v>
      </c>
      <c r="F3305" t="s">
        <v>1676</v>
      </c>
      <c r="G3305" t="s">
        <v>1677</v>
      </c>
      <c r="H3305" s="10">
        <v>45797</v>
      </c>
      <c r="I3305">
        <v>118</v>
      </c>
      <c r="J3305">
        <v>0</v>
      </c>
      <c r="K3305">
        <v>118</v>
      </c>
    </row>
    <row r="3306" spans="2:11" x14ac:dyDescent="0.35">
      <c r="B3306">
        <v>9400000384</v>
      </c>
      <c r="C3306" s="10">
        <v>46112</v>
      </c>
      <c r="D3306" t="s">
        <v>2032</v>
      </c>
      <c r="E3306" s="11" t="s">
        <v>2703</v>
      </c>
      <c r="F3306" t="s">
        <v>1581</v>
      </c>
      <c r="G3306" t="s">
        <v>1582</v>
      </c>
      <c r="H3306" s="10">
        <v>45796</v>
      </c>
      <c r="I3306">
        <v>31.78</v>
      </c>
      <c r="J3306">
        <v>0</v>
      </c>
      <c r="K3306">
        <v>31.78</v>
      </c>
    </row>
    <row r="3307" spans="2:11" x14ac:dyDescent="0.35">
      <c r="B3307">
        <v>1400004579</v>
      </c>
      <c r="C3307" s="10">
        <v>46112</v>
      </c>
      <c r="D3307" t="s">
        <v>2037</v>
      </c>
      <c r="E3307" s="11" t="s">
        <v>2704</v>
      </c>
      <c r="F3307" t="s">
        <v>1523</v>
      </c>
      <c r="G3307" t="s">
        <v>1524</v>
      </c>
      <c r="H3307" s="10">
        <v>45796</v>
      </c>
      <c r="I3307">
        <v>11903.11</v>
      </c>
      <c r="J3307">
        <v>0</v>
      </c>
      <c r="K3307">
        <v>11903.11</v>
      </c>
    </row>
    <row r="3308" spans="2:11" x14ac:dyDescent="0.35">
      <c r="B3308">
        <v>1400004578</v>
      </c>
      <c r="C3308" s="10">
        <v>46112</v>
      </c>
      <c r="D3308" t="s">
        <v>2037</v>
      </c>
      <c r="E3308" s="11" t="s">
        <v>2705</v>
      </c>
      <c r="F3308" t="s">
        <v>1599</v>
      </c>
      <c r="G3308" t="s">
        <v>1600</v>
      </c>
      <c r="H3308" s="10">
        <v>45796</v>
      </c>
      <c r="I3308">
        <v>22793.84</v>
      </c>
      <c r="J3308">
        <v>0</v>
      </c>
      <c r="K3308">
        <v>22793.84</v>
      </c>
    </row>
    <row r="3309" spans="2:11" x14ac:dyDescent="0.35">
      <c r="B3309">
        <v>1400004577</v>
      </c>
      <c r="C3309" s="10">
        <v>46112</v>
      </c>
      <c r="D3309" t="s">
        <v>2037</v>
      </c>
      <c r="E3309" s="11" t="s">
        <v>2706</v>
      </c>
      <c r="F3309" t="s">
        <v>1646</v>
      </c>
      <c r="G3309" t="s">
        <v>1647</v>
      </c>
      <c r="H3309" s="10">
        <v>45796</v>
      </c>
      <c r="I3309">
        <v>65023.67</v>
      </c>
      <c r="J3309">
        <v>0</v>
      </c>
      <c r="K3309">
        <v>65023.67</v>
      </c>
    </row>
    <row r="3310" spans="2:11" x14ac:dyDescent="0.35">
      <c r="B3310">
        <v>1400004575</v>
      </c>
      <c r="C3310" s="10">
        <v>46112</v>
      </c>
      <c r="D3310" t="s">
        <v>2037</v>
      </c>
      <c r="E3310" s="11" t="s">
        <v>2707</v>
      </c>
      <c r="F3310" t="s">
        <v>557</v>
      </c>
      <c r="G3310" t="s">
        <v>558</v>
      </c>
      <c r="H3310" s="10">
        <v>45795</v>
      </c>
      <c r="I3310">
        <v>153596.63</v>
      </c>
      <c r="J3310">
        <v>150000</v>
      </c>
      <c r="K3310">
        <v>3596.6300000000047</v>
      </c>
    </row>
    <row r="3311" spans="2:11" x14ac:dyDescent="0.35">
      <c r="B3311">
        <v>1400004574</v>
      </c>
      <c r="C3311" s="10">
        <v>46112</v>
      </c>
      <c r="D3311" t="s">
        <v>2037</v>
      </c>
      <c r="E3311" s="11" t="s">
        <v>2708</v>
      </c>
      <c r="F3311" t="s">
        <v>1678</v>
      </c>
      <c r="G3311" t="s">
        <v>1679</v>
      </c>
      <c r="H3311" s="10">
        <v>45795</v>
      </c>
      <c r="I3311">
        <v>132115.82</v>
      </c>
      <c r="J3311">
        <v>0</v>
      </c>
      <c r="K3311">
        <v>132115.82</v>
      </c>
    </row>
    <row r="3312" spans="2:11" x14ac:dyDescent="0.35">
      <c r="B3312">
        <v>1400004572</v>
      </c>
      <c r="C3312" s="10">
        <v>46112</v>
      </c>
      <c r="D3312" t="s">
        <v>2037</v>
      </c>
      <c r="E3312" s="11" t="s">
        <v>2709</v>
      </c>
      <c r="F3312" t="s">
        <v>1147</v>
      </c>
      <c r="G3312" t="s">
        <v>1148</v>
      </c>
      <c r="H3312" s="10">
        <v>45794</v>
      </c>
      <c r="I3312">
        <v>6416.06</v>
      </c>
      <c r="J3312">
        <v>1740.15</v>
      </c>
      <c r="K3312">
        <v>4675.91</v>
      </c>
    </row>
    <row r="3313" spans="2:11" x14ac:dyDescent="0.35">
      <c r="B3313">
        <v>1400004571</v>
      </c>
      <c r="C3313" s="10">
        <v>46112</v>
      </c>
      <c r="D3313" t="s">
        <v>2037</v>
      </c>
      <c r="E3313" s="11" t="s">
        <v>2710</v>
      </c>
      <c r="F3313" t="s">
        <v>1565</v>
      </c>
      <c r="G3313" t="s">
        <v>1566</v>
      </c>
      <c r="H3313" s="10">
        <v>45793</v>
      </c>
      <c r="I3313">
        <v>194426</v>
      </c>
      <c r="J3313">
        <v>0</v>
      </c>
      <c r="K3313">
        <v>194426</v>
      </c>
    </row>
    <row r="3314" spans="2:11" x14ac:dyDescent="0.35">
      <c r="B3314">
        <v>1400004570</v>
      </c>
      <c r="C3314" s="10">
        <v>46112</v>
      </c>
      <c r="D3314" t="s">
        <v>2037</v>
      </c>
      <c r="E3314" s="11" t="s">
        <v>2711</v>
      </c>
      <c r="F3314" t="s">
        <v>1674</v>
      </c>
      <c r="G3314" t="s">
        <v>1675</v>
      </c>
      <c r="H3314" s="10">
        <v>45793</v>
      </c>
      <c r="I3314">
        <v>22104.47</v>
      </c>
      <c r="J3314">
        <v>0</v>
      </c>
      <c r="K3314">
        <v>22104.47</v>
      </c>
    </row>
    <row r="3315" spans="2:11" x14ac:dyDescent="0.35">
      <c r="B3315">
        <v>1400004569</v>
      </c>
      <c r="C3315" s="10">
        <v>46112</v>
      </c>
      <c r="D3315" t="s">
        <v>2037</v>
      </c>
      <c r="E3315" s="11" t="s">
        <v>2712</v>
      </c>
      <c r="F3315" t="s">
        <v>1672</v>
      </c>
      <c r="G3315" t="s">
        <v>1673</v>
      </c>
      <c r="H3315" s="10">
        <v>45792</v>
      </c>
      <c r="I3315">
        <v>59813.01</v>
      </c>
      <c r="J3315">
        <v>0</v>
      </c>
      <c r="K3315">
        <v>59813.01</v>
      </c>
    </row>
    <row r="3316" spans="2:11" x14ac:dyDescent="0.35">
      <c r="B3316">
        <v>1400004568</v>
      </c>
      <c r="C3316" s="10">
        <v>46112</v>
      </c>
      <c r="D3316" t="s">
        <v>2037</v>
      </c>
      <c r="E3316" s="11" t="s">
        <v>2713</v>
      </c>
      <c r="F3316" t="s">
        <v>1676</v>
      </c>
      <c r="G3316" t="s">
        <v>1677</v>
      </c>
      <c r="H3316" s="10">
        <v>45792</v>
      </c>
      <c r="I3316">
        <v>105033.91</v>
      </c>
      <c r="J3316">
        <v>0</v>
      </c>
      <c r="K3316">
        <v>105033.91</v>
      </c>
    </row>
    <row r="3317" spans="2:11" x14ac:dyDescent="0.35">
      <c r="B3317">
        <v>9400000472</v>
      </c>
      <c r="C3317" s="10">
        <v>46112</v>
      </c>
      <c r="D3317" t="s">
        <v>2032</v>
      </c>
      <c r="E3317" s="11" t="s">
        <v>2714</v>
      </c>
      <c r="F3317" t="s">
        <v>1565</v>
      </c>
      <c r="G3317" t="s">
        <v>1566</v>
      </c>
      <c r="H3317" s="10">
        <v>45791</v>
      </c>
      <c r="I3317">
        <v>31.78</v>
      </c>
      <c r="J3317">
        <v>0</v>
      </c>
      <c r="K3317">
        <v>31.78</v>
      </c>
    </row>
    <row r="3318" spans="2:11" x14ac:dyDescent="0.35">
      <c r="B3318">
        <v>1800003968</v>
      </c>
      <c r="C3318" s="10">
        <v>46112</v>
      </c>
      <c r="D3318" t="s">
        <v>2052</v>
      </c>
      <c r="E3318" s="11" t="s">
        <v>2715</v>
      </c>
      <c r="F3318" t="s">
        <v>1619</v>
      </c>
      <c r="G3318" t="s">
        <v>1620</v>
      </c>
      <c r="H3318" s="10">
        <v>45836</v>
      </c>
      <c r="I3318">
        <v>6524.4</v>
      </c>
      <c r="J3318">
        <v>0</v>
      </c>
      <c r="K3318">
        <v>6524.4</v>
      </c>
    </row>
    <row r="3319" spans="2:11" x14ac:dyDescent="0.35">
      <c r="B3319">
        <v>9400000426</v>
      </c>
      <c r="C3319" s="10">
        <v>46112</v>
      </c>
      <c r="D3319" t="s">
        <v>2032</v>
      </c>
      <c r="E3319" s="11" t="s">
        <v>2716</v>
      </c>
      <c r="F3319" t="s">
        <v>1587</v>
      </c>
      <c r="G3319" t="s">
        <v>1588</v>
      </c>
      <c r="H3319" s="10">
        <v>45787</v>
      </c>
      <c r="I3319">
        <v>30.5</v>
      </c>
      <c r="J3319">
        <v>0</v>
      </c>
      <c r="K3319">
        <v>30.5</v>
      </c>
    </row>
    <row r="3320" spans="2:11" x14ac:dyDescent="0.35">
      <c r="B3320">
        <v>1800002540</v>
      </c>
      <c r="C3320" s="10">
        <v>46112</v>
      </c>
      <c r="D3320" t="s">
        <v>2052</v>
      </c>
      <c r="E3320" s="11" t="s">
        <v>2717</v>
      </c>
      <c r="F3320" t="s">
        <v>1563</v>
      </c>
      <c r="G3320" t="s">
        <v>1564</v>
      </c>
      <c r="H3320" s="10">
        <v>45831</v>
      </c>
      <c r="I3320">
        <v>19024.46</v>
      </c>
      <c r="J3320">
        <v>0</v>
      </c>
      <c r="K3320">
        <v>19024.46</v>
      </c>
    </row>
    <row r="3321" spans="2:11" x14ac:dyDescent="0.35">
      <c r="B3321">
        <v>1400004566</v>
      </c>
      <c r="C3321" s="10">
        <v>46112</v>
      </c>
      <c r="D3321" t="s">
        <v>2037</v>
      </c>
      <c r="E3321" s="11" t="s">
        <v>2718</v>
      </c>
      <c r="F3321" t="s">
        <v>1565</v>
      </c>
      <c r="G3321" t="s">
        <v>1566</v>
      </c>
      <c r="H3321" s="10">
        <v>45785</v>
      </c>
      <c r="I3321">
        <v>313423.78999999998</v>
      </c>
      <c r="J3321">
        <v>10500</v>
      </c>
      <c r="K3321">
        <v>302923.78999999998</v>
      </c>
    </row>
    <row r="3322" spans="2:11" x14ac:dyDescent="0.35">
      <c r="B3322">
        <v>100000305</v>
      </c>
      <c r="C3322" s="10">
        <v>46112</v>
      </c>
      <c r="D3322" t="s">
        <v>2034</v>
      </c>
      <c r="E3322" s="11" t="s">
        <v>2719</v>
      </c>
      <c r="F3322" t="s">
        <v>1575</v>
      </c>
      <c r="G3322" t="s">
        <v>1576</v>
      </c>
      <c r="H3322" s="10">
        <v>45784</v>
      </c>
      <c r="I3322">
        <v>40000</v>
      </c>
      <c r="J3322">
        <v>0</v>
      </c>
      <c r="K3322">
        <v>40000</v>
      </c>
    </row>
    <row r="3323" spans="2:11" x14ac:dyDescent="0.35">
      <c r="B3323">
        <v>100000304</v>
      </c>
      <c r="C3323" s="10">
        <v>46112</v>
      </c>
      <c r="D3323" t="s">
        <v>2034</v>
      </c>
      <c r="E3323" s="11" t="s">
        <v>2719</v>
      </c>
      <c r="F3323" t="s">
        <v>1577</v>
      </c>
      <c r="G3323" t="s">
        <v>1578</v>
      </c>
      <c r="H3323" s="10">
        <v>45784</v>
      </c>
      <c r="I3323">
        <v>30000</v>
      </c>
      <c r="J3323">
        <v>0</v>
      </c>
      <c r="K3323">
        <v>30000</v>
      </c>
    </row>
    <row r="3324" spans="2:11" x14ac:dyDescent="0.35">
      <c r="B3324">
        <v>100000303</v>
      </c>
      <c r="C3324" s="10">
        <v>46112</v>
      </c>
      <c r="D3324" t="s">
        <v>2034</v>
      </c>
      <c r="E3324" s="11" t="s">
        <v>2719</v>
      </c>
      <c r="F3324" t="s">
        <v>1658</v>
      </c>
      <c r="G3324" t="s">
        <v>1659</v>
      </c>
      <c r="H3324" s="10">
        <v>45784</v>
      </c>
      <c r="I3324">
        <v>40000</v>
      </c>
      <c r="J3324">
        <v>0</v>
      </c>
      <c r="K3324">
        <v>40000</v>
      </c>
    </row>
    <row r="3325" spans="2:11" x14ac:dyDescent="0.35">
      <c r="B3325">
        <v>1800003162</v>
      </c>
      <c r="C3325" s="10">
        <v>46112</v>
      </c>
      <c r="D3325" t="s">
        <v>2052</v>
      </c>
      <c r="E3325" s="11" t="s">
        <v>2720</v>
      </c>
      <c r="F3325" t="s">
        <v>1439</v>
      </c>
      <c r="G3325" t="s">
        <v>1440</v>
      </c>
      <c r="H3325" s="10">
        <v>45822</v>
      </c>
      <c r="I3325">
        <v>80072.160000000003</v>
      </c>
      <c r="J3325">
        <v>0</v>
      </c>
      <c r="K3325">
        <v>80072.160000000003</v>
      </c>
    </row>
    <row r="3326" spans="2:11" x14ac:dyDescent="0.35">
      <c r="B3326">
        <v>1800003161</v>
      </c>
      <c r="C3326" s="10">
        <v>46112</v>
      </c>
      <c r="D3326" t="s">
        <v>2052</v>
      </c>
      <c r="E3326" s="11" t="s">
        <v>2721</v>
      </c>
      <c r="F3326" t="s">
        <v>1579</v>
      </c>
      <c r="G3326" t="s">
        <v>1580</v>
      </c>
      <c r="H3326" s="10">
        <v>45847</v>
      </c>
      <c r="I3326">
        <v>208002.6</v>
      </c>
      <c r="J3326">
        <v>10000</v>
      </c>
      <c r="K3326">
        <v>198002.6</v>
      </c>
    </row>
    <row r="3327" spans="2:11" x14ac:dyDescent="0.35">
      <c r="B3327">
        <v>1800003159</v>
      </c>
      <c r="C3327" s="10">
        <v>46112</v>
      </c>
      <c r="D3327" t="s">
        <v>2052</v>
      </c>
      <c r="E3327" s="11" t="s">
        <v>2722</v>
      </c>
      <c r="F3327" t="s">
        <v>1668</v>
      </c>
      <c r="G3327" t="s">
        <v>1669</v>
      </c>
      <c r="H3327" s="10">
        <v>45822</v>
      </c>
      <c r="I3327">
        <v>356860.58</v>
      </c>
      <c r="J3327">
        <v>233318.28</v>
      </c>
      <c r="K3327">
        <v>123542.30000000002</v>
      </c>
    </row>
    <row r="3328" spans="2:11" x14ac:dyDescent="0.35">
      <c r="B3328">
        <v>1800002538</v>
      </c>
      <c r="C3328" s="10">
        <v>46112</v>
      </c>
      <c r="D3328" t="s">
        <v>2052</v>
      </c>
      <c r="E3328" s="11" t="s">
        <v>2723</v>
      </c>
      <c r="F3328" t="s">
        <v>1563</v>
      </c>
      <c r="G3328" t="s">
        <v>1564</v>
      </c>
      <c r="H3328" s="10">
        <v>45822</v>
      </c>
      <c r="I3328">
        <v>38389.18</v>
      </c>
      <c r="J3328">
        <v>0</v>
      </c>
      <c r="K3328">
        <v>38389.18</v>
      </c>
    </row>
    <row r="3329" spans="2:11" x14ac:dyDescent="0.35">
      <c r="B3329">
        <v>1800002032</v>
      </c>
      <c r="C3329" s="10">
        <v>46112</v>
      </c>
      <c r="D3329" t="s">
        <v>2052</v>
      </c>
      <c r="E3329" s="11" t="s">
        <v>2724</v>
      </c>
      <c r="F3329" t="s">
        <v>1559</v>
      </c>
      <c r="G3329" t="s">
        <v>1560</v>
      </c>
      <c r="H3329" s="10">
        <v>45822</v>
      </c>
      <c r="I3329">
        <v>46844.09</v>
      </c>
      <c r="J3329">
        <v>0</v>
      </c>
      <c r="K3329">
        <v>46844.09</v>
      </c>
    </row>
    <row r="3330" spans="2:11" x14ac:dyDescent="0.35">
      <c r="B3330">
        <v>1800001563</v>
      </c>
      <c r="C3330" s="10">
        <v>46112</v>
      </c>
      <c r="D3330" t="s">
        <v>2052</v>
      </c>
      <c r="E3330" s="11" t="s">
        <v>2725</v>
      </c>
      <c r="F3330" t="s">
        <v>1567</v>
      </c>
      <c r="G3330" t="s">
        <v>1568</v>
      </c>
      <c r="H3330" s="10">
        <v>45822</v>
      </c>
      <c r="I3330">
        <v>79039.92</v>
      </c>
      <c r="J3330">
        <v>0</v>
      </c>
      <c r="K3330">
        <v>79039.92</v>
      </c>
    </row>
    <row r="3331" spans="2:11" x14ac:dyDescent="0.35">
      <c r="B3331">
        <v>1400004564</v>
      </c>
      <c r="C3331" s="10">
        <v>46112</v>
      </c>
      <c r="D3331" t="s">
        <v>2037</v>
      </c>
      <c r="E3331" s="11" t="s">
        <v>2726</v>
      </c>
      <c r="F3331" t="s">
        <v>1680</v>
      </c>
      <c r="G3331" t="s">
        <v>1681</v>
      </c>
      <c r="H3331" s="10">
        <v>45777</v>
      </c>
      <c r="I3331">
        <v>59</v>
      </c>
      <c r="J3331">
        <v>0</v>
      </c>
      <c r="K3331">
        <v>59</v>
      </c>
    </row>
    <row r="3332" spans="2:11" x14ac:dyDescent="0.35">
      <c r="B3332">
        <v>1800002537</v>
      </c>
      <c r="C3332" s="10">
        <v>46112</v>
      </c>
      <c r="D3332" t="s">
        <v>2052</v>
      </c>
      <c r="E3332" s="11" t="s">
        <v>2727</v>
      </c>
      <c r="F3332" t="s">
        <v>1563</v>
      </c>
      <c r="G3332" t="s">
        <v>1564</v>
      </c>
      <c r="H3332" s="10">
        <v>45821</v>
      </c>
      <c r="I3332">
        <v>164609.22</v>
      </c>
      <c r="J3332">
        <v>0</v>
      </c>
      <c r="K3332">
        <v>164609.22</v>
      </c>
    </row>
    <row r="3333" spans="2:11" x14ac:dyDescent="0.35">
      <c r="B3333">
        <v>1400004563</v>
      </c>
      <c r="C3333" s="10">
        <v>46112</v>
      </c>
      <c r="D3333" t="s">
        <v>2037</v>
      </c>
      <c r="E3333" s="11" t="s">
        <v>2728</v>
      </c>
      <c r="F3333" t="s">
        <v>1680</v>
      </c>
      <c r="G3333" t="s">
        <v>1681</v>
      </c>
      <c r="H3333" s="10">
        <v>45776</v>
      </c>
      <c r="I3333">
        <v>373539.15</v>
      </c>
      <c r="J3333">
        <v>0</v>
      </c>
      <c r="K3333">
        <v>373539.15</v>
      </c>
    </row>
    <row r="3334" spans="2:11" x14ac:dyDescent="0.35">
      <c r="B3334">
        <v>1400004538</v>
      </c>
      <c r="C3334" s="10">
        <v>46112</v>
      </c>
      <c r="D3334" t="s">
        <v>2037</v>
      </c>
      <c r="E3334" s="11" t="s">
        <v>2729</v>
      </c>
      <c r="F3334" t="s">
        <v>1682</v>
      </c>
      <c r="G3334" t="s">
        <v>1683</v>
      </c>
      <c r="H3334" s="10">
        <v>45776</v>
      </c>
      <c r="I3334">
        <v>5976</v>
      </c>
      <c r="J3334">
        <v>0</v>
      </c>
      <c r="K3334">
        <v>5976</v>
      </c>
    </row>
    <row r="3335" spans="2:11" x14ac:dyDescent="0.35">
      <c r="B3335">
        <v>1800003966</v>
      </c>
      <c r="C3335" s="10">
        <v>46112</v>
      </c>
      <c r="D3335" t="s">
        <v>2052</v>
      </c>
      <c r="E3335" s="11" t="s">
        <v>2730</v>
      </c>
      <c r="F3335" t="s">
        <v>1523</v>
      </c>
      <c r="G3335" t="s">
        <v>1524</v>
      </c>
      <c r="H3335" s="10">
        <v>45820</v>
      </c>
      <c r="I3335">
        <v>24226.11</v>
      </c>
      <c r="J3335">
        <v>0</v>
      </c>
      <c r="K3335">
        <v>24226.11</v>
      </c>
    </row>
    <row r="3336" spans="2:11" x14ac:dyDescent="0.35">
      <c r="B3336">
        <v>1400004562</v>
      </c>
      <c r="C3336" s="10">
        <v>46112</v>
      </c>
      <c r="D3336" t="s">
        <v>2037</v>
      </c>
      <c r="E3336" s="11" t="s">
        <v>2731</v>
      </c>
      <c r="F3336" t="s">
        <v>1561</v>
      </c>
      <c r="G3336" t="s">
        <v>1562</v>
      </c>
      <c r="H3336" s="10">
        <v>45775</v>
      </c>
      <c r="I3336">
        <v>59</v>
      </c>
      <c r="J3336">
        <v>0</v>
      </c>
      <c r="K3336">
        <v>59</v>
      </c>
    </row>
    <row r="3337" spans="2:11" x14ac:dyDescent="0.35">
      <c r="B3337">
        <v>1400004561</v>
      </c>
      <c r="C3337" s="10">
        <v>46112</v>
      </c>
      <c r="D3337" t="s">
        <v>2037</v>
      </c>
      <c r="E3337" s="11" t="s">
        <v>2732</v>
      </c>
      <c r="F3337" t="s">
        <v>1684</v>
      </c>
      <c r="G3337" t="s">
        <v>1685</v>
      </c>
      <c r="H3337" s="10">
        <v>45775</v>
      </c>
      <c r="I3337">
        <v>59</v>
      </c>
      <c r="J3337">
        <v>0</v>
      </c>
      <c r="K3337">
        <v>59</v>
      </c>
    </row>
    <row r="3338" spans="2:11" x14ac:dyDescent="0.35">
      <c r="B3338">
        <v>1400004559</v>
      </c>
      <c r="C3338" s="10">
        <v>46112</v>
      </c>
      <c r="D3338" t="s">
        <v>2037</v>
      </c>
      <c r="E3338" s="11" t="s">
        <v>2733</v>
      </c>
      <c r="F3338" t="s">
        <v>1658</v>
      </c>
      <c r="G3338" t="s">
        <v>1659</v>
      </c>
      <c r="H3338" s="10">
        <v>45775</v>
      </c>
      <c r="I3338">
        <v>59</v>
      </c>
      <c r="J3338">
        <v>0</v>
      </c>
      <c r="K3338">
        <v>59</v>
      </c>
    </row>
    <row r="3339" spans="2:11" x14ac:dyDescent="0.35">
      <c r="B3339">
        <v>1400004558</v>
      </c>
      <c r="C3339" s="10">
        <v>46112</v>
      </c>
      <c r="D3339" t="s">
        <v>2037</v>
      </c>
      <c r="E3339" s="11" t="s">
        <v>2734</v>
      </c>
      <c r="F3339" t="s">
        <v>1686</v>
      </c>
      <c r="G3339" t="s">
        <v>1687</v>
      </c>
      <c r="H3339" s="10">
        <v>45775</v>
      </c>
      <c r="I3339">
        <v>59</v>
      </c>
      <c r="J3339">
        <v>0</v>
      </c>
      <c r="K3339">
        <v>59</v>
      </c>
    </row>
    <row r="3340" spans="2:11" x14ac:dyDescent="0.35">
      <c r="B3340">
        <v>1400004557</v>
      </c>
      <c r="C3340" s="10">
        <v>46112</v>
      </c>
      <c r="D3340" t="s">
        <v>2037</v>
      </c>
      <c r="E3340" s="11" t="s">
        <v>2735</v>
      </c>
      <c r="F3340" t="s">
        <v>1688</v>
      </c>
      <c r="G3340" t="s">
        <v>1689</v>
      </c>
      <c r="H3340" s="10">
        <v>45775</v>
      </c>
      <c r="I3340">
        <v>59</v>
      </c>
      <c r="J3340">
        <v>0</v>
      </c>
      <c r="K3340">
        <v>59</v>
      </c>
    </row>
    <row r="3341" spans="2:11" x14ac:dyDescent="0.35">
      <c r="B3341">
        <v>1400004556</v>
      </c>
      <c r="C3341" s="10">
        <v>46112</v>
      </c>
      <c r="D3341" t="s">
        <v>2037</v>
      </c>
      <c r="E3341" s="11" t="s">
        <v>2736</v>
      </c>
      <c r="F3341" t="s">
        <v>1690</v>
      </c>
      <c r="G3341" t="s">
        <v>1691</v>
      </c>
      <c r="H3341" s="10">
        <v>45775</v>
      </c>
      <c r="I3341">
        <v>59</v>
      </c>
      <c r="J3341">
        <v>0</v>
      </c>
      <c r="K3341">
        <v>59</v>
      </c>
    </row>
    <row r="3342" spans="2:11" x14ac:dyDescent="0.35">
      <c r="B3342">
        <v>1400004555</v>
      </c>
      <c r="C3342" s="10">
        <v>46112</v>
      </c>
      <c r="D3342" t="s">
        <v>2037</v>
      </c>
      <c r="E3342" s="11" t="s">
        <v>2737</v>
      </c>
      <c r="F3342" t="s">
        <v>1692</v>
      </c>
      <c r="G3342" t="s">
        <v>1693</v>
      </c>
      <c r="H3342" s="10">
        <v>45775</v>
      </c>
      <c r="I3342">
        <v>0.17</v>
      </c>
      <c r="J3342">
        <v>0</v>
      </c>
      <c r="K3342">
        <v>0.17</v>
      </c>
    </row>
    <row r="3343" spans="2:11" x14ac:dyDescent="0.35">
      <c r="B3343">
        <v>1400004554</v>
      </c>
      <c r="C3343" s="10">
        <v>46112</v>
      </c>
      <c r="D3343" t="s">
        <v>2037</v>
      </c>
      <c r="E3343" s="11" t="s">
        <v>2738</v>
      </c>
      <c r="F3343" t="s">
        <v>1587</v>
      </c>
      <c r="G3343" t="s">
        <v>1588</v>
      </c>
      <c r="H3343" s="10">
        <v>45774</v>
      </c>
      <c r="I3343">
        <v>59</v>
      </c>
      <c r="J3343">
        <v>0</v>
      </c>
      <c r="K3343">
        <v>59</v>
      </c>
    </row>
    <row r="3344" spans="2:11" x14ac:dyDescent="0.35">
      <c r="B3344">
        <v>1400004553</v>
      </c>
      <c r="C3344" s="10">
        <v>46112</v>
      </c>
      <c r="D3344" t="s">
        <v>2037</v>
      </c>
      <c r="E3344" s="11" t="s">
        <v>2739</v>
      </c>
      <c r="F3344" t="s">
        <v>1694</v>
      </c>
      <c r="G3344" t="s">
        <v>1695</v>
      </c>
      <c r="H3344" s="10">
        <v>45774</v>
      </c>
      <c r="I3344">
        <v>59</v>
      </c>
      <c r="J3344">
        <v>0</v>
      </c>
      <c r="K3344">
        <v>59</v>
      </c>
    </row>
    <row r="3345" spans="2:11" x14ac:dyDescent="0.35">
      <c r="B3345">
        <v>1400004552</v>
      </c>
      <c r="C3345" s="10">
        <v>46112</v>
      </c>
      <c r="D3345" t="s">
        <v>2037</v>
      </c>
      <c r="E3345" s="11" t="s">
        <v>2740</v>
      </c>
      <c r="F3345" t="s">
        <v>1696</v>
      </c>
      <c r="G3345" t="s">
        <v>1697</v>
      </c>
      <c r="H3345" s="10">
        <v>45774</v>
      </c>
      <c r="I3345">
        <v>0.1</v>
      </c>
      <c r="J3345">
        <v>0</v>
      </c>
      <c r="K3345">
        <v>0.1</v>
      </c>
    </row>
    <row r="3346" spans="2:11" x14ac:dyDescent="0.35">
      <c r="B3346">
        <v>9400000470</v>
      </c>
      <c r="C3346" s="10">
        <v>46112</v>
      </c>
      <c r="D3346" t="s">
        <v>2032</v>
      </c>
      <c r="E3346" s="11" t="s">
        <v>2741</v>
      </c>
      <c r="F3346" t="s">
        <v>1642</v>
      </c>
      <c r="G3346" t="s">
        <v>1643</v>
      </c>
      <c r="H3346" s="10">
        <v>45773</v>
      </c>
      <c r="I3346">
        <v>61.35</v>
      </c>
      <c r="J3346">
        <v>0</v>
      </c>
      <c r="K3346">
        <v>61.35</v>
      </c>
    </row>
    <row r="3347" spans="2:11" x14ac:dyDescent="0.35">
      <c r="B3347">
        <v>1800003965</v>
      </c>
      <c r="C3347" s="10">
        <v>46112</v>
      </c>
      <c r="D3347" t="s">
        <v>2052</v>
      </c>
      <c r="E3347" s="11" t="s">
        <v>2742</v>
      </c>
      <c r="F3347" t="s">
        <v>1599</v>
      </c>
      <c r="G3347" t="s">
        <v>1600</v>
      </c>
      <c r="H3347" s="10">
        <v>45817</v>
      </c>
      <c r="I3347">
        <v>52291.11</v>
      </c>
      <c r="J3347">
        <v>0</v>
      </c>
      <c r="K3347">
        <v>52291.11</v>
      </c>
    </row>
    <row r="3348" spans="2:11" x14ac:dyDescent="0.35">
      <c r="B3348">
        <v>1800003964</v>
      </c>
      <c r="C3348" s="10">
        <v>46112</v>
      </c>
      <c r="D3348" t="s">
        <v>2052</v>
      </c>
      <c r="E3348" s="11" t="s">
        <v>2743</v>
      </c>
      <c r="F3348" t="s">
        <v>1599</v>
      </c>
      <c r="G3348" t="s">
        <v>1600</v>
      </c>
      <c r="H3348" s="10">
        <v>45802</v>
      </c>
      <c r="I3348">
        <v>19052.75</v>
      </c>
      <c r="J3348">
        <v>0</v>
      </c>
      <c r="K3348">
        <v>19052.75</v>
      </c>
    </row>
    <row r="3349" spans="2:11" x14ac:dyDescent="0.35">
      <c r="B3349">
        <v>1400004551</v>
      </c>
      <c r="C3349" s="10">
        <v>46112</v>
      </c>
      <c r="D3349" t="s">
        <v>2037</v>
      </c>
      <c r="E3349" s="11" t="s">
        <v>2744</v>
      </c>
      <c r="F3349" t="s">
        <v>1561</v>
      </c>
      <c r="G3349" t="s">
        <v>1562</v>
      </c>
      <c r="H3349" s="10">
        <v>45772</v>
      </c>
      <c r="I3349">
        <v>17384.38</v>
      </c>
      <c r="J3349">
        <v>0</v>
      </c>
      <c r="K3349">
        <v>17384.38</v>
      </c>
    </row>
    <row r="3350" spans="2:11" x14ac:dyDescent="0.35">
      <c r="B3350">
        <v>1400004550</v>
      </c>
      <c r="C3350" s="10">
        <v>46112</v>
      </c>
      <c r="D3350" t="s">
        <v>2037</v>
      </c>
      <c r="E3350" s="11" t="s">
        <v>2745</v>
      </c>
      <c r="F3350" t="s">
        <v>1698</v>
      </c>
      <c r="G3350" t="s">
        <v>1699</v>
      </c>
      <c r="H3350" s="10">
        <v>45771</v>
      </c>
      <c r="I3350">
        <v>57840.52</v>
      </c>
      <c r="J3350">
        <v>0</v>
      </c>
      <c r="K3350">
        <v>57840.52</v>
      </c>
    </row>
    <row r="3351" spans="2:11" x14ac:dyDescent="0.35">
      <c r="B3351">
        <v>1800003963</v>
      </c>
      <c r="C3351" s="10">
        <v>46112</v>
      </c>
      <c r="D3351" t="s">
        <v>2052</v>
      </c>
      <c r="E3351" s="11" t="s">
        <v>2746</v>
      </c>
      <c r="F3351" t="s">
        <v>1523</v>
      </c>
      <c r="G3351" t="s">
        <v>1524</v>
      </c>
      <c r="H3351" s="10">
        <v>45815</v>
      </c>
      <c r="I3351">
        <v>18877.64</v>
      </c>
      <c r="J3351">
        <v>0</v>
      </c>
      <c r="K3351">
        <v>18877.64</v>
      </c>
    </row>
    <row r="3352" spans="2:11" x14ac:dyDescent="0.35">
      <c r="B3352">
        <v>1400004549</v>
      </c>
      <c r="C3352" s="10">
        <v>46112</v>
      </c>
      <c r="D3352" t="s">
        <v>2037</v>
      </c>
      <c r="E3352" s="11" t="s">
        <v>2747</v>
      </c>
      <c r="F3352" t="s">
        <v>1684</v>
      </c>
      <c r="G3352" t="s">
        <v>1685</v>
      </c>
      <c r="H3352" s="10">
        <v>45767</v>
      </c>
      <c r="I3352">
        <v>2579.4</v>
      </c>
      <c r="J3352">
        <v>0</v>
      </c>
      <c r="K3352">
        <v>2579.4</v>
      </c>
    </row>
    <row r="3353" spans="2:11" x14ac:dyDescent="0.35">
      <c r="B3353">
        <v>9400000328</v>
      </c>
      <c r="C3353" s="10">
        <v>46112</v>
      </c>
      <c r="D3353" t="s">
        <v>2032</v>
      </c>
      <c r="E3353" s="11" t="s">
        <v>2748</v>
      </c>
      <c r="F3353" t="s">
        <v>1700</v>
      </c>
      <c r="G3353" t="s">
        <v>1701</v>
      </c>
      <c r="H3353" s="10">
        <v>45766</v>
      </c>
      <c r="I3353">
        <v>58.73</v>
      </c>
      <c r="J3353">
        <v>0</v>
      </c>
      <c r="K3353">
        <v>58.73</v>
      </c>
    </row>
    <row r="3354" spans="2:11" x14ac:dyDescent="0.35">
      <c r="B3354">
        <v>1400004547</v>
      </c>
      <c r="C3354" s="10">
        <v>46112</v>
      </c>
      <c r="D3354" t="s">
        <v>2037</v>
      </c>
      <c r="E3354" s="11" t="s">
        <v>2749</v>
      </c>
      <c r="F3354" t="s">
        <v>1658</v>
      </c>
      <c r="G3354" t="s">
        <v>1659</v>
      </c>
      <c r="H3354" s="10">
        <v>45766</v>
      </c>
      <c r="I3354">
        <v>376847.15</v>
      </c>
      <c r="J3354">
        <v>0</v>
      </c>
      <c r="K3354">
        <v>376847.15</v>
      </c>
    </row>
    <row r="3355" spans="2:11" x14ac:dyDescent="0.35">
      <c r="B3355">
        <v>1400004546</v>
      </c>
      <c r="C3355" s="10">
        <v>46112</v>
      </c>
      <c r="D3355" t="s">
        <v>2037</v>
      </c>
      <c r="E3355" s="11" t="s">
        <v>2750</v>
      </c>
      <c r="F3355" t="s">
        <v>1686</v>
      </c>
      <c r="G3355" t="s">
        <v>1687</v>
      </c>
      <c r="H3355" s="10">
        <v>45765</v>
      </c>
      <c r="I3355">
        <v>149620</v>
      </c>
      <c r="J3355">
        <v>0</v>
      </c>
      <c r="K3355">
        <v>149620</v>
      </c>
    </row>
    <row r="3356" spans="2:11" x14ac:dyDescent="0.35">
      <c r="B3356">
        <v>1400004545</v>
      </c>
      <c r="C3356" s="10">
        <v>46112</v>
      </c>
      <c r="D3356" t="s">
        <v>2037</v>
      </c>
      <c r="E3356" s="11" t="s">
        <v>2751</v>
      </c>
      <c r="F3356" t="s">
        <v>1688</v>
      </c>
      <c r="G3356" t="s">
        <v>1689</v>
      </c>
      <c r="H3356" s="10">
        <v>45765</v>
      </c>
      <c r="I3356">
        <v>226475.32</v>
      </c>
      <c r="J3356">
        <v>0</v>
      </c>
      <c r="K3356">
        <v>226475.32</v>
      </c>
    </row>
    <row r="3357" spans="2:11" x14ac:dyDescent="0.35">
      <c r="B3357">
        <v>1400004544</v>
      </c>
      <c r="C3357" s="10">
        <v>46112</v>
      </c>
      <c r="D3357" t="s">
        <v>2037</v>
      </c>
      <c r="E3357" s="11" t="s">
        <v>2752</v>
      </c>
      <c r="F3357" t="s">
        <v>1690</v>
      </c>
      <c r="G3357" t="s">
        <v>1691</v>
      </c>
      <c r="H3357" s="10">
        <v>45765</v>
      </c>
      <c r="I3357">
        <v>190000</v>
      </c>
      <c r="J3357">
        <v>0</v>
      </c>
      <c r="K3357">
        <v>190000</v>
      </c>
    </row>
    <row r="3358" spans="2:11" x14ac:dyDescent="0.35">
      <c r="B3358">
        <v>1400004537</v>
      </c>
      <c r="C3358" s="10">
        <v>46112</v>
      </c>
      <c r="D3358" t="s">
        <v>2037</v>
      </c>
      <c r="E3358" s="11" t="s">
        <v>2753</v>
      </c>
      <c r="F3358" t="s">
        <v>1702</v>
      </c>
      <c r="G3358" t="s">
        <v>1703</v>
      </c>
      <c r="H3358" s="10">
        <v>45764</v>
      </c>
      <c r="I3358">
        <v>10.43</v>
      </c>
      <c r="J3358">
        <v>0</v>
      </c>
      <c r="K3358">
        <v>10.43</v>
      </c>
    </row>
    <row r="3359" spans="2:11" x14ac:dyDescent="0.35">
      <c r="B3359">
        <v>1800003155</v>
      </c>
      <c r="C3359" s="10">
        <v>46112</v>
      </c>
      <c r="D3359" t="s">
        <v>2052</v>
      </c>
      <c r="E3359" s="11" t="s">
        <v>2754</v>
      </c>
      <c r="F3359" t="s">
        <v>1571</v>
      </c>
      <c r="G3359" t="s">
        <v>1572</v>
      </c>
      <c r="H3359" s="10">
        <v>45801</v>
      </c>
      <c r="I3359">
        <v>30668.2</v>
      </c>
      <c r="J3359">
        <v>0</v>
      </c>
      <c r="K3359">
        <v>30668.2</v>
      </c>
    </row>
    <row r="3360" spans="2:11" x14ac:dyDescent="0.35">
      <c r="B3360">
        <v>1800003961</v>
      </c>
      <c r="C3360" s="10">
        <v>46112</v>
      </c>
      <c r="D3360" t="s">
        <v>2052</v>
      </c>
      <c r="E3360" s="11" t="s">
        <v>2755</v>
      </c>
      <c r="F3360" t="s">
        <v>1704</v>
      </c>
      <c r="G3360" t="s">
        <v>1705</v>
      </c>
      <c r="H3360" s="10">
        <v>45792</v>
      </c>
      <c r="I3360">
        <v>0.74</v>
      </c>
      <c r="J3360">
        <v>0</v>
      </c>
      <c r="K3360">
        <v>0.74</v>
      </c>
    </row>
    <row r="3361" spans="2:11" x14ac:dyDescent="0.35">
      <c r="B3361">
        <v>1800003153</v>
      </c>
      <c r="C3361" s="10">
        <v>46112</v>
      </c>
      <c r="D3361" t="s">
        <v>2052</v>
      </c>
      <c r="E3361" s="11" t="s">
        <v>2756</v>
      </c>
      <c r="F3361" t="s">
        <v>1581</v>
      </c>
      <c r="G3361" t="s">
        <v>1582</v>
      </c>
      <c r="H3361" s="10">
        <v>45792</v>
      </c>
      <c r="I3361">
        <v>8598.07</v>
      </c>
      <c r="J3361">
        <v>5596.47</v>
      </c>
      <c r="K3361">
        <v>3001.5999999999995</v>
      </c>
    </row>
    <row r="3362" spans="2:11" x14ac:dyDescent="0.35">
      <c r="B3362">
        <v>1400003979</v>
      </c>
      <c r="C3362" s="10">
        <v>46112</v>
      </c>
      <c r="D3362" t="s">
        <v>2037</v>
      </c>
      <c r="E3362" s="11" t="s">
        <v>2757</v>
      </c>
      <c r="F3362" t="s">
        <v>1587</v>
      </c>
      <c r="G3362" t="s">
        <v>1588</v>
      </c>
      <c r="H3362" s="10">
        <v>45747</v>
      </c>
      <c r="I3362">
        <v>401552</v>
      </c>
      <c r="J3362">
        <v>0</v>
      </c>
      <c r="K3362">
        <v>401552</v>
      </c>
    </row>
    <row r="3363" spans="2:11" x14ac:dyDescent="0.35">
      <c r="B3363">
        <v>100001315</v>
      </c>
      <c r="C3363" s="10">
        <v>46112</v>
      </c>
      <c r="D3363" t="s">
        <v>2034</v>
      </c>
      <c r="E3363" s="11" t="s">
        <v>2758</v>
      </c>
      <c r="F3363" t="s">
        <v>1706</v>
      </c>
      <c r="G3363" t="s">
        <v>1707</v>
      </c>
      <c r="H3363" s="10">
        <v>45747</v>
      </c>
      <c r="I3363">
        <v>2551.3200000000002</v>
      </c>
      <c r="J3363">
        <v>0</v>
      </c>
      <c r="K3363">
        <v>2551.3200000000002</v>
      </c>
    </row>
    <row r="3364" spans="2:11" x14ac:dyDescent="0.35">
      <c r="B3364">
        <v>100001314</v>
      </c>
      <c r="C3364" s="10">
        <v>46112</v>
      </c>
      <c r="D3364" t="s">
        <v>2034</v>
      </c>
      <c r="E3364" s="11" t="s">
        <v>2758</v>
      </c>
      <c r="F3364" t="s">
        <v>1708</v>
      </c>
      <c r="G3364" t="s">
        <v>1709</v>
      </c>
      <c r="H3364" s="10">
        <v>45747</v>
      </c>
      <c r="I3364">
        <v>480.25</v>
      </c>
      <c r="J3364">
        <v>0</v>
      </c>
      <c r="K3364">
        <v>480.25</v>
      </c>
    </row>
    <row r="3365" spans="2:11" x14ac:dyDescent="0.35">
      <c r="B3365">
        <v>100001313</v>
      </c>
      <c r="C3365" s="10">
        <v>46112</v>
      </c>
      <c r="D3365" t="s">
        <v>2034</v>
      </c>
      <c r="E3365" s="11" t="s">
        <v>2758</v>
      </c>
      <c r="F3365" t="s">
        <v>1710</v>
      </c>
      <c r="G3365" t="s">
        <v>1711</v>
      </c>
      <c r="H3365" s="10">
        <v>45747</v>
      </c>
      <c r="I3365">
        <v>3967.34</v>
      </c>
      <c r="J3365">
        <v>0</v>
      </c>
      <c r="K3365">
        <v>3967.34</v>
      </c>
    </row>
    <row r="3366" spans="2:11" x14ac:dyDescent="0.35">
      <c r="B3366">
        <v>100001312</v>
      </c>
      <c r="C3366" s="10">
        <v>46112</v>
      </c>
      <c r="D3366" t="s">
        <v>2034</v>
      </c>
      <c r="E3366" s="11" t="s">
        <v>2759</v>
      </c>
      <c r="F3366" t="s">
        <v>1712</v>
      </c>
      <c r="G3366" t="s">
        <v>1713</v>
      </c>
      <c r="H3366" s="10">
        <v>45747</v>
      </c>
      <c r="I3366">
        <v>0.11</v>
      </c>
      <c r="J3366">
        <v>0</v>
      </c>
      <c r="K3366">
        <v>0.11</v>
      </c>
    </row>
    <row r="3367" spans="2:11" x14ac:dyDescent="0.35">
      <c r="B3367">
        <v>100001311</v>
      </c>
      <c r="C3367" s="10">
        <v>46112</v>
      </c>
      <c r="D3367" t="s">
        <v>2034</v>
      </c>
      <c r="E3367" s="11" t="s">
        <v>2759</v>
      </c>
      <c r="F3367" t="s">
        <v>1714</v>
      </c>
      <c r="G3367" t="s">
        <v>1715</v>
      </c>
      <c r="H3367" s="10">
        <v>45747</v>
      </c>
      <c r="I3367">
        <v>0.23</v>
      </c>
      <c r="J3367">
        <v>0</v>
      </c>
      <c r="K3367">
        <v>0.23</v>
      </c>
    </row>
    <row r="3368" spans="2:11" x14ac:dyDescent="0.35">
      <c r="B3368">
        <v>100000264</v>
      </c>
      <c r="C3368" s="10">
        <v>46112</v>
      </c>
      <c r="D3368" t="s">
        <v>2034</v>
      </c>
      <c r="E3368" s="11" t="s">
        <v>2760</v>
      </c>
      <c r="F3368" t="s">
        <v>1587</v>
      </c>
      <c r="G3368" t="s">
        <v>1588</v>
      </c>
      <c r="H3368" s="10">
        <v>45747</v>
      </c>
      <c r="I3368">
        <v>205479</v>
      </c>
      <c r="J3368">
        <v>0</v>
      </c>
      <c r="K3368">
        <v>205479</v>
      </c>
    </row>
    <row r="3369" spans="2:11" x14ac:dyDescent="0.35">
      <c r="B3369">
        <v>100000263</v>
      </c>
      <c r="C3369" s="10">
        <v>46112</v>
      </c>
      <c r="D3369" t="s">
        <v>2034</v>
      </c>
      <c r="E3369" s="11" t="s">
        <v>2760</v>
      </c>
      <c r="F3369" t="s">
        <v>1589</v>
      </c>
      <c r="G3369" t="s">
        <v>1590</v>
      </c>
      <c r="H3369" s="10">
        <v>45747</v>
      </c>
      <c r="I3369">
        <v>104905.62</v>
      </c>
      <c r="J3369">
        <v>0</v>
      </c>
      <c r="K3369">
        <v>104905.62</v>
      </c>
    </row>
    <row r="3370" spans="2:11" x14ac:dyDescent="0.35">
      <c r="B3370">
        <v>100000262</v>
      </c>
      <c r="C3370" s="10">
        <v>46112</v>
      </c>
      <c r="D3370" t="s">
        <v>2034</v>
      </c>
      <c r="E3370" s="11" t="s">
        <v>2760</v>
      </c>
      <c r="F3370" t="s">
        <v>1716</v>
      </c>
      <c r="G3370" t="s">
        <v>1717</v>
      </c>
      <c r="H3370" s="10">
        <v>45747</v>
      </c>
      <c r="I3370">
        <v>371056.72</v>
      </c>
      <c r="J3370">
        <v>52104.160000000003</v>
      </c>
      <c r="K3370">
        <v>318952.55999999994</v>
      </c>
    </row>
    <row r="3371" spans="2:11" x14ac:dyDescent="0.35">
      <c r="B3371">
        <v>100000261</v>
      </c>
      <c r="C3371" s="10">
        <v>46112</v>
      </c>
      <c r="D3371" t="s">
        <v>2034</v>
      </c>
      <c r="E3371" s="11" t="s">
        <v>2760</v>
      </c>
      <c r="F3371" t="s">
        <v>1575</v>
      </c>
      <c r="G3371" t="s">
        <v>1576</v>
      </c>
      <c r="H3371" s="10">
        <v>45747</v>
      </c>
      <c r="I3371">
        <v>14588</v>
      </c>
      <c r="J3371">
        <v>0</v>
      </c>
      <c r="K3371">
        <v>14588</v>
      </c>
    </row>
    <row r="3372" spans="2:11" x14ac:dyDescent="0.35">
      <c r="B3372">
        <v>100000260</v>
      </c>
      <c r="C3372" s="10">
        <v>46112</v>
      </c>
      <c r="D3372" t="s">
        <v>2034</v>
      </c>
      <c r="E3372" s="11" t="s">
        <v>2760</v>
      </c>
      <c r="F3372" t="s">
        <v>1718</v>
      </c>
      <c r="G3372" t="s">
        <v>1719</v>
      </c>
      <c r="H3372" s="10">
        <v>45747</v>
      </c>
      <c r="I3372">
        <v>325611.09000000003</v>
      </c>
      <c r="J3372">
        <v>0</v>
      </c>
      <c r="K3372">
        <v>325611.09000000003</v>
      </c>
    </row>
    <row r="3373" spans="2:11" x14ac:dyDescent="0.35">
      <c r="B3373">
        <v>100000259</v>
      </c>
      <c r="C3373" s="10">
        <v>46112</v>
      </c>
      <c r="D3373" t="s">
        <v>2034</v>
      </c>
      <c r="E3373" s="11" t="s">
        <v>2760</v>
      </c>
      <c r="F3373" t="s">
        <v>1720</v>
      </c>
      <c r="G3373" t="s">
        <v>1721</v>
      </c>
      <c r="H3373" s="10">
        <v>45747</v>
      </c>
      <c r="I3373">
        <v>0.21</v>
      </c>
      <c r="J3373">
        <v>0</v>
      </c>
      <c r="K3373">
        <v>0.21</v>
      </c>
    </row>
    <row r="3374" spans="2:11" x14ac:dyDescent="0.35">
      <c r="B3374">
        <v>1800005985</v>
      </c>
      <c r="C3374" s="10">
        <v>46112</v>
      </c>
      <c r="D3374" t="s">
        <v>2052</v>
      </c>
      <c r="E3374" s="11" t="s">
        <v>2761</v>
      </c>
      <c r="F3374" t="s">
        <v>1561</v>
      </c>
      <c r="G3374" t="s">
        <v>1562</v>
      </c>
      <c r="H3374" s="10">
        <v>45790</v>
      </c>
      <c r="I3374">
        <v>3177.74</v>
      </c>
      <c r="J3374">
        <v>0</v>
      </c>
      <c r="K3374">
        <v>3177.74</v>
      </c>
    </row>
    <row r="3375" spans="2:11" x14ac:dyDescent="0.35">
      <c r="B3375">
        <v>1800005984</v>
      </c>
      <c r="C3375" s="10">
        <v>46112</v>
      </c>
      <c r="D3375" t="s">
        <v>2052</v>
      </c>
      <c r="E3375" s="11" t="s">
        <v>2762</v>
      </c>
      <c r="F3375" t="s">
        <v>1561</v>
      </c>
      <c r="G3375" t="s">
        <v>1562</v>
      </c>
      <c r="H3375" s="10">
        <v>45775</v>
      </c>
      <c r="I3375">
        <v>7281.64</v>
      </c>
      <c r="J3375">
        <v>0</v>
      </c>
      <c r="K3375">
        <v>7281.64</v>
      </c>
    </row>
    <row r="3376" spans="2:11" x14ac:dyDescent="0.35">
      <c r="B3376">
        <v>1800002533</v>
      </c>
      <c r="C3376" s="10">
        <v>46112</v>
      </c>
      <c r="D3376" t="s">
        <v>2052</v>
      </c>
      <c r="E3376" s="11" t="s">
        <v>2763</v>
      </c>
      <c r="F3376" t="s">
        <v>1642</v>
      </c>
      <c r="G3376" t="s">
        <v>1643</v>
      </c>
      <c r="H3376" s="10">
        <v>45815</v>
      </c>
      <c r="I3376">
        <v>90549.29</v>
      </c>
      <c r="J3376">
        <v>0</v>
      </c>
      <c r="K3376">
        <v>90549.29</v>
      </c>
    </row>
    <row r="3377" spans="2:11" x14ac:dyDescent="0.35">
      <c r="B3377">
        <v>1800004658</v>
      </c>
      <c r="C3377" s="10">
        <v>46112</v>
      </c>
      <c r="D3377" t="s">
        <v>2052</v>
      </c>
      <c r="E3377" s="11" t="s">
        <v>2764</v>
      </c>
      <c r="F3377" t="s">
        <v>1654</v>
      </c>
      <c r="G3377" t="s">
        <v>1655</v>
      </c>
      <c r="H3377" s="10">
        <v>45789</v>
      </c>
      <c r="I3377">
        <v>2774.46</v>
      </c>
      <c r="J3377">
        <v>0</v>
      </c>
      <c r="K3377">
        <v>2774.46</v>
      </c>
    </row>
    <row r="3378" spans="2:11" x14ac:dyDescent="0.35">
      <c r="B3378">
        <v>1400003978</v>
      </c>
      <c r="C3378" s="10">
        <v>46112</v>
      </c>
      <c r="D3378" t="s">
        <v>2037</v>
      </c>
      <c r="E3378" s="11" t="s">
        <v>2765</v>
      </c>
      <c r="F3378" t="s">
        <v>1722</v>
      </c>
      <c r="G3378" t="s">
        <v>1723</v>
      </c>
      <c r="H3378" s="10">
        <v>45744</v>
      </c>
      <c r="I3378">
        <v>59</v>
      </c>
      <c r="J3378">
        <v>0</v>
      </c>
      <c r="K3378">
        <v>59</v>
      </c>
    </row>
    <row r="3379" spans="2:11" x14ac:dyDescent="0.35">
      <c r="B3379">
        <v>1400003977</v>
      </c>
      <c r="C3379" s="10">
        <v>46112</v>
      </c>
      <c r="D3379" t="s">
        <v>2037</v>
      </c>
      <c r="E3379" s="11" t="s">
        <v>2766</v>
      </c>
      <c r="F3379" t="s">
        <v>1575</v>
      </c>
      <c r="G3379" t="s">
        <v>1576</v>
      </c>
      <c r="H3379" s="10">
        <v>45744</v>
      </c>
      <c r="I3379">
        <v>59</v>
      </c>
      <c r="J3379">
        <v>0</v>
      </c>
      <c r="K3379">
        <v>59</v>
      </c>
    </row>
    <row r="3380" spans="2:11" x14ac:dyDescent="0.35">
      <c r="B3380">
        <v>1400003976</v>
      </c>
      <c r="C3380" s="10">
        <v>46112</v>
      </c>
      <c r="D3380" t="s">
        <v>2037</v>
      </c>
      <c r="E3380" s="11" t="s">
        <v>2767</v>
      </c>
      <c r="F3380" t="s">
        <v>1724</v>
      </c>
      <c r="G3380" t="s">
        <v>1725</v>
      </c>
      <c r="H3380" s="10">
        <v>45744</v>
      </c>
      <c r="I3380">
        <v>0.47</v>
      </c>
      <c r="J3380">
        <v>0</v>
      </c>
      <c r="K3380">
        <v>0.47</v>
      </c>
    </row>
    <row r="3381" spans="2:11" x14ac:dyDescent="0.35">
      <c r="B3381">
        <v>1400003975</v>
      </c>
      <c r="C3381" s="10">
        <v>46112</v>
      </c>
      <c r="D3381" t="s">
        <v>2037</v>
      </c>
      <c r="E3381" s="11" t="s">
        <v>2768</v>
      </c>
      <c r="F3381" t="s">
        <v>1686</v>
      </c>
      <c r="G3381" t="s">
        <v>1687</v>
      </c>
      <c r="H3381" s="10">
        <v>45744</v>
      </c>
      <c r="I3381">
        <v>59</v>
      </c>
      <c r="J3381">
        <v>0</v>
      </c>
      <c r="K3381">
        <v>59</v>
      </c>
    </row>
    <row r="3382" spans="2:11" x14ac:dyDescent="0.35">
      <c r="B3382">
        <v>1400003974</v>
      </c>
      <c r="C3382" s="10">
        <v>46112</v>
      </c>
      <c r="D3382" t="s">
        <v>2037</v>
      </c>
      <c r="E3382" s="11" t="s">
        <v>2769</v>
      </c>
      <c r="F3382" t="s">
        <v>1726</v>
      </c>
      <c r="G3382" t="s">
        <v>1727</v>
      </c>
      <c r="H3382" s="10">
        <v>45743</v>
      </c>
      <c r="I3382">
        <v>59</v>
      </c>
      <c r="J3382">
        <v>0</v>
      </c>
      <c r="K3382">
        <v>59</v>
      </c>
    </row>
    <row r="3383" spans="2:11" x14ac:dyDescent="0.35">
      <c r="B3383">
        <v>1400003973</v>
      </c>
      <c r="C3383" s="10">
        <v>46112</v>
      </c>
      <c r="D3383" t="s">
        <v>2037</v>
      </c>
      <c r="E3383" s="11" t="s">
        <v>2770</v>
      </c>
      <c r="F3383" t="s">
        <v>1726</v>
      </c>
      <c r="G3383" t="s">
        <v>1727</v>
      </c>
      <c r="H3383" s="10">
        <v>45742</v>
      </c>
      <c r="I3383">
        <v>19641.5</v>
      </c>
      <c r="J3383">
        <v>0</v>
      </c>
      <c r="K3383">
        <v>19641.5</v>
      </c>
    </row>
    <row r="3384" spans="2:11" x14ac:dyDescent="0.35">
      <c r="B3384">
        <v>1400003972</v>
      </c>
      <c r="C3384" s="10">
        <v>46112</v>
      </c>
      <c r="D3384" t="s">
        <v>2037</v>
      </c>
      <c r="E3384" s="11" t="s">
        <v>2771</v>
      </c>
      <c r="F3384" t="s">
        <v>1644</v>
      </c>
      <c r="G3384" t="s">
        <v>1645</v>
      </c>
      <c r="H3384" s="10">
        <v>45742</v>
      </c>
      <c r="I3384">
        <v>59</v>
      </c>
      <c r="J3384">
        <v>0</v>
      </c>
      <c r="K3384">
        <v>59</v>
      </c>
    </row>
    <row r="3385" spans="2:11" x14ac:dyDescent="0.35">
      <c r="B3385">
        <v>9400000381</v>
      </c>
      <c r="C3385" s="10">
        <v>46112</v>
      </c>
      <c r="D3385" t="s">
        <v>2032</v>
      </c>
      <c r="E3385" s="11" t="s">
        <v>2772</v>
      </c>
      <c r="F3385" t="s">
        <v>1577</v>
      </c>
      <c r="G3385" t="s">
        <v>1578</v>
      </c>
      <c r="H3385" s="10">
        <v>45741</v>
      </c>
      <c r="I3385">
        <v>31787.05</v>
      </c>
      <c r="J3385">
        <v>0</v>
      </c>
      <c r="K3385">
        <v>31787.05</v>
      </c>
    </row>
    <row r="3386" spans="2:11" x14ac:dyDescent="0.35">
      <c r="B3386">
        <v>1800005982</v>
      </c>
      <c r="C3386" s="10">
        <v>46112</v>
      </c>
      <c r="D3386" t="s">
        <v>2052</v>
      </c>
      <c r="E3386" s="11" t="s">
        <v>2773</v>
      </c>
      <c r="F3386" t="s">
        <v>1561</v>
      </c>
      <c r="G3386" t="s">
        <v>1562</v>
      </c>
      <c r="H3386" s="10">
        <v>45783</v>
      </c>
      <c r="I3386">
        <v>6433.41</v>
      </c>
      <c r="J3386">
        <v>0</v>
      </c>
      <c r="K3386">
        <v>6433.41</v>
      </c>
    </row>
    <row r="3387" spans="2:11" x14ac:dyDescent="0.35">
      <c r="B3387">
        <v>1400003971</v>
      </c>
      <c r="C3387" s="10">
        <v>46112</v>
      </c>
      <c r="D3387" t="s">
        <v>2037</v>
      </c>
      <c r="E3387" s="11" t="s">
        <v>2774</v>
      </c>
      <c r="F3387" t="s">
        <v>1587</v>
      </c>
      <c r="G3387" t="s">
        <v>1588</v>
      </c>
      <c r="H3387" s="10">
        <v>45738</v>
      </c>
      <c r="I3387">
        <v>59</v>
      </c>
      <c r="J3387">
        <v>0</v>
      </c>
      <c r="K3387">
        <v>59</v>
      </c>
    </row>
    <row r="3388" spans="2:11" x14ac:dyDescent="0.35">
      <c r="B3388">
        <v>1400003970</v>
      </c>
      <c r="C3388" s="10">
        <v>46112</v>
      </c>
      <c r="D3388" t="s">
        <v>2037</v>
      </c>
      <c r="E3388" s="11" t="s">
        <v>2775</v>
      </c>
      <c r="F3388" t="s">
        <v>1728</v>
      </c>
      <c r="G3388" t="s">
        <v>1729</v>
      </c>
      <c r="H3388" s="10">
        <v>45738</v>
      </c>
      <c r="I3388">
        <v>59</v>
      </c>
      <c r="J3388">
        <v>0</v>
      </c>
      <c r="K3388">
        <v>59</v>
      </c>
    </row>
    <row r="3389" spans="2:11" x14ac:dyDescent="0.35">
      <c r="B3389">
        <v>1400003969</v>
      </c>
      <c r="C3389" s="10">
        <v>46112</v>
      </c>
      <c r="D3389" t="s">
        <v>2037</v>
      </c>
      <c r="E3389" s="11" t="s">
        <v>2776</v>
      </c>
      <c r="F3389" t="s">
        <v>1539</v>
      </c>
      <c r="G3389" t="s">
        <v>1540</v>
      </c>
      <c r="H3389" s="10">
        <v>45738</v>
      </c>
      <c r="I3389">
        <v>59</v>
      </c>
      <c r="J3389">
        <v>0</v>
      </c>
      <c r="K3389">
        <v>59</v>
      </c>
    </row>
    <row r="3390" spans="2:11" x14ac:dyDescent="0.35">
      <c r="B3390">
        <v>1400003968</v>
      </c>
      <c r="C3390" s="10">
        <v>46112</v>
      </c>
      <c r="D3390" t="s">
        <v>2037</v>
      </c>
      <c r="E3390" s="11" t="s">
        <v>2777</v>
      </c>
      <c r="F3390" t="s">
        <v>1587</v>
      </c>
      <c r="G3390" t="s">
        <v>1588</v>
      </c>
      <c r="H3390" s="10">
        <v>45738</v>
      </c>
      <c r="I3390">
        <v>59</v>
      </c>
      <c r="J3390">
        <v>0</v>
      </c>
      <c r="K3390">
        <v>59</v>
      </c>
    </row>
    <row r="3391" spans="2:11" x14ac:dyDescent="0.35">
      <c r="B3391">
        <v>1400003967</v>
      </c>
      <c r="C3391" s="10">
        <v>46112</v>
      </c>
      <c r="D3391" t="s">
        <v>2037</v>
      </c>
      <c r="E3391" s="11" t="s">
        <v>2778</v>
      </c>
      <c r="F3391" t="s">
        <v>1730</v>
      </c>
      <c r="G3391" t="s">
        <v>1731</v>
      </c>
      <c r="H3391" s="10">
        <v>45737</v>
      </c>
      <c r="I3391">
        <v>59</v>
      </c>
      <c r="J3391">
        <v>0</v>
      </c>
      <c r="K3391">
        <v>59</v>
      </c>
    </row>
    <row r="3392" spans="2:11" x14ac:dyDescent="0.35">
      <c r="B3392">
        <v>1400003966</v>
      </c>
      <c r="C3392" s="10">
        <v>46112</v>
      </c>
      <c r="D3392" t="s">
        <v>2037</v>
      </c>
      <c r="E3392" s="11" t="s">
        <v>2779</v>
      </c>
      <c r="F3392" t="s">
        <v>1443</v>
      </c>
      <c r="G3392" t="s">
        <v>1444</v>
      </c>
      <c r="H3392" s="10">
        <v>45737</v>
      </c>
      <c r="I3392">
        <v>59</v>
      </c>
      <c r="J3392">
        <v>0</v>
      </c>
      <c r="K3392">
        <v>59</v>
      </c>
    </row>
    <row r="3393" spans="2:11" x14ac:dyDescent="0.35">
      <c r="B3393">
        <v>1400003965</v>
      </c>
      <c r="C3393" s="10">
        <v>46112</v>
      </c>
      <c r="D3393" t="s">
        <v>2037</v>
      </c>
      <c r="E3393" s="11" t="s">
        <v>2780</v>
      </c>
      <c r="F3393" t="s">
        <v>1644</v>
      </c>
      <c r="G3393" t="s">
        <v>1645</v>
      </c>
      <c r="H3393" s="10">
        <v>45737</v>
      </c>
      <c r="I3393">
        <v>7350.48</v>
      </c>
      <c r="J3393">
        <v>0</v>
      </c>
      <c r="K3393">
        <v>7350.48</v>
      </c>
    </row>
    <row r="3394" spans="2:11" x14ac:dyDescent="0.35">
      <c r="B3394">
        <v>1400003964</v>
      </c>
      <c r="C3394" s="10">
        <v>46112</v>
      </c>
      <c r="D3394" t="s">
        <v>2037</v>
      </c>
      <c r="E3394" s="11" t="s">
        <v>2781</v>
      </c>
      <c r="F3394" t="s">
        <v>1686</v>
      </c>
      <c r="G3394" t="s">
        <v>1687</v>
      </c>
      <c r="H3394" s="10">
        <v>45737</v>
      </c>
      <c r="I3394">
        <v>27351</v>
      </c>
      <c r="J3394">
        <v>0</v>
      </c>
      <c r="K3394">
        <v>27351</v>
      </c>
    </row>
    <row r="3395" spans="2:11" x14ac:dyDescent="0.35">
      <c r="B3395">
        <v>1400003963</v>
      </c>
      <c r="C3395" s="10">
        <v>46112</v>
      </c>
      <c r="D3395" t="s">
        <v>2037</v>
      </c>
      <c r="E3395" s="11" t="s">
        <v>2782</v>
      </c>
      <c r="F3395" t="s">
        <v>1732</v>
      </c>
      <c r="G3395" t="s">
        <v>1733</v>
      </c>
      <c r="H3395" s="10">
        <v>45736</v>
      </c>
      <c r="I3395">
        <v>103264.06</v>
      </c>
      <c r="J3395">
        <v>0</v>
      </c>
      <c r="K3395">
        <v>103264.06</v>
      </c>
    </row>
    <row r="3396" spans="2:11" x14ac:dyDescent="0.35">
      <c r="B3396">
        <v>1400003962</v>
      </c>
      <c r="C3396" s="10">
        <v>46112</v>
      </c>
      <c r="D3396" t="s">
        <v>2037</v>
      </c>
      <c r="E3396" s="11" t="s">
        <v>2783</v>
      </c>
      <c r="F3396" t="s">
        <v>1575</v>
      </c>
      <c r="G3396" t="s">
        <v>1576</v>
      </c>
      <c r="H3396" s="10">
        <v>45736</v>
      </c>
      <c r="I3396">
        <v>136729.04999999999</v>
      </c>
      <c r="J3396">
        <v>52368.58</v>
      </c>
      <c r="K3396">
        <v>84360.469999999987</v>
      </c>
    </row>
    <row r="3397" spans="2:11" x14ac:dyDescent="0.35">
      <c r="B3397">
        <v>1400003961</v>
      </c>
      <c r="C3397" s="10">
        <v>46112</v>
      </c>
      <c r="D3397" t="s">
        <v>2037</v>
      </c>
      <c r="E3397" s="11" t="s">
        <v>2784</v>
      </c>
      <c r="F3397" t="s">
        <v>1722</v>
      </c>
      <c r="G3397" t="s">
        <v>1723</v>
      </c>
      <c r="H3397" s="10">
        <v>45736</v>
      </c>
      <c r="I3397">
        <v>54100</v>
      </c>
      <c r="J3397">
        <v>0</v>
      </c>
      <c r="K3397">
        <v>54100</v>
      </c>
    </row>
    <row r="3398" spans="2:11" x14ac:dyDescent="0.35">
      <c r="B3398">
        <v>1400003960</v>
      </c>
      <c r="C3398" s="10">
        <v>46112</v>
      </c>
      <c r="D3398" t="s">
        <v>2037</v>
      </c>
      <c r="E3398" s="11" t="s">
        <v>2785</v>
      </c>
      <c r="F3398" t="s">
        <v>1443</v>
      </c>
      <c r="G3398" t="s">
        <v>1444</v>
      </c>
      <c r="H3398" s="10">
        <v>45735</v>
      </c>
      <c r="I3398">
        <v>59</v>
      </c>
      <c r="J3398">
        <v>0</v>
      </c>
      <c r="K3398">
        <v>59</v>
      </c>
    </row>
    <row r="3399" spans="2:11" x14ac:dyDescent="0.35">
      <c r="B3399">
        <v>1400003959</v>
      </c>
      <c r="C3399" s="10">
        <v>46112</v>
      </c>
      <c r="D3399" t="s">
        <v>2037</v>
      </c>
      <c r="E3399" s="11" t="s">
        <v>2786</v>
      </c>
      <c r="F3399" t="s">
        <v>1728</v>
      </c>
      <c r="G3399" t="s">
        <v>1729</v>
      </c>
      <c r="H3399" s="10">
        <v>45734</v>
      </c>
      <c r="I3399">
        <v>20928.45</v>
      </c>
      <c r="J3399">
        <v>0</v>
      </c>
      <c r="K3399">
        <v>20928.45</v>
      </c>
    </row>
    <row r="3400" spans="2:11" x14ac:dyDescent="0.35">
      <c r="B3400">
        <v>1400003958</v>
      </c>
      <c r="C3400" s="10">
        <v>46112</v>
      </c>
      <c r="D3400" t="s">
        <v>2037</v>
      </c>
      <c r="E3400" s="11" t="s">
        <v>2787</v>
      </c>
      <c r="F3400" t="s">
        <v>1587</v>
      </c>
      <c r="G3400" t="s">
        <v>1588</v>
      </c>
      <c r="H3400" s="10">
        <v>45734</v>
      </c>
      <c r="I3400">
        <v>32588</v>
      </c>
      <c r="J3400">
        <v>0</v>
      </c>
      <c r="K3400">
        <v>32588</v>
      </c>
    </row>
    <row r="3401" spans="2:11" x14ac:dyDescent="0.35">
      <c r="B3401">
        <v>1400003957</v>
      </c>
      <c r="C3401" s="10">
        <v>46112</v>
      </c>
      <c r="D3401" t="s">
        <v>2037</v>
      </c>
      <c r="E3401" s="11" t="s">
        <v>2788</v>
      </c>
      <c r="F3401" t="s">
        <v>1730</v>
      </c>
      <c r="G3401" t="s">
        <v>1731</v>
      </c>
      <c r="H3401" s="10">
        <v>45734</v>
      </c>
      <c r="I3401">
        <v>30402.79</v>
      </c>
      <c r="J3401">
        <v>0</v>
      </c>
      <c r="K3401">
        <v>30402.79</v>
      </c>
    </row>
    <row r="3402" spans="2:11" x14ac:dyDescent="0.35">
      <c r="B3402">
        <v>1400003956</v>
      </c>
      <c r="C3402" s="10">
        <v>46112</v>
      </c>
      <c r="D3402" t="s">
        <v>2037</v>
      </c>
      <c r="E3402" s="11" t="s">
        <v>2789</v>
      </c>
      <c r="F3402" t="s">
        <v>1443</v>
      </c>
      <c r="G3402" t="s">
        <v>1444</v>
      </c>
      <c r="H3402" s="10">
        <v>45734</v>
      </c>
      <c r="I3402">
        <v>80097.45</v>
      </c>
      <c r="J3402">
        <v>0</v>
      </c>
      <c r="K3402">
        <v>80097.45</v>
      </c>
    </row>
    <row r="3403" spans="2:11" x14ac:dyDescent="0.35">
      <c r="B3403">
        <v>1400003955</v>
      </c>
      <c r="C3403" s="10">
        <v>46112</v>
      </c>
      <c r="D3403" t="s">
        <v>2037</v>
      </c>
      <c r="E3403" s="11" t="s">
        <v>2790</v>
      </c>
      <c r="F3403" t="s">
        <v>1539</v>
      </c>
      <c r="G3403" t="s">
        <v>1540</v>
      </c>
      <c r="H3403" s="10">
        <v>45728</v>
      </c>
      <c r="I3403">
        <v>1498.48</v>
      </c>
      <c r="J3403">
        <v>0</v>
      </c>
      <c r="K3403">
        <v>1498.48</v>
      </c>
    </row>
    <row r="3404" spans="2:11" x14ac:dyDescent="0.35">
      <c r="B3404">
        <v>1400003954</v>
      </c>
      <c r="C3404" s="10">
        <v>46112</v>
      </c>
      <c r="D3404" t="s">
        <v>2037</v>
      </c>
      <c r="E3404" s="11" t="s">
        <v>2791</v>
      </c>
      <c r="F3404" t="s">
        <v>1686</v>
      </c>
      <c r="G3404" t="s">
        <v>1687</v>
      </c>
      <c r="H3404" s="10">
        <v>45727</v>
      </c>
      <c r="I3404">
        <v>59</v>
      </c>
      <c r="J3404">
        <v>0</v>
      </c>
      <c r="K3404">
        <v>59</v>
      </c>
    </row>
    <row r="3405" spans="2:11" x14ac:dyDescent="0.35">
      <c r="B3405">
        <v>1400003953</v>
      </c>
      <c r="C3405" s="10">
        <v>46112</v>
      </c>
      <c r="D3405" t="s">
        <v>2037</v>
      </c>
      <c r="E3405" s="11" t="s">
        <v>2792</v>
      </c>
      <c r="F3405" t="s">
        <v>1734</v>
      </c>
      <c r="G3405" t="s">
        <v>1735</v>
      </c>
      <c r="H3405" s="10">
        <v>45727</v>
      </c>
      <c r="I3405">
        <v>59</v>
      </c>
      <c r="J3405">
        <v>0</v>
      </c>
      <c r="K3405">
        <v>59</v>
      </c>
    </row>
    <row r="3406" spans="2:11" x14ac:dyDescent="0.35">
      <c r="B3406">
        <v>9400000380</v>
      </c>
      <c r="C3406" s="10">
        <v>46112</v>
      </c>
      <c r="D3406" t="s">
        <v>2032</v>
      </c>
      <c r="E3406" s="11" t="s">
        <v>2793</v>
      </c>
      <c r="F3406" t="s">
        <v>1585</v>
      </c>
      <c r="G3406" t="s">
        <v>1586</v>
      </c>
      <c r="H3406" s="10">
        <v>45723</v>
      </c>
      <c r="I3406">
        <v>31.78</v>
      </c>
      <c r="J3406">
        <v>0</v>
      </c>
      <c r="K3406">
        <v>31.78</v>
      </c>
    </row>
    <row r="3407" spans="2:11" x14ac:dyDescent="0.35">
      <c r="B3407">
        <v>1800003148</v>
      </c>
      <c r="C3407" s="10">
        <v>46112</v>
      </c>
      <c r="D3407" t="s">
        <v>2052</v>
      </c>
      <c r="E3407" s="11" t="s">
        <v>2794</v>
      </c>
      <c r="F3407" t="s">
        <v>1736</v>
      </c>
      <c r="G3407" t="s">
        <v>1737</v>
      </c>
      <c r="H3407" s="10">
        <v>45768</v>
      </c>
      <c r="I3407">
        <v>0.01</v>
      </c>
      <c r="J3407">
        <v>0</v>
      </c>
      <c r="K3407">
        <v>0.01</v>
      </c>
    </row>
    <row r="3408" spans="2:11" x14ac:dyDescent="0.35">
      <c r="B3408">
        <v>1400003952</v>
      </c>
      <c r="C3408" s="10">
        <v>46112</v>
      </c>
      <c r="D3408" t="s">
        <v>2037</v>
      </c>
      <c r="E3408" s="11" t="s">
        <v>2795</v>
      </c>
      <c r="F3408" t="s">
        <v>1738</v>
      </c>
      <c r="G3408" t="s">
        <v>1739</v>
      </c>
      <c r="H3408" s="10">
        <v>45723</v>
      </c>
      <c r="I3408">
        <v>56556</v>
      </c>
      <c r="J3408">
        <v>0</v>
      </c>
      <c r="K3408">
        <v>56556</v>
      </c>
    </row>
    <row r="3409" spans="2:11" x14ac:dyDescent="0.35">
      <c r="B3409">
        <v>1400003951</v>
      </c>
      <c r="C3409" s="10">
        <v>46112</v>
      </c>
      <c r="D3409" t="s">
        <v>2037</v>
      </c>
      <c r="E3409" s="11" t="s">
        <v>2796</v>
      </c>
      <c r="F3409" t="s">
        <v>1734</v>
      </c>
      <c r="G3409" t="s">
        <v>1735</v>
      </c>
      <c r="H3409" s="10">
        <v>45723</v>
      </c>
      <c r="I3409">
        <v>138935</v>
      </c>
      <c r="J3409">
        <v>28966.57</v>
      </c>
      <c r="K3409">
        <v>109968.43</v>
      </c>
    </row>
    <row r="3410" spans="2:11" x14ac:dyDescent="0.35">
      <c r="B3410">
        <v>1400003950</v>
      </c>
      <c r="C3410" s="10">
        <v>46112</v>
      </c>
      <c r="D3410" t="s">
        <v>2037</v>
      </c>
      <c r="E3410" s="11" t="s">
        <v>2797</v>
      </c>
      <c r="F3410" t="s">
        <v>1686</v>
      </c>
      <c r="G3410" t="s">
        <v>1687</v>
      </c>
      <c r="H3410" s="10">
        <v>45721</v>
      </c>
      <c r="I3410">
        <v>182686</v>
      </c>
      <c r="J3410">
        <v>0</v>
      </c>
      <c r="K3410">
        <v>182686</v>
      </c>
    </row>
    <row r="3411" spans="2:11" x14ac:dyDescent="0.35">
      <c r="B3411">
        <v>9400000622</v>
      </c>
      <c r="C3411" s="10">
        <v>46112</v>
      </c>
      <c r="D3411" t="s">
        <v>2032</v>
      </c>
      <c r="E3411" s="11" t="s">
        <v>2798</v>
      </c>
      <c r="F3411" t="s">
        <v>1601</v>
      </c>
      <c r="G3411" t="s">
        <v>1602</v>
      </c>
      <c r="H3411" s="10">
        <v>45716</v>
      </c>
      <c r="I3411">
        <v>160.52000000000001</v>
      </c>
      <c r="J3411">
        <v>0</v>
      </c>
      <c r="K3411">
        <v>160.52000000000001</v>
      </c>
    </row>
    <row r="3412" spans="2:11" x14ac:dyDescent="0.35">
      <c r="B3412">
        <v>9400000025</v>
      </c>
      <c r="C3412" s="10">
        <v>46112</v>
      </c>
      <c r="D3412" t="s">
        <v>2032</v>
      </c>
      <c r="E3412" s="11" t="s">
        <v>2799</v>
      </c>
      <c r="F3412" t="s">
        <v>1740</v>
      </c>
      <c r="G3412" t="s">
        <v>1741</v>
      </c>
      <c r="H3412" s="10">
        <v>45730</v>
      </c>
      <c r="I3412">
        <v>33644.199999999997</v>
      </c>
      <c r="J3412">
        <v>0</v>
      </c>
      <c r="K3412">
        <v>33644.199999999997</v>
      </c>
    </row>
    <row r="3413" spans="2:11" x14ac:dyDescent="0.35">
      <c r="B3413">
        <v>1800004221</v>
      </c>
      <c r="C3413" s="10">
        <v>46112</v>
      </c>
      <c r="D3413" t="s">
        <v>2052</v>
      </c>
      <c r="E3413" s="11" t="s">
        <v>2800</v>
      </c>
      <c r="F3413" t="s">
        <v>1740</v>
      </c>
      <c r="G3413" t="s">
        <v>1741</v>
      </c>
      <c r="H3413" s="10">
        <v>45761</v>
      </c>
      <c r="I3413">
        <v>7224.21</v>
      </c>
      <c r="J3413">
        <v>0</v>
      </c>
      <c r="K3413">
        <v>7224.21</v>
      </c>
    </row>
    <row r="3414" spans="2:11" x14ac:dyDescent="0.35">
      <c r="B3414">
        <v>1800003960</v>
      </c>
      <c r="C3414" s="10">
        <v>46112</v>
      </c>
      <c r="D3414" t="s">
        <v>2052</v>
      </c>
      <c r="E3414" s="11" t="s">
        <v>2801</v>
      </c>
      <c r="F3414" t="s">
        <v>1690</v>
      </c>
      <c r="G3414" t="s">
        <v>1691</v>
      </c>
      <c r="H3414" s="10">
        <v>45761</v>
      </c>
      <c r="I3414">
        <v>122980.26</v>
      </c>
      <c r="J3414">
        <v>0</v>
      </c>
      <c r="K3414">
        <v>122980.26</v>
      </c>
    </row>
    <row r="3415" spans="2:11" x14ac:dyDescent="0.35">
      <c r="B3415">
        <v>1800003147</v>
      </c>
      <c r="C3415" s="10">
        <v>46112</v>
      </c>
      <c r="D3415" t="s">
        <v>2052</v>
      </c>
      <c r="E3415" s="11" t="s">
        <v>2802</v>
      </c>
      <c r="F3415" t="s">
        <v>1732</v>
      </c>
      <c r="G3415" t="s">
        <v>1733</v>
      </c>
      <c r="H3415" s="10">
        <v>45761</v>
      </c>
      <c r="I3415">
        <v>34392.160000000003</v>
      </c>
      <c r="J3415">
        <v>0</v>
      </c>
      <c r="K3415">
        <v>34392.160000000003</v>
      </c>
    </row>
    <row r="3416" spans="2:11" x14ac:dyDescent="0.35">
      <c r="B3416">
        <v>1800003146</v>
      </c>
      <c r="C3416" s="10">
        <v>46112</v>
      </c>
      <c r="D3416" t="s">
        <v>2052</v>
      </c>
      <c r="E3416" s="11" t="s">
        <v>2803</v>
      </c>
      <c r="F3416" t="s">
        <v>1732</v>
      </c>
      <c r="G3416" t="s">
        <v>1733</v>
      </c>
      <c r="H3416" s="10">
        <v>45746</v>
      </c>
      <c r="I3416">
        <v>11619.05</v>
      </c>
      <c r="J3416">
        <v>0</v>
      </c>
      <c r="K3416">
        <v>11619.05</v>
      </c>
    </row>
    <row r="3417" spans="2:11" x14ac:dyDescent="0.35">
      <c r="B3417">
        <v>1400003949</v>
      </c>
      <c r="C3417" s="10">
        <v>46112</v>
      </c>
      <c r="D3417" t="s">
        <v>2037</v>
      </c>
      <c r="E3417" s="11" t="s">
        <v>2804</v>
      </c>
      <c r="F3417" t="s">
        <v>1435</v>
      </c>
      <c r="G3417" t="s">
        <v>1436</v>
      </c>
      <c r="H3417" s="10">
        <v>45716</v>
      </c>
      <c r="I3417">
        <v>59</v>
      </c>
      <c r="J3417">
        <v>0</v>
      </c>
      <c r="K3417">
        <v>59</v>
      </c>
    </row>
    <row r="3418" spans="2:11" x14ac:dyDescent="0.35">
      <c r="B3418">
        <v>1400003948</v>
      </c>
      <c r="C3418" s="10">
        <v>46112</v>
      </c>
      <c r="D3418" t="s">
        <v>2037</v>
      </c>
      <c r="E3418" s="11" t="s">
        <v>2805</v>
      </c>
      <c r="F3418" t="s">
        <v>1742</v>
      </c>
      <c r="G3418" t="s">
        <v>1743</v>
      </c>
      <c r="H3418" s="10">
        <v>45716</v>
      </c>
      <c r="I3418">
        <v>32.24</v>
      </c>
      <c r="J3418">
        <v>0</v>
      </c>
      <c r="K3418">
        <v>32.24</v>
      </c>
    </row>
    <row r="3419" spans="2:11" x14ac:dyDescent="0.35">
      <c r="B3419">
        <v>1400003947</v>
      </c>
      <c r="C3419" s="10">
        <v>46112</v>
      </c>
      <c r="D3419" t="s">
        <v>2037</v>
      </c>
      <c r="E3419" s="11" t="s">
        <v>2806</v>
      </c>
      <c r="F3419" t="s">
        <v>1744</v>
      </c>
      <c r="G3419" t="s">
        <v>1745</v>
      </c>
      <c r="H3419" s="10">
        <v>45716</v>
      </c>
      <c r="I3419">
        <v>59</v>
      </c>
      <c r="J3419">
        <v>0</v>
      </c>
      <c r="K3419">
        <v>59</v>
      </c>
    </row>
    <row r="3420" spans="2:11" x14ac:dyDescent="0.35">
      <c r="B3420">
        <v>1400003946</v>
      </c>
      <c r="C3420" s="10">
        <v>46112</v>
      </c>
      <c r="D3420" t="s">
        <v>2037</v>
      </c>
      <c r="E3420" s="11" t="s">
        <v>2807</v>
      </c>
      <c r="F3420" t="s">
        <v>1593</v>
      </c>
      <c r="G3420" t="s">
        <v>1594</v>
      </c>
      <c r="H3420" s="10">
        <v>45716</v>
      </c>
      <c r="I3420">
        <v>59</v>
      </c>
      <c r="J3420">
        <v>0</v>
      </c>
      <c r="K3420">
        <v>59</v>
      </c>
    </row>
    <row r="3421" spans="2:11" x14ac:dyDescent="0.35">
      <c r="B3421">
        <v>1400003945</v>
      </c>
      <c r="C3421" s="10">
        <v>46112</v>
      </c>
      <c r="D3421" t="s">
        <v>2037</v>
      </c>
      <c r="E3421" s="11" t="s">
        <v>2808</v>
      </c>
      <c r="F3421" t="s">
        <v>1722</v>
      </c>
      <c r="G3421" t="s">
        <v>1723</v>
      </c>
      <c r="H3421" s="10">
        <v>45716</v>
      </c>
      <c r="I3421">
        <v>59</v>
      </c>
      <c r="J3421">
        <v>0</v>
      </c>
      <c r="K3421">
        <v>59</v>
      </c>
    </row>
    <row r="3422" spans="2:11" x14ac:dyDescent="0.35">
      <c r="B3422">
        <v>1400003944</v>
      </c>
      <c r="C3422" s="10">
        <v>46112</v>
      </c>
      <c r="D3422" t="s">
        <v>2037</v>
      </c>
      <c r="E3422" s="11" t="s">
        <v>2809</v>
      </c>
      <c r="F3422" t="s">
        <v>1744</v>
      </c>
      <c r="G3422" t="s">
        <v>1745</v>
      </c>
      <c r="H3422" s="10">
        <v>45715</v>
      </c>
      <c r="I3422">
        <v>23584.94</v>
      </c>
      <c r="J3422">
        <v>0</v>
      </c>
      <c r="K3422">
        <v>23584.94</v>
      </c>
    </row>
    <row r="3423" spans="2:11" x14ac:dyDescent="0.35">
      <c r="B3423">
        <v>1400003943</v>
      </c>
      <c r="C3423" s="10">
        <v>46112</v>
      </c>
      <c r="D3423" t="s">
        <v>2037</v>
      </c>
      <c r="E3423" s="11" t="s">
        <v>2810</v>
      </c>
      <c r="F3423" t="s">
        <v>1593</v>
      </c>
      <c r="G3423" t="s">
        <v>1594</v>
      </c>
      <c r="H3423" s="10">
        <v>45715</v>
      </c>
      <c r="I3423">
        <v>400.14</v>
      </c>
      <c r="J3423">
        <v>0</v>
      </c>
      <c r="K3423">
        <v>400.14</v>
      </c>
    </row>
    <row r="3424" spans="2:11" x14ac:dyDescent="0.35">
      <c r="B3424">
        <v>1400003942</v>
      </c>
      <c r="C3424" s="10">
        <v>46112</v>
      </c>
      <c r="D3424" t="s">
        <v>2037</v>
      </c>
      <c r="E3424" s="11" t="s">
        <v>2811</v>
      </c>
      <c r="F3424" t="s">
        <v>1722</v>
      </c>
      <c r="G3424" t="s">
        <v>1723</v>
      </c>
      <c r="H3424" s="10">
        <v>45714</v>
      </c>
      <c r="I3424">
        <v>57323.35</v>
      </c>
      <c r="J3424">
        <v>0</v>
      </c>
      <c r="K3424">
        <v>57323.35</v>
      </c>
    </row>
    <row r="3425" spans="2:11" x14ac:dyDescent="0.35">
      <c r="B3425">
        <v>9400000464</v>
      </c>
      <c r="C3425" s="10">
        <v>46112</v>
      </c>
      <c r="D3425" t="s">
        <v>2032</v>
      </c>
      <c r="E3425" s="11" t="s">
        <v>2812</v>
      </c>
      <c r="F3425" t="s">
        <v>1435</v>
      </c>
      <c r="G3425" t="s">
        <v>1436</v>
      </c>
      <c r="H3425" s="10">
        <v>45708</v>
      </c>
      <c r="I3425">
        <v>32.1</v>
      </c>
      <c r="J3425">
        <v>0</v>
      </c>
      <c r="K3425">
        <v>32.1</v>
      </c>
    </row>
    <row r="3426" spans="2:11" x14ac:dyDescent="0.35">
      <c r="B3426">
        <v>1400003941</v>
      </c>
      <c r="C3426" s="10">
        <v>46112</v>
      </c>
      <c r="D3426" t="s">
        <v>2037</v>
      </c>
      <c r="E3426" s="11" t="s">
        <v>2813</v>
      </c>
      <c r="F3426" t="s">
        <v>1435</v>
      </c>
      <c r="G3426" t="s">
        <v>1436</v>
      </c>
      <c r="H3426" s="10">
        <v>45708</v>
      </c>
      <c r="I3426">
        <v>162827.78</v>
      </c>
      <c r="J3426">
        <v>0</v>
      </c>
      <c r="K3426">
        <v>162827.78</v>
      </c>
    </row>
    <row r="3427" spans="2:11" x14ac:dyDescent="0.35">
      <c r="B3427">
        <v>9400000216</v>
      </c>
      <c r="C3427" s="10">
        <v>46112</v>
      </c>
      <c r="D3427" t="s">
        <v>2032</v>
      </c>
      <c r="E3427" s="11" t="s">
        <v>2814</v>
      </c>
      <c r="F3427" t="s">
        <v>1746</v>
      </c>
      <c r="G3427" t="s">
        <v>1747</v>
      </c>
      <c r="H3427" s="10">
        <v>45707</v>
      </c>
      <c r="I3427">
        <v>54.64</v>
      </c>
      <c r="J3427">
        <v>0</v>
      </c>
      <c r="K3427">
        <v>54.64</v>
      </c>
    </row>
    <row r="3428" spans="2:11" x14ac:dyDescent="0.35">
      <c r="B3428">
        <v>1400003940</v>
      </c>
      <c r="C3428" s="10">
        <v>46112</v>
      </c>
      <c r="D3428" t="s">
        <v>2037</v>
      </c>
      <c r="E3428" s="11" t="s">
        <v>2815</v>
      </c>
      <c r="F3428" t="s">
        <v>1569</v>
      </c>
      <c r="G3428" t="s">
        <v>1570</v>
      </c>
      <c r="H3428" s="10">
        <v>45706</v>
      </c>
      <c r="I3428">
        <v>59</v>
      </c>
      <c r="J3428">
        <v>0</v>
      </c>
      <c r="K3428">
        <v>59</v>
      </c>
    </row>
    <row r="3429" spans="2:11" x14ac:dyDescent="0.35">
      <c r="B3429">
        <v>1400003939</v>
      </c>
      <c r="C3429" s="10">
        <v>46112</v>
      </c>
      <c r="D3429" t="s">
        <v>2037</v>
      </c>
      <c r="E3429" s="11" t="s">
        <v>2816</v>
      </c>
      <c r="F3429" t="s">
        <v>1748</v>
      </c>
      <c r="G3429" t="s">
        <v>1749</v>
      </c>
      <c r="H3429" s="10">
        <v>45706</v>
      </c>
      <c r="I3429">
        <v>59</v>
      </c>
      <c r="J3429">
        <v>0</v>
      </c>
      <c r="K3429">
        <v>59</v>
      </c>
    </row>
    <row r="3430" spans="2:11" x14ac:dyDescent="0.35">
      <c r="B3430">
        <v>1400003938</v>
      </c>
      <c r="C3430" s="10">
        <v>46112</v>
      </c>
      <c r="D3430" t="s">
        <v>2037</v>
      </c>
      <c r="E3430" s="11" t="s">
        <v>2817</v>
      </c>
      <c r="F3430" t="s">
        <v>1686</v>
      </c>
      <c r="G3430" t="s">
        <v>1687</v>
      </c>
      <c r="H3430" s="10">
        <v>45706</v>
      </c>
      <c r="I3430">
        <v>59</v>
      </c>
      <c r="J3430">
        <v>0</v>
      </c>
      <c r="K3430">
        <v>59</v>
      </c>
    </row>
    <row r="3431" spans="2:11" x14ac:dyDescent="0.35">
      <c r="B3431">
        <v>1400003937</v>
      </c>
      <c r="C3431" s="10">
        <v>46112</v>
      </c>
      <c r="D3431" t="s">
        <v>2037</v>
      </c>
      <c r="E3431" s="11" t="s">
        <v>2818</v>
      </c>
      <c r="F3431" t="s">
        <v>1750</v>
      </c>
      <c r="G3431" t="s">
        <v>1751</v>
      </c>
      <c r="H3431" s="10">
        <v>45706</v>
      </c>
      <c r="I3431">
        <v>59</v>
      </c>
      <c r="J3431">
        <v>0</v>
      </c>
      <c r="K3431">
        <v>59</v>
      </c>
    </row>
    <row r="3432" spans="2:11" x14ac:dyDescent="0.35">
      <c r="B3432">
        <v>1400003936</v>
      </c>
      <c r="C3432" s="10">
        <v>46112</v>
      </c>
      <c r="D3432" t="s">
        <v>2037</v>
      </c>
      <c r="E3432" s="11" t="s">
        <v>2819</v>
      </c>
      <c r="F3432" t="s">
        <v>1748</v>
      </c>
      <c r="G3432" t="s">
        <v>1749</v>
      </c>
      <c r="H3432" s="10">
        <v>45706</v>
      </c>
      <c r="I3432">
        <v>59</v>
      </c>
      <c r="J3432">
        <v>0</v>
      </c>
      <c r="K3432">
        <v>59</v>
      </c>
    </row>
    <row r="3433" spans="2:11" x14ac:dyDescent="0.35">
      <c r="B3433">
        <v>1400003935</v>
      </c>
      <c r="C3433" s="10">
        <v>46112</v>
      </c>
      <c r="D3433" t="s">
        <v>2037</v>
      </c>
      <c r="E3433" s="11" t="s">
        <v>2820</v>
      </c>
      <c r="F3433" t="s">
        <v>1652</v>
      </c>
      <c r="G3433" t="s">
        <v>1653</v>
      </c>
      <c r="H3433" s="10">
        <v>45706</v>
      </c>
      <c r="I3433">
        <v>59</v>
      </c>
      <c r="J3433">
        <v>0</v>
      </c>
      <c r="K3433">
        <v>59</v>
      </c>
    </row>
    <row r="3434" spans="2:11" x14ac:dyDescent="0.35">
      <c r="B3434">
        <v>1400003934</v>
      </c>
      <c r="C3434" s="10">
        <v>46112</v>
      </c>
      <c r="D3434" t="s">
        <v>2037</v>
      </c>
      <c r="E3434" s="11" t="s">
        <v>2821</v>
      </c>
      <c r="F3434" t="s">
        <v>1652</v>
      </c>
      <c r="G3434" t="s">
        <v>1653</v>
      </c>
      <c r="H3434" s="10">
        <v>45706</v>
      </c>
      <c r="I3434">
        <v>59</v>
      </c>
      <c r="J3434">
        <v>0</v>
      </c>
      <c r="K3434">
        <v>59</v>
      </c>
    </row>
    <row r="3435" spans="2:11" x14ac:dyDescent="0.35">
      <c r="B3435">
        <v>1400003933</v>
      </c>
      <c r="C3435" s="10">
        <v>46112</v>
      </c>
      <c r="D3435" t="s">
        <v>2037</v>
      </c>
      <c r="E3435" s="11" t="s">
        <v>2822</v>
      </c>
      <c r="F3435" t="s">
        <v>1752</v>
      </c>
      <c r="G3435" t="s">
        <v>1753</v>
      </c>
      <c r="H3435" s="10">
        <v>45706</v>
      </c>
      <c r="I3435">
        <v>41317</v>
      </c>
      <c r="J3435">
        <v>0</v>
      </c>
      <c r="K3435">
        <v>41317</v>
      </c>
    </row>
    <row r="3436" spans="2:11" x14ac:dyDescent="0.35">
      <c r="B3436">
        <v>1400003932</v>
      </c>
      <c r="C3436" s="10">
        <v>46112</v>
      </c>
      <c r="D3436" t="s">
        <v>2037</v>
      </c>
      <c r="E3436" s="11" t="s">
        <v>2823</v>
      </c>
      <c r="F3436" t="s">
        <v>1754</v>
      </c>
      <c r="G3436" t="s">
        <v>1755</v>
      </c>
      <c r="H3436" s="10">
        <v>45706</v>
      </c>
      <c r="I3436">
        <v>24995.18</v>
      </c>
      <c r="J3436">
        <v>0</v>
      </c>
      <c r="K3436">
        <v>24995.18</v>
      </c>
    </row>
    <row r="3437" spans="2:11" x14ac:dyDescent="0.35">
      <c r="B3437">
        <v>1400003931</v>
      </c>
      <c r="C3437" s="10">
        <v>46112</v>
      </c>
      <c r="D3437" t="s">
        <v>2037</v>
      </c>
      <c r="E3437" s="11" t="s">
        <v>2824</v>
      </c>
      <c r="F3437" t="s">
        <v>1756</v>
      </c>
      <c r="G3437" t="s">
        <v>1757</v>
      </c>
      <c r="H3437" s="10">
        <v>45705</v>
      </c>
      <c r="I3437">
        <v>85673.47</v>
      </c>
      <c r="J3437">
        <v>0</v>
      </c>
      <c r="K3437">
        <v>85673.47</v>
      </c>
    </row>
    <row r="3438" spans="2:11" x14ac:dyDescent="0.35">
      <c r="B3438">
        <v>1400003930</v>
      </c>
      <c r="C3438" s="10">
        <v>46112</v>
      </c>
      <c r="D3438" t="s">
        <v>2037</v>
      </c>
      <c r="E3438" s="11" t="s">
        <v>2825</v>
      </c>
      <c r="F3438" t="s">
        <v>1738</v>
      </c>
      <c r="G3438" t="s">
        <v>1739</v>
      </c>
      <c r="H3438" s="10">
        <v>45705</v>
      </c>
      <c r="I3438">
        <v>20185</v>
      </c>
      <c r="J3438">
        <v>0</v>
      </c>
      <c r="K3438">
        <v>20185</v>
      </c>
    </row>
    <row r="3439" spans="2:11" x14ac:dyDescent="0.35">
      <c r="B3439">
        <v>1400003929</v>
      </c>
      <c r="C3439" s="10">
        <v>46112</v>
      </c>
      <c r="D3439" t="s">
        <v>2037</v>
      </c>
      <c r="E3439" s="11" t="s">
        <v>2826</v>
      </c>
      <c r="F3439" t="s">
        <v>1758</v>
      </c>
      <c r="G3439" t="s">
        <v>1759</v>
      </c>
      <c r="H3439" s="10">
        <v>45703</v>
      </c>
      <c r="I3439">
        <v>147176</v>
      </c>
      <c r="J3439">
        <v>0</v>
      </c>
      <c r="K3439">
        <v>147176</v>
      </c>
    </row>
    <row r="3440" spans="2:11" x14ac:dyDescent="0.35">
      <c r="B3440">
        <v>1400003928</v>
      </c>
      <c r="C3440" s="10">
        <v>46112</v>
      </c>
      <c r="D3440" t="s">
        <v>2037</v>
      </c>
      <c r="E3440" s="11" t="s">
        <v>2827</v>
      </c>
      <c r="F3440" t="s">
        <v>1760</v>
      </c>
      <c r="G3440" t="s">
        <v>1761</v>
      </c>
      <c r="H3440" s="10">
        <v>45703</v>
      </c>
      <c r="I3440">
        <v>140600</v>
      </c>
      <c r="J3440">
        <v>0</v>
      </c>
      <c r="K3440">
        <v>140600</v>
      </c>
    </row>
    <row r="3441" spans="2:11" x14ac:dyDescent="0.35">
      <c r="B3441">
        <v>1800000070</v>
      </c>
      <c r="C3441" s="10">
        <v>46112</v>
      </c>
      <c r="D3441" t="s">
        <v>2052</v>
      </c>
      <c r="E3441" s="11" t="s">
        <v>2828</v>
      </c>
      <c r="F3441" t="s">
        <v>1762</v>
      </c>
      <c r="G3441" t="s">
        <v>1763</v>
      </c>
      <c r="H3441" s="10">
        <v>45747</v>
      </c>
      <c r="I3441">
        <v>4.5</v>
      </c>
      <c r="J3441">
        <v>0</v>
      </c>
      <c r="K3441">
        <v>4.5</v>
      </c>
    </row>
    <row r="3442" spans="2:11" x14ac:dyDescent="0.35">
      <c r="B3442">
        <v>1400003927</v>
      </c>
      <c r="C3442" s="10">
        <v>46112</v>
      </c>
      <c r="D3442" t="s">
        <v>2037</v>
      </c>
      <c r="E3442" s="11" t="s">
        <v>2829</v>
      </c>
      <c r="F3442" t="s">
        <v>1750</v>
      </c>
      <c r="G3442" t="s">
        <v>1751</v>
      </c>
      <c r="H3442" s="10">
        <v>45702</v>
      </c>
      <c r="I3442">
        <v>76629</v>
      </c>
      <c r="J3442">
        <v>0</v>
      </c>
      <c r="K3442">
        <v>76629</v>
      </c>
    </row>
    <row r="3443" spans="2:11" x14ac:dyDescent="0.35">
      <c r="B3443">
        <v>1400003926</v>
      </c>
      <c r="C3443" s="10">
        <v>46112</v>
      </c>
      <c r="D3443" t="s">
        <v>2037</v>
      </c>
      <c r="E3443" s="11" t="s">
        <v>2830</v>
      </c>
      <c r="F3443" t="s">
        <v>1738</v>
      </c>
      <c r="G3443" t="s">
        <v>1739</v>
      </c>
      <c r="H3443" s="10">
        <v>45702</v>
      </c>
      <c r="I3443">
        <v>256191.2</v>
      </c>
      <c r="J3443">
        <v>0</v>
      </c>
      <c r="K3443">
        <v>256191.2</v>
      </c>
    </row>
    <row r="3444" spans="2:11" x14ac:dyDescent="0.35">
      <c r="B3444">
        <v>1400003925</v>
      </c>
      <c r="C3444" s="10">
        <v>46112</v>
      </c>
      <c r="D3444" t="s">
        <v>2037</v>
      </c>
      <c r="E3444" s="11" t="s">
        <v>2831</v>
      </c>
      <c r="F3444" t="s">
        <v>1748</v>
      </c>
      <c r="G3444" t="s">
        <v>1749</v>
      </c>
      <c r="H3444" s="10">
        <v>45702</v>
      </c>
      <c r="I3444">
        <v>191573</v>
      </c>
      <c r="J3444">
        <v>0</v>
      </c>
      <c r="K3444">
        <v>191573</v>
      </c>
    </row>
    <row r="3445" spans="2:11" x14ac:dyDescent="0.35">
      <c r="B3445">
        <v>1800003417</v>
      </c>
      <c r="C3445" s="10">
        <v>46112</v>
      </c>
      <c r="D3445" t="s">
        <v>2052</v>
      </c>
      <c r="E3445" s="11" t="s">
        <v>2832</v>
      </c>
      <c r="F3445" t="s">
        <v>1587</v>
      </c>
      <c r="G3445" t="s">
        <v>1588</v>
      </c>
      <c r="H3445" s="10">
        <v>45745</v>
      </c>
      <c r="I3445">
        <v>9062.4</v>
      </c>
      <c r="J3445">
        <v>0</v>
      </c>
      <c r="K3445">
        <v>9062.4</v>
      </c>
    </row>
    <row r="3446" spans="2:11" x14ac:dyDescent="0.35">
      <c r="B3446">
        <v>1400003924</v>
      </c>
      <c r="C3446" s="10">
        <v>46112</v>
      </c>
      <c r="D3446" t="s">
        <v>2037</v>
      </c>
      <c r="E3446" s="11" t="s">
        <v>2833</v>
      </c>
      <c r="F3446" t="s">
        <v>1686</v>
      </c>
      <c r="G3446" t="s">
        <v>1687</v>
      </c>
      <c r="H3446" s="10">
        <v>45700</v>
      </c>
      <c r="I3446">
        <v>363225.82</v>
      </c>
      <c r="J3446">
        <v>0</v>
      </c>
      <c r="K3446">
        <v>363225.82</v>
      </c>
    </row>
    <row r="3447" spans="2:11" x14ac:dyDescent="0.35">
      <c r="B3447">
        <v>1400003923</v>
      </c>
      <c r="C3447" s="10">
        <v>46112</v>
      </c>
      <c r="D3447" t="s">
        <v>2037</v>
      </c>
      <c r="E3447" s="11" t="s">
        <v>2834</v>
      </c>
      <c r="F3447" t="s">
        <v>1748</v>
      </c>
      <c r="G3447" t="s">
        <v>1749</v>
      </c>
      <c r="H3447" s="10">
        <v>45700</v>
      </c>
      <c r="I3447">
        <v>332383.62</v>
      </c>
      <c r="J3447">
        <v>37323.29</v>
      </c>
      <c r="K3447">
        <v>295060.33</v>
      </c>
    </row>
    <row r="3448" spans="2:11" x14ac:dyDescent="0.35">
      <c r="B3448">
        <v>1400003922</v>
      </c>
      <c r="C3448" s="10">
        <v>46112</v>
      </c>
      <c r="D3448" t="s">
        <v>2037</v>
      </c>
      <c r="E3448" s="11" t="s">
        <v>2835</v>
      </c>
      <c r="F3448" t="s">
        <v>1569</v>
      </c>
      <c r="G3448" t="s">
        <v>1570</v>
      </c>
      <c r="H3448" s="10">
        <v>45700</v>
      </c>
      <c r="I3448">
        <v>904529</v>
      </c>
      <c r="J3448">
        <v>0</v>
      </c>
      <c r="K3448">
        <v>904529</v>
      </c>
    </row>
    <row r="3449" spans="2:11" x14ac:dyDescent="0.35">
      <c r="B3449">
        <v>1800003416</v>
      </c>
      <c r="C3449" s="10">
        <v>46112</v>
      </c>
      <c r="D3449" t="s">
        <v>2052</v>
      </c>
      <c r="E3449" s="11" t="s">
        <v>2836</v>
      </c>
      <c r="F3449" t="s">
        <v>1587</v>
      </c>
      <c r="G3449" t="s">
        <v>1588</v>
      </c>
      <c r="H3449" s="10">
        <v>45729</v>
      </c>
      <c r="I3449">
        <v>23139.24</v>
      </c>
      <c r="J3449">
        <v>0</v>
      </c>
      <c r="K3449">
        <v>23139.24</v>
      </c>
    </row>
    <row r="3450" spans="2:11" x14ac:dyDescent="0.35">
      <c r="B3450">
        <v>1800003415</v>
      </c>
      <c r="C3450" s="10">
        <v>46112</v>
      </c>
      <c r="D3450" t="s">
        <v>2052</v>
      </c>
      <c r="E3450" s="11" t="s">
        <v>2837</v>
      </c>
      <c r="F3450" t="s">
        <v>1587</v>
      </c>
      <c r="G3450" t="s">
        <v>1588</v>
      </c>
      <c r="H3450" s="10">
        <v>45744</v>
      </c>
      <c r="I3450">
        <v>392490.04</v>
      </c>
      <c r="J3450">
        <v>0</v>
      </c>
      <c r="K3450">
        <v>392490.04</v>
      </c>
    </row>
    <row r="3451" spans="2:11" x14ac:dyDescent="0.35">
      <c r="B3451">
        <v>1400003921</v>
      </c>
      <c r="C3451" s="10">
        <v>46112</v>
      </c>
      <c r="D3451" t="s">
        <v>2037</v>
      </c>
      <c r="E3451" s="11" t="s">
        <v>2838</v>
      </c>
      <c r="F3451" t="s">
        <v>1652</v>
      </c>
      <c r="G3451" t="s">
        <v>1653</v>
      </c>
      <c r="H3451" s="10">
        <v>45699</v>
      </c>
      <c r="I3451">
        <v>22800</v>
      </c>
      <c r="J3451">
        <v>0</v>
      </c>
      <c r="K3451">
        <v>22800</v>
      </c>
    </row>
    <row r="3452" spans="2:11" x14ac:dyDescent="0.35">
      <c r="B3452">
        <v>1400003920</v>
      </c>
      <c r="C3452" s="10">
        <v>46112</v>
      </c>
      <c r="D3452" t="s">
        <v>2037</v>
      </c>
      <c r="E3452" s="11" t="s">
        <v>2839</v>
      </c>
      <c r="F3452" t="s">
        <v>1758</v>
      </c>
      <c r="G3452" t="s">
        <v>1759</v>
      </c>
      <c r="H3452" s="10">
        <v>45699</v>
      </c>
      <c r="I3452">
        <v>104057.09</v>
      </c>
      <c r="J3452">
        <v>0</v>
      </c>
      <c r="K3452">
        <v>104057.09</v>
      </c>
    </row>
    <row r="3453" spans="2:11" x14ac:dyDescent="0.35">
      <c r="B3453">
        <v>9400000327</v>
      </c>
      <c r="C3453" s="10">
        <v>46112</v>
      </c>
      <c r="D3453" t="s">
        <v>2032</v>
      </c>
      <c r="E3453" s="11" t="s">
        <v>2840</v>
      </c>
      <c r="F3453" t="s">
        <v>1764</v>
      </c>
      <c r="G3453" t="s">
        <v>1765</v>
      </c>
      <c r="H3453" s="10">
        <v>45696</v>
      </c>
      <c r="I3453">
        <v>57.6</v>
      </c>
      <c r="J3453">
        <v>0</v>
      </c>
      <c r="K3453">
        <v>57.6</v>
      </c>
    </row>
    <row r="3454" spans="2:11" x14ac:dyDescent="0.35">
      <c r="B3454">
        <v>1400003919</v>
      </c>
      <c r="C3454" s="10">
        <v>46112</v>
      </c>
      <c r="D3454" t="s">
        <v>2037</v>
      </c>
      <c r="E3454" s="11" t="s">
        <v>2841</v>
      </c>
      <c r="F3454" t="s">
        <v>1652</v>
      </c>
      <c r="G3454" t="s">
        <v>1653</v>
      </c>
      <c r="H3454" s="10">
        <v>45693</v>
      </c>
      <c r="I3454">
        <v>86190.99</v>
      </c>
      <c r="J3454">
        <v>0</v>
      </c>
      <c r="K3454">
        <v>86190.99</v>
      </c>
    </row>
    <row r="3455" spans="2:11" x14ac:dyDescent="0.35">
      <c r="B3455">
        <v>9400000024</v>
      </c>
      <c r="C3455" s="10">
        <v>46112</v>
      </c>
      <c r="D3455" t="s">
        <v>2032</v>
      </c>
      <c r="E3455" s="11" t="s">
        <v>2842</v>
      </c>
      <c r="F3455" t="s">
        <v>1766</v>
      </c>
      <c r="G3455" t="s">
        <v>1767</v>
      </c>
      <c r="H3455" s="10">
        <v>45688</v>
      </c>
      <c r="I3455">
        <v>84.79</v>
      </c>
      <c r="J3455">
        <v>0</v>
      </c>
      <c r="K3455">
        <v>84.79</v>
      </c>
    </row>
    <row r="3456" spans="2:11" x14ac:dyDescent="0.35">
      <c r="B3456">
        <v>9400000009</v>
      </c>
      <c r="C3456" s="10">
        <v>46112</v>
      </c>
      <c r="D3456" t="s">
        <v>2032</v>
      </c>
      <c r="E3456" s="11" t="s">
        <v>2843</v>
      </c>
      <c r="F3456" t="s">
        <v>1768</v>
      </c>
      <c r="G3456" t="s">
        <v>1769</v>
      </c>
      <c r="H3456" s="10">
        <v>45718</v>
      </c>
      <c r="I3456">
        <v>0.26</v>
      </c>
      <c r="J3456">
        <v>0</v>
      </c>
      <c r="K3456">
        <v>0.26</v>
      </c>
    </row>
    <row r="3457" spans="2:11" x14ac:dyDescent="0.35">
      <c r="B3457">
        <v>1800004219</v>
      </c>
      <c r="C3457" s="10">
        <v>46112</v>
      </c>
      <c r="D3457" t="s">
        <v>2052</v>
      </c>
      <c r="E3457" s="11" t="s">
        <v>2844</v>
      </c>
      <c r="F3457" t="s">
        <v>1770</v>
      </c>
      <c r="G3457" t="s">
        <v>1771</v>
      </c>
      <c r="H3457" s="10">
        <v>45703</v>
      </c>
      <c r="I3457">
        <v>79053.11</v>
      </c>
      <c r="J3457">
        <v>50000</v>
      </c>
      <c r="K3457">
        <v>29053.11</v>
      </c>
    </row>
    <row r="3458" spans="2:11" x14ac:dyDescent="0.35">
      <c r="B3458">
        <v>1800004218</v>
      </c>
      <c r="C3458" s="10">
        <v>46112</v>
      </c>
      <c r="D3458" t="s">
        <v>2052</v>
      </c>
      <c r="E3458" s="11" t="s">
        <v>2845</v>
      </c>
      <c r="F3458" t="s">
        <v>1772</v>
      </c>
      <c r="G3458" t="s">
        <v>1773</v>
      </c>
      <c r="H3458" s="10">
        <v>45703</v>
      </c>
      <c r="I3458">
        <v>124194.5</v>
      </c>
      <c r="J3458">
        <v>50000</v>
      </c>
      <c r="K3458">
        <v>74194.5</v>
      </c>
    </row>
    <row r="3459" spans="2:11" x14ac:dyDescent="0.35">
      <c r="B3459">
        <v>1400003916</v>
      </c>
      <c r="C3459" s="10">
        <v>46112</v>
      </c>
      <c r="D3459" t="s">
        <v>2037</v>
      </c>
      <c r="E3459" s="11" t="s">
        <v>2846</v>
      </c>
      <c r="F3459" t="s">
        <v>1774</v>
      </c>
      <c r="G3459" t="s">
        <v>1775</v>
      </c>
      <c r="H3459" s="10">
        <v>45688</v>
      </c>
      <c r="I3459">
        <v>59</v>
      </c>
      <c r="J3459">
        <v>0</v>
      </c>
      <c r="K3459">
        <v>59</v>
      </c>
    </row>
    <row r="3460" spans="2:11" x14ac:dyDescent="0.35">
      <c r="B3460">
        <v>1400003913</v>
      </c>
      <c r="C3460" s="10">
        <v>46112</v>
      </c>
      <c r="D3460" t="s">
        <v>2037</v>
      </c>
      <c r="E3460" s="11" t="s">
        <v>2847</v>
      </c>
      <c r="F3460" t="s">
        <v>1760</v>
      </c>
      <c r="G3460" t="s">
        <v>1761</v>
      </c>
      <c r="H3460" s="10">
        <v>45687</v>
      </c>
      <c r="I3460">
        <v>168000</v>
      </c>
      <c r="J3460">
        <v>95506.34</v>
      </c>
      <c r="K3460">
        <v>72493.66</v>
      </c>
    </row>
    <row r="3461" spans="2:11" x14ac:dyDescent="0.35">
      <c r="B3461">
        <v>1800004653</v>
      </c>
      <c r="C3461" s="10">
        <v>46112</v>
      </c>
      <c r="D3461" t="s">
        <v>2052</v>
      </c>
      <c r="E3461" s="11" t="s">
        <v>2848</v>
      </c>
      <c r="F3461" t="s">
        <v>1652</v>
      </c>
      <c r="G3461" t="s">
        <v>1653</v>
      </c>
      <c r="H3461" s="10">
        <v>45730</v>
      </c>
      <c r="I3461">
        <v>35579.99</v>
      </c>
      <c r="J3461">
        <v>0</v>
      </c>
      <c r="K3461">
        <v>35579.99</v>
      </c>
    </row>
    <row r="3462" spans="2:11" x14ac:dyDescent="0.35">
      <c r="B3462">
        <v>1400003910</v>
      </c>
      <c r="C3462" s="10">
        <v>46112</v>
      </c>
      <c r="D3462" t="s">
        <v>2037</v>
      </c>
      <c r="E3462" s="11" t="s">
        <v>2849</v>
      </c>
      <c r="F3462" t="s">
        <v>1774</v>
      </c>
      <c r="G3462" t="s">
        <v>1775</v>
      </c>
      <c r="H3462" s="10">
        <v>45685</v>
      </c>
      <c r="I3462">
        <v>16299.01</v>
      </c>
      <c r="J3462">
        <v>0</v>
      </c>
      <c r="K3462">
        <v>16299.01</v>
      </c>
    </row>
    <row r="3463" spans="2:11" x14ac:dyDescent="0.35">
      <c r="B3463">
        <v>1800004217</v>
      </c>
      <c r="C3463" s="10">
        <v>46112</v>
      </c>
      <c r="D3463" t="s">
        <v>2052</v>
      </c>
      <c r="E3463" s="11" t="s">
        <v>2850</v>
      </c>
      <c r="F3463" t="s">
        <v>1772</v>
      </c>
      <c r="G3463" t="s">
        <v>1773</v>
      </c>
      <c r="H3463" s="10">
        <v>45726</v>
      </c>
      <c r="I3463">
        <v>32992.550000000003</v>
      </c>
      <c r="J3463">
        <v>0</v>
      </c>
      <c r="K3463">
        <v>32992.550000000003</v>
      </c>
    </row>
    <row r="3464" spans="2:11" x14ac:dyDescent="0.35">
      <c r="B3464">
        <v>9400000646</v>
      </c>
      <c r="C3464" s="10">
        <v>46112</v>
      </c>
      <c r="D3464" t="s">
        <v>2032</v>
      </c>
      <c r="E3464" s="11" t="s">
        <v>2851</v>
      </c>
      <c r="F3464" t="s">
        <v>1776</v>
      </c>
      <c r="G3464" t="s">
        <v>1777</v>
      </c>
      <c r="H3464" s="10">
        <v>45675</v>
      </c>
      <c r="I3464">
        <v>63.23</v>
      </c>
      <c r="J3464">
        <v>0</v>
      </c>
      <c r="K3464">
        <v>63.23</v>
      </c>
    </row>
    <row r="3465" spans="2:11" x14ac:dyDescent="0.35">
      <c r="B3465">
        <v>9400000645</v>
      </c>
      <c r="C3465" s="10">
        <v>46112</v>
      </c>
      <c r="D3465" t="s">
        <v>2032</v>
      </c>
      <c r="E3465" s="11" t="s">
        <v>2852</v>
      </c>
      <c r="F3465" t="s">
        <v>1778</v>
      </c>
      <c r="G3465" t="s">
        <v>1779</v>
      </c>
      <c r="H3465" s="10">
        <v>45674</v>
      </c>
      <c r="I3465">
        <v>0.57999999999999996</v>
      </c>
      <c r="J3465">
        <v>0</v>
      </c>
      <c r="K3465">
        <v>0.57999999999999996</v>
      </c>
    </row>
    <row r="3466" spans="2:11" x14ac:dyDescent="0.35">
      <c r="B3466">
        <v>1400004399</v>
      </c>
      <c r="C3466" s="10">
        <v>46112</v>
      </c>
      <c r="D3466" t="s">
        <v>2037</v>
      </c>
      <c r="E3466" s="11" t="s">
        <v>2853</v>
      </c>
      <c r="F3466" t="s">
        <v>1780</v>
      </c>
      <c r="G3466" t="s">
        <v>1781</v>
      </c>
      <c r="H3466" s="10">
        <v>45674</v>
      </c>
      <c r="I3466">
        <v>0.45</v>
      </c>
      <c r="J3466">
        <v>0</v>
      </c>
      <c r="K3466">
        <v>0.45</v>
      </c>
    </row>
    <row r="3467" spans="2:11" x14ac:dyDescent="0.35">
      <c r="B3467">
        <v>9400000570</v>
      </c>
      <c r="C3467" s="10">
        <v>46112</v>
      </c>
      <c r="D3467" t="s">
        <v>2032</v>
      </c>
      <c r="E3467" s="11" t="s">
        <v>2854</v>
      </c>
      <c r="F3467" t="s">
        <v>1782</v>
      </c>
      <c r="G3467" t="s">
        <v>1783</v>
      </c>
      <c r="H3467" s="10">
        <v>45673</v>
      </c>
      <c r="I3467">
        <v>33177.360000000001</v>
      </c>
      <c r="J3467">
        <v>0</v>
      </c>
      <c r="K3467">
        <v>33177.360000000001</v>
      </c>
    </row>
    <row r="3468" spans="2:11" x14ac:dyDescent="0.35">
      <c r="B3468">
        <v>1400003908</v>
      </c>
      <c r="C3468" s="10">
        <v>46112</v>
      </c>
      <c r="D3468" t="s">
        <v>2037</v>
      </c>
      <c r="E3468" s="11" t="s">
        <v>2855</v>
      </c>
      <c r="F3468" t="s">
        <v>1784</v>
      </c>
      <c r="G3468" t="s">
        <v>1785</v>
      </c>
      <c r="H3468" s="10">
        <v>45673</v>
      </c>
      <c r="I3468">
        <v>151228.51</v>
      </c>
      <c r="J3468">
        <v>0</v>
      </c>
      <c r="K3468">
        <v>151228.51</v>
      </c>
    </row>
    <row r="3469" spans="2:11" x14ac:dyDescent="0.35">
      <c r="B3469">
        <v>1400003907</v>
      </c>
      <c r="C3469" s="10">
        <v>46112</v>
      </c>
      <c r="D3469" t="s">
        <v>2037</v>
      </c>
      <c r="E3469" s="11" t="s">
        <v>2856</v>
      </c>
      <c r="F3469" t="s">
        <v>1603</v>
      </c>
      <c r="G3469" t="s">
        <v>1604</v>
      </c>
      <c r="H3469" s="10">
        <v>45672</v>
      </c>
      <c r="I3469">
        <v>23555.13</v>
      </c>
      <c r="J3469">
        <v>0</v>
      </c>
      <c r="K3469">
        <v>23555.13</v>
      </c>
    </row>
    <row r="3470" spans="2:11" x14ac:dyDescent="0.35">
      <c r="B3470">
        <v>9400000379</v>
      </c>
      <c r="C3470" s="10">
        <v>46112</v>
      </c>
      <c r="D3470" t="s">
        <v>2032</v>
      </c>
      <c r="E3470" s="11" t="s">
        <v>2857</v>
      </c>
      <c r="F3470" t="s">
        <v>1583</v>
      </c>
      <c r="G3470" t="s">
        <v>1584</v>
      </c>
      <c r="H3470" s="10">
        <v>45671</v>
      </c>
      <c r="I3470">
        <v>33.64</v>
      </c>
      <c r="J3470">
        <v>0</v>
      </c>
      <c r="K3470">
        <v>33.64</v>
      </c>
    </row>
    <row r="3471" spans="2:11" x14ac:dyDescent="0.35">
      <c r="B3471">
        <v>1400003906</v>
      </c>
      <c r="C3471" s="10">
        <v>46112</v>
      </c>
      <c r="D3471" t="s">
        <v>2037</v>
      </c>
      <c r="E3471" s="11" t="s">
        <v>2858</v>
      </c>
      <c r="F3471" t="s">
        <v>1786</v>
      </c>
      <c r="G3471" t="s">
        <v>1787</v>
      </c>
      <c r="H3471" s="10">
        <v>45670</v>
      </c>
      <c r="I3471">
        <v>378.88</v>
      </c>
      <c r="J3471">
        <v>0</v>
      </c>
      <c r="K3471">
        <v>378.88</v>
      </c>
    </row>
    <row r="3472" spans="2:11" x14ac:dyDescent="0.35">
      <c r="B3472">
        <v>100001505</v>
      </c>
      <c r="C3472" s="10">
        <v>46112</v>
      </c>
      <c r="D3472" t="s">
        <v>2034</v>
      </c>
      <c r="E3472" s="11" t="s">
        <v>2859</v>
      </c>
      <c r="F3472" t="s">
        <v>1782</v>
      </c>
      <c r="G3472" t="s">
        <v>1783</v>
      </c>
      <c r="H3472" s="10">
        <v>45667</v>
      </c>
      <c r="I3472">
        <v>5040</v>
      </c>
      <c r="J3472">
        <v>0</v>
      </c>
      <c r="K3472">
        <v>5040</v>
      </c>
    </row>
    <row r="3473" spans="2:11" x14ac:dyDescent="0.35">
      <c r="B3473">
        <v>1400003905</v>
      </c>
      <c r="C3473" s="10">
        <v>46112</v>
      </c>
      <c r="D3473" t="s">
        <v>2037</v>
      </c>
      <c r="E3473" s="11" t="s">
        <v>2860</v>
      </c>
      <c r="F3473" t="s">
        <v>1788</v>
      </c>
      <c r="G3473" t="s">
        <v>1789</v>
      </c>
      <c r="H3473" s="10">
        <v>45665</v>
      </c>
      <c r="I3473">
        <v>59</v>
      </c>
      <c r="J3473">
        <v>0</v>
      </c>
      <c r="K3473">
        <v>59</v>
      </c>
    </row>
    <row r="3474" spans="2:11" x14ac:dyDescent="0.35">
      <c r="B3474">
        <v>1800001559</v>
      </c>
      <c r="C3474" s="10">
        <v>46112</v>
      </c>
      <c r="D3474" t="s">
        <v>2052</v>
      </c>
      <c r="E3474" s="11" t="s">
        <v>2861</v>
      </c>
      <c r="F3474" t="s">
        <v>1782</v>
      </c>
      <c r="G3474" t="s">
        <v>1783</v>
      </c>
      <c r="H3474" s="10">
        <v>45709</v>
      </c>
      <c r="I3474">
        <v>22181.64</v>
      </c>
      <c r="J3474">
        <v>0</v>
      </c>
      <c r="K3474">
        <v>22181.64</v>
      </c>
    </row>
    <row r="3475" spans="2:11" x14ac:dyDescent="0.35">
      <c r="B3475">
        <v>1400003904</v>
      </c>
      <c r="C3475" s="10">
        <v>46112</v>
      </c>
      <c r="D3475" t="s">
        <v>2037</v>
      </c>
      <c r="E3475" s="11" t="s">
        <v>2862</v>
      </c>
      <c r="F3475" t="s">
        <v>1788</v>
      </c>
      <c r="G3475" t="s">
        <v>1789</v>
      </c>
      <c r="H3475" s="10">
        <v>45664</v>
      </c>
      <c r="I3475">
        <v>28973</v>
      </c>
      <c r="J3475">
        <v>0</v>
      </c>
      <c r="K3475">
        <v>28973</v>
      </c>
    </row>
    <row r="3476" spans="2:11" x14ac:dyDescent="0.35">
      <c r="B3476">
        <v>1800003143</v>
      </c>
      <c r="C3476" s="10">
        <v>46112</v>
      </c>
      <c r="D3476" t="s">
        <v>2052</v>
      </c>
      <c r="E3476" s="11" t="s">
        <v>2863</v>
      </c>
      <c r="F3476" t="s">
        <v>1752</v>
      </c>
      <c r="G3476" t="s">
        <v>1753</v>
      </c>
      <c r="H3476" s="10">
        <v>45702</v>
      </c>
      <c r="I3476">
        <v>24794.5</v>
      </c>
      <c r="J3476">
        <v>0</v>
      </c>
      <c r="K3476">
        <v>24794.5</v>
      </c>
    </row>
    <row r="3477" spans="2:11" x14ac:dyDescent="0.35">
      <c r="B3477">
        <v>1800001558</v>
      </c>
      <c r="C3477" s="10">
        <v>46112</v>
      </c>
      <c r="D3477" t="s">
        <v>2052</v>
      </c>
      <c r="E3477" s="11" t="s">
        <v>2864</v>
      </c>
      <c r="F3477" t="s">
        <v>1782</v>
      </c>
      <c r="G3477" t="s">
        <v>1783</v>
      </c>
      <c r="H3477" s="10">
        <v>45702</v>
      </c>
      <c r="I3477">
        <v>36192.89</v>
      </c>
      <c r="J3477">
        <v>0</v>
      </c>
      <c r="K3477">
        <v>36192.89</v>
      </c>
    </row>
    <row r="3478" spans="2:11" x14ac:dyDescent="0.35">
      <c r="B3478">
        <v>9400000621</v>
      </c>
      <c r="C3478" s="10">
        <v>46112</v>
      </c>
      <c r="D3478" t="s">
        <v>2032</v>
      </c>
      <c r="E3478" s="11" t="s">
        <v>2865</v>
      </c>
      <c r="F3478" t="s">
        <v>1790</v>
      </c>
      <c r="G3478" t="s">
        <v>1791</v>
      </c>
      <c r="H3478" s="10">
        <v>45654</v>
      </c>
      <c r="I3478">
        <v>1180.1400000000001</v>
      </c>
      <c r="J3478">
        <v>0</v>
      </c>
      <c r="K3478">
        <v>1180.1400000000001</v>
      </c>
    </row>
    <row r="3479" spans="2:11" x14ac:dyDescent="0.35">
      <c r="B3479">
        <v>1800001557</v>
      </c>
      <c r="C3479" s="10">
        <v>46112</v>
      </c>
      <c r="D3479" t="s">
        <v>2052</v>
      </c>
      <c r="E3479" s="11" t="s">
        <v>2866</v>
      </c>
      <c r="F3479" t="s">
        <v>1782</v>
      </c>
      <c r="G3479" t="s">
        <v>1783</v>
      </c>
      <c r="H3479" s="10">
        <v>45699</v>
      </c>
      <c r="I3479">
        <v>363509.99</v>
      </c>
      <c r="J3479">
        <v>0</v>
      </c>
      <c r="K3479">
        <v>363509.99</v>
      </c>
    </row>
    <row r="3480" spans="2:11" x14ac:dyDescent="0.35">
      <c r="B3480">
        <v>100001299</v>
      </c>
      <c r="C3480" s="10">
        <v>46112</v>
      </c>
      <c r="D3480" t="s">
        <v>2034</v>
      </c>
      <c r="E3480" s="11" t="s">
        <v>2867</v>
      </c>
      <c r="F3480" t="s">
        <v>1792</v>
      </c>
      <c r="G3480" t="s">
        <v>1793</v>
      </c>
      <c r="H3480" s="10">
        <v>45651</v>
      </c>
      <c r="I3480">
        <v>1890</v>
      </c>
      <c r="J3480">
        <v>0</v>
      </c>
      <c r="K3480">
        <v>1890</v>
      </c>
    </row>
    <row r="3481" spans="2:11" x14ac:dyDescent="0.35">
      <c r="B3481">
        <v>1400003903</v>
      </c>
      <c r="C3481" s="10">
        <v>46112</v>
      </c>
      <c r="D3481" t="s">
        <v>2037</v>
      </c>
      <c r="E3481" s="11" t="s">
        <v>2868</v>
      </c>
      <c r="F3481" t="s">
        <v>1583</v>
      </c>
      <c r="G3481" t="s">
        <v>1584</v>
      </c>
      <c r="H3481" s="10">
        <v>45650</v>
      </c>
      <c r="I3481">
        <v>59</v>
      </c>
      <c r="J3481">
        <v>0</v>
      </c>
      <c r="K3481">
        <v>59</v>
      </c>
    </row>
    <row r="3482" spans="2:11" x14ac:dyDescent="0.35">
      <c r="B3482">
        <v>1400003902</v>
      </c>
      <c r="C3482" s="10">
        <v>46112</v>
      </c>
      <c r="D3482" t="s">
        <v>2037</v>
      </c>
      <c r="E3482" s="11" t="s">
        <v>2869</v>
      </c>
      <c r="F3482" t="s">
        <v>1794</v>
      </c>
      <c r="G3482" t="s">
        <v>1795</v>
      </c>
      <c r="H3482" s="10">
        <v>45650</v>
      </c>
      <c r="I3482">
        <v>0.23</v>
      </c>
      <c r="J3482">
        <v>0</v>
      </c>
      <c r="K3482">
        <v>0.23</v>
      </c>
    </row>
    <row r="3483" spans="2:11" x14ac:dyDescent="0.35">
      <c r="B3483">
        <v>1400003901</v>
      </c>
      <c r="C3483" s="10">
        <v>46112</v>
      </c>
      <c r="D3483" t="s">
        <v>2037</v>
      </c>
      <c r="E3483" s="11" t="s">
        <v>2870</v>
      </c>
      <c r="F3483" t="s">
        <v>1585</v>
      </c>
      <c r="G3483" t="s">
        <v>1586</v>
      </c>
      <c r="H3483" s="10">
        <v>45650</v>
      </c>
      <c r="I3483">
        <v>59</v>
      </c>
      <c r="J3483">
        <v>0</v>
      </c>
      <c r="K3483">
        <v>59</v>
      </c>
    </row>
    <row r="3484" spans="2:11" x14ac:dyDescent="0.35">
      <c r="B3484">
        <v>1400003900</v>
      </c>
      <c r="C3484" s="10">
        <v>46112</v>
      </c>
      <c r="D3484" t="s">
        <v>2037</v>
      </c>
      <c r="E3484" s="11" t="s">
        <v>2871</v>
      </c>
      <c r="F3484" t="s">
        <v>1569</v>
      </c>
      <c r="G3484" t="s">
        <v>1570</v>
      </c>
      <c r="H3484" s="10">
        <v>45650</v>
      </c>
      <c r="I3484">
        <v>59</v>
      </c>
      <c r="J3484">
        <v>0</v>
      </c>
      <c r="K3484">
        <v>59</v>
      </c>
    </row>
    <row r="3485" spans="2:11" x14ac:dyDescent="0.35">
      <c r="B3485">
        <v>9400000644</v>
      </c>
      <c r="C3485" s="10">
        <v>46112</v>
      </c>
      <c r="D3485" t="s">
        <v>2032</v>
      </c>
      <c r="E3485" s="11" t="s">
        <v>2872</v>
      </c>
      <c r="F3485" t="s">
        <v>1796</v>
      </c>
      <c r="G3485" t="s">
        <v>1797</v>
      </c>
      <c r="H3485" s="10">
        <v>45649</v>
      </c>
      <c r="I3485">
        <v>222.75</v>
      </c>
      <c r="J3485">
        <v>0</v>
      </c>
      <c r="K3485">
        <v>222.75</v>
      </c>
    </row>
    <row r="3486" spans="2:11" x14ac:dyDescent="0.35">
      <c r="B3486">
        <v>1400003899</v>
      </c>
      <c r="C3486" s="10">
        <v>46112</v>
      </c>
      <c r="D3486" t="s">
        <v>2037</v>
      </c>
      <c r="E3486" s="11" t="s">
        <v>2873</v>
      </c>
      <c r="F3486" t="s">
        <v>1569</v>
      </c>
      <c r="G3486" t="s">
        <v>1570</v>
      </c>
      <c r="H3486" s="10">
        <v>45649</v>
      </c>
      <c r="I3486">
        <v>162336.29999999999</v>
      </c>
      <c r="J3486">
        <v>0</v>
      </c>
      <c r="K3486">
        <v>162336.29999999999</v>
      </c>
    </row>
    <row r="3487" spans="2:11" x14ac:dyDescent="0.35">
      <c r="B3487">
        <v>1400003898</v>
      </c>
      <c r="C3487" s="10">
        <v>46112</v>
      </c>
      <c r="D3487" t="s">
        <v>2037</v>
      </c>
      <c r="E3487" s="11" t="s">
        <v>2874</v>
      </c>
      <c r="F3487" t="s">
        <v>1577</v>
      </c>
      <c r="G3487" t="s">
        <v>1578</v>
      </c>
      <c r="H3487" s="10">
        <v>45648</v>
      </c>
      <c r="I3487">
        <v>59</v>
      </c>
      <c r="J3487">
        <v>0</v>
      </c>
      <c r="K3487">
        <v>59</v>
      </c>
    </row>
    <row r="3488" spans="2:11" x14ac:dyDescent="0.35">
      <c r="B3488">
        <v>1800000510</v>
      </c>
      <c r="C3488" s="10">
        <v>46112</v>
      </c>
      <c r="D3488" t="s">
        <v>2052</v>
      </c>
      <c r="E3488" s="11" t="s">
        <v>2875</v>
      </c>
      <c r="F3488" t="s">
        <v>1798</v>
      </c>
      <c r="G3488" t="s">
        <v>1799</v>
      </c>
      <c r="H3488" s="10">
        <v>45691</v>
      </c>
      <c r="I3488">
        <v>0.37</v>
      </c>
      <c r="J3488">
        <v>0</v>
      </c>
      <c r="K3488">
        <v>0.37</v>
      </c>
    </row>
    <row r="3489" spans="2:11" x14ac:dyDescent="0.35">
      <c r="B3489">
        <v>1400003897</v>
      </c>
      <c r="C3489" s="10">
        <v>46112</v>
      </c>
      <c r="D3489" t="s">
        <v>2037</v>
      </c>
      <c r="E3489" s="11" t="s">
        <v>2876</v>
      </c>
      <c r="F3489" t="s">
        <v>1792</v>
      </c>
      <c r="G3489" t="s">
        <v>1793</v>
      </c>
      <c r="H3489" s="10">
        <v>45643</v>
      </c>
      <c r="I3489">
        <v>59</v>
      </c>
      <c r="J3489">
        <v>0</v>
      </c>
      <c r="K3489">
        <v>59</v>
      </c>
    </row>
    <row r="3490" spans="2:11" x14ac:dyDescent="0.35">
      <c r="B3490">
        <v>1400003896</v>
      </c>
      <c r="C3490" s="10">
        <v>46112</v>
      </c>
      <c r="D3490" t="s">
        <v>2037</v>
      </c>
      <c r="E3490" s="11" t="s">
        <v>2877</v>
      </c>
      <c r="F3490" t="s">
        <v>1800</v>
      </c>
      <c r="G3490" t="s">
        <v>1801</v>
      </c>
      <c r="H3490" s="10">
        <v>45643</v>
      </c>
      <c r="I3490">
        <v>59</v>
      </c>
      <c r="J3490">
        <v>0</v>
      </c>
      <c r="K3490">
        <v>59</v>
      </c>
    </row>
    <row r="3491" spans="2:11" x14ac:dyDescent="0.35">
      <c r="B3491">
        <v>1400003895</v>
      </c>
      <c r="C3491" s="10">
        <v>46112</v>
      </c>
      <c r="D3491" t="s">
        <v>2037</v>
      </c>
      <c r="E3491" s="11" t="s">
        <v>2878</v>
      </c>
      <c r="F3491" t="s">
        <v>1800</v>
      </c>
      <c r="G3491" t="s">
        <v>1801</v>
      </c>
      <c r="H3491" s="10">
        <v>45642</v>
      </c>
      <c r="I3491">
        <v>16763.689999999999</v>
      </c>
      <c r="J3491">
        <v>0</v>
      </c>
      <c r="K3491">
        <v>16763.689999999999</v>
      </c>
    </row>
    <row r="3492" spans="2:11" x14ac:dyDescent="0.35">
      <c r="B3492">
        <v>1400003894</v>
      </c>
      <c r="C3492" s="10">
        <v>46112</v>
      </c>
      <c r="D3492" t="s">
        <v>2037</v>
      </c>
      <c r="E3492" s="11" t="s">
        <v>2879</v>
      </c>
      <c r="F3492" t="s">
        <v>1792</v>
      </c>
      <c r="G3492" t="s">
        <v>1793</v>
      </c>
      <c r="H3492" s="10">
        <v>45642</v>
      </c>
      <c r="I3492">
        <v>148791</v>
      </c>
      <c r="J3492">
        <v>0</v>
      </c>
      <c r="K3492">
        <v>148791</v>
      </c>
    </row>
    <row r="3493" spans="2:11" x14ac:dyDescent="0.35">
      <c r="B3493">
        <v>1400003893</v>
      </c>
      <c r="C3493" s="10">
        <v>46112</v>
      </c>
      <c r="D3493" t="s">
        <v>2037</v>
      </c>
      <c r="E3493" s="11" t="s">
        <v>2880</v>
      </c>
      <c r="F3493" t="s">
        <v>1585</v>
      </c>
      <c r="G3493" t="s">
        <v>1586</v>
      </c>
      <c r="H3493" s="10">
        <v>45642</v>
      </c>
      <c r="I3493">
        <v>29825</v>
      </c>
      <c r="J3493">
        <v>0</v>
      </c>
      <c r="K3493">
        <v>29825</v>
      </c>
    </row>
    <row r="3494" spans="2:11" x14ac:dyDescent="0.35">
      <c r="B3494">
        <v>9400000378</v>
      </c>
      <c r="C3494" s="10">
        <v>46112</v>
      </c>
      <c r="D3494" t="s">
        <v>2032</v>
      </c>
      <c r="E3494" s="11" t="s">
        <v>2881</v>
      </c>
      <c r="F3494" t="s">
        <v>1802</v>
      </c>
      <c r="G3494" t="s">
        <v>1803</v>
      </c>
      <c r="H3494" s="10">
        <v>45639</v>
      </c>
      <c r="I3494">
        <v>3422.38</v>
      </c>
      <c r="J3494">
        <v>0</v>
      </c>
      <c r="K3494">
        <v>3422.38</v>
      </c>
    </row>
    <row r="3495" spans="2:11" x14ac:dyDescent="0.35">
      <c r="B3495">
        <v>1400003892</v>
      </c>
      <c r="C3495" s="10">
        <v>46112</v>
      </c>
      <c r="D3495" t="s">
        <v>2037</v>
      </c>
      <c r="E3495" s="11" t="s">
        <v>2882</v>
      </c>
      <c r="F3495" t="s">
        <v>1583</v>
      </c>
      <c r="G3495" t="s">
        <v>1584</v>
      </c>
      <c r="H3495" s="10">
        <v>45639</v>
      </c>
      <c r="I3495">
        <v>50000</v>
      </c>
      <c r="J3495">
        <v>0</v>
      </c>
      <c r="K3495">
        <v>50000</v>
      </c>
    </row>
    <row r="3496" spans="2:11" x14ac:dyDescent="0.35">
      <c r="B3496">
        <v>1400003891</v>
      </c>
      <c r="C3496" s="10">
        <v>46112</v>
      </c>
      <c r="D3496" t="s">
        <v>2037</v>
      </c>
      <c r="E3496" s="11" t="s">
        <v>2883</v>
      </c>
      <c r="F3496" t="s">
        <v>1577</v>
      </c>
      <c r="G3496" t="s">
        <v>1578</v>
      </c>
      <c r="H3496" s="10">
        <v>45633</v>
      </c>
      <c r="I3496">
        <v>141088.29</v>
      </c>
      <c r="J3496">
        <v>10000</v>
      </c>
      <c r="K3496">
        <v>131088.29</v>
      </c>
    </row>
    <row r="3497" spans="2:11" x14ac:dyDescent="0.35">
      <c r="B3497">
        <v>1400004397</v>
      </c>
      <c r="C3497" s="10">
        <v>46112</v>
      </c>
      <c r="D3497" t="s">
        <v>2037</v>
      </c>
      <c r="E3497" s="11" t="s">
        <v>2884</v>
      </c>
      <c r="F3497" t="s">
        <v>1804</v>
      </c>
      <c r="G3497" t="s">
        <v>1805</v>
      </c>
      <c r="H3497" s="10">
        <v>45628</v>
      </c>
      <c r="I3497">
        <v>38075</v>
      </c>
      <c r="J3497">
        <v>0</v>
      </c>
      <c r="K3497">
        <v>38075</v>
      </c>
    </row>
    <row r="3498" spans="2:11" x14ac:dyDescent="0.35">
      <c r="B3498">
        <v>1800003141</v>
      </c>
      <c r="C3498" s="10">
        <v>46112</v>
      </c>
      <c r="D3498" t="s">
        <v>2052</v>
      </c>
      <c r="E3498" s="11" t="s">
        <v>2885</v>
      </c>
      <c r="F3498" t="s">
        <v>1585</v>
      </c>
      <c r="G3498" t="s">
        <v>1586</v>
      </c>
      <c r="H3498" s="10">
        <v>45641</v>
      </c>
      <c r="I3498">
        <v>17186.34</v>
      </c>
      <c r="J3498">
        <v>0</v>
      </c>
      <c r="K3498">
        <v>17186.34</v>
      </c>
    </row>
    <row r="3499" spans="2:11" x14ac:dyDescent="0.35">
      <c r="B3499">
        <v>1800003140</v>
      </c>
      <c r="C3499" s="10">
        <v>46112</v>
      </c>
      <c r="D3499" t="s">
        <v>2052</v>
      </c>
      <c r="E3499" s="11" t="s">
        <v>2886</v>
      </c>
      <c r="F3499" t="s">
        <v>1806</v>
      </c>
      <c r="G3499" t="s">
        <v>1807</v>
      </c>
      <c r="H3499" s="10">
        <v>45671</v>
      </c>
      <c r="I3499">
        <v>17215.599999999999</v>
      </c>
      <c r="J3499">
        <v>0</v>
      </c>
      <c r="K3499">
        <v>17215.599999999999</v>
      </c>
    </row>
    <row r="3500" spans="2:11" x14ac:dyDescent="0.35">
      <c r="B3500">
        <v>1800002531</v>
      </c>
      <c r="C3500" s="10">
        <v>46112</v>
      </c>
      <c r="D3500" t="s">
        <v>2052</v>
      </c>
      <c r="E3500" s="11" t="s">
        <v>2887</v>
      </c>
      <c r="F3500" t="s">
        <v>1750</v>
      </c>
      <c r="G3500" t="s">
        <v>1751</v>
      </c>
      <c r="H3500" s="10">
        <v>45695</v>
      </c>
      <c r="I3500">
        <v>76629.2</v>
      </c>
      <c r="J3500">
        <v>0</v>
      </c>
      <c r="K3500">
        <v>76629.2</v>
      </c>
    </row>
    <row r="3501" spans="2:11" x14ac:dyDescent="0.35">
      <c r="B3501">
        <v>1800002530</v>
      </c>
      <c r="C3501" s="10">
        <v>46112</v>
      </c>
      <c r="D3501" t="s">
        <v>2052</v>
      </c>
      <c r="E3501" s="11" t="s">
        <v>2888</v>
      </c>
      <c r="F3501" t="s">
        <v>1750</v>
      </c>
      <c r="G3501" t="s">
        <v>1751</v>
      </c>
      <c r="H3501" s="10">
        <v>45694</v>
      </c>
      <c r="I3501">
        <v>71342.91</v>
      </c>
      <c r="J3501">
        <v>0</v>
      </c>
      <c r="K3501">
        <v>71342.91</v>
      </c>
    </row>
    <row r="3502" spans="2:11" x14ac:dyDescent="0.35">
      <c r="B3502">
        <v>9400000377</v>
      </c>
      <c r="C3502" s="10">
        <v>46112</v>
      </c>
      <c r="D3502" t="s">
        <v>2032</v>
      </c>
      <c r="E3502" s="11" t="s">
        <v>2889</v>
      </c>
      <c r="F3502" t="s">
        <v>1808</v>
      </c>
      <c r="G3502" t="s">
        <v>1809</v>
      </c>
      <c r="H3502" s="10">
        <v>45622</v>
      </c>
      <c r="I3502">
        <v>38.31</v>
      </c>
      <c r="J3502">
        <v>0</v>
      </c>
      <c r="K3502">
        <v>38.31</v>
      </c>
    </row>
    <row r="3503" spans="2:11" x14ac:dyDescent="0.35">
      <c r="B3503">
        <v>1800003138</v>
      </c>
      <c r="C3503" s="10">
        <v>46112</v>
      </c>
      <c r="D3503" t="s">
        <v>2052</v>
      </c>
      <c r="E3503" s="11" t="s">
        <v>2890</v>
      </c>
      <c r="F3503" t="s">
        <v>1810</v>
      </c>
      <c r="G3503" t="s">
        <v>1811</v>
      </c>
      <c r="H3503" s="10">
        <v>45666</v>
      </c>
      <c r="I3503">
        <v>29.31</v>
      </c>
      <c r="J3503">
        <v>0</v>
      </c>
      <c r="K3503">
        <v>29.31</v>
      </c>
    </row>
    <row r="3504" spans="2:11" x14ac:dyDescent="0.35">
      <c r="B3504">
        <v>1400003890</v>
      </c>
      <c r="C3504" s="10">
        <v>46112</v>
      </c>
      <c r="D3504" t="s">
        <v>2037</v>
      </c>
      <c r="E3504" s="11" t="s">
        <v>2891</v>
      </c>
      <c r="F3504" t="s">
        <v>1812</v>
      </c>
      <c r="G3504" t="s">
        <v>1813</v>
      </c>
      <c r="H3504" s="10">
        <v>45619</v>
      </c>
      <c r="I3504">
        <v>59</v>
      </c>
      <c r="J3504">
        <v>0</v>
      </c>
      <c r="K3504">
        <v>59</v>
      </c>
    </row>
    <row r="3505" spans="2:11" x14ac:dyDescent="0.35">
      <c r="B3505">
        <v>1400003889</v>
      </c>
      <c r="C3505" s="10">
        <v>46112</v>
      </c>
      <c r="D3505" t="s">
        <v>2037</v>
      </c>
      <c r="E3505" s="11" t="s">
        <v>2892</v>
      </c>
      <c r="F3505" t="s">
        <v>1812</v>
      </c>
      <c r="G3505" t="s">
        <v>1813</v>
      </c>
      <c r="H3505" s="10">
        <v>45618</v>
      </c>
      <c r="I3505">
        <v>37540</v>
      </c>
      <c r="J3505">
        <v>0</v>
      </c>
      <c r="K3505">
        <v>37540</v>
      </c>
    </row>
    <row r="3506" spans="2:11" x14ac:dyDescent="0.35">
      <c r="B3506">
        <v>1400003888</v>
      </c>
      <c r="C3506" s="10">
        <v>46112</v>
      </c>
      <c r="D3506" t="s">
        <v>2037</v>
      </c>
      <c r="E3506" s="11" t="s">
        <v>2893</v>
      </c>
      <c r="F3506" t="s">
        <v>1812</v>
      </c>
      <c r="G3506" t="s">
        <v>1813</v>
      </c>
      <c r="H3506" s="10">
        <v>45618</v>
      </c>
      <c r="I3506">
        <v>59</v>
      </c>
      <c r="J3506">
        <v>0</v>
      </c>
      <c r="K3506">
        <v>59</v>
      </c>
    </row>
    <row r="3507" spans="2:11" x14ac:dyDescent="0.35">
      <c r="B3507">
        <v>1400003887</v>
      </c>
      <c r="C3507" s="10">
        <v>46112</v>
      </c>
      <c r="D3507" t="s">
        <v>2037</v>
      </c>
      <c r="E3507" s="11" t="s">
        <v>2894</v>
      </c>
      <c r="F3507" t="s">
        <v>1792</v>
      </c>
      <c r="G3507" t="s">
        <v>1793</v>
      </c>
      <c r="H3507" s="10">
        <v>45618</v>
      </c>
      <c r="I3507">
        <v>59</v>
      </c>
      <c r="J3507">
        <v>0</v>
      </c>
      <c r="K3507">
        <v>59</v>
      </c>
    </row>
    <row r="3508" spans="2:11" x14ac:dyDescent="0.35">
      <c r="B3508">
        <v>1400003886</v>
      </c>
      <c r="C3508" s="10">
        <v>46112</v>
      </c>
      <c r="D3508" t="s">
        <v>2037</v>
      </c>
      <c r="E3508" s="11" t="s">
        <v>2895</v>
      </c>
      <c r="F3508" t="s">
        <v>1814</v>
      </c>
      <c r="G3508" t="s">
        <v>1815</v>
      </c>
      <c r="H3508" s="10">
        <v>45618</v>
      </c>
      <c r="I3508">
        <v>57.24</v>
      </c>
      <c r="J3508">
        <v>0</v>
      </c>
      <c r="K3508">
        <v>57.24</v>
      </c>
    </row>
    <row r="3509" spans="2:11" x14ac:dyDescent="0.35">
      <c r="B3509">
        <v>1800002529</v>
      </c>
      <c r="C3509" s="10">
        <v>46112</v>
      </c>
      <c r="D3509" t="s">
        <v>2052</v>
      </c>
      <c r="E3509" s="11" t="s">
        <v>2896</v>
      </c>
      <c r="F3509" t="s">
        <v>1750</v>
      </c>
      <c r="G3509" t="s">
        <v>1751</v>
      </c>
      <c r="H3509" s="10">
        <v>45687</v>
      </c>
      <c r="I3509">
        <v>109052.3</v>
      </c>
      <c r="J3509">
        <v>0</v>
      </c>
      <c r="K3509">
        <v>109052.3</v>
      </c>
    </row>
    <row r="3510" spans="2:11" x14ac:dyDescent="0.35">
      <c r="B3510">
        <v>9400000376</v>
      </c>
      <c r="C3510" s="10">
        <v>46112</v>
      </c>
      <c r="D3510" t="s">
        <v>2032</v>
      </c>
      <c r="E3510" s="11" t="s">
        <v>2897</v>
      </c>
      <c r="F3510" t="s">
        <v>1583</v>
      </c>
      <c r="G3510" t="s">
        <v>1584</v>
      </c>
      <c r="H3510" s="10">
        <v>45616</v>
      </c>
      <c r="I3510">
        <v>76.25</v>
      </c>
      <c r="J3510">
        <v>0</v>
      </c>
      <c r="K3510">
        <v>76.25</v>
      </c>
    </row>
    <row r="3511" spans="2:11" x14ac:dyDescent="0.35">
      <c r="B3511">
        <v>9400000008</v>
      </c>
      <c r="C3511" s="10">
        <v>46112</v>
      </c>
      <c r="D3511" t="s">
        <v>2032</v>
      </c>
      <c r="E3511" s="11" t="s">
        <v>2898</v>
      </c>
      <c r="F3511" t="s">
        <v>1816</v>
      </c>
      <c r="G3511" t="s">
        <v>1817</v>
      </c>
      <c r="H3511" s="10">
        <v>45614</v>
      </c>
      <c r="I3511">
        <v>1089.8499999999999</v>
      </c>
      <c r="J3511">
        <v>0</v>
      </c>
      <c r="K3511">
        <v>1089.8499999999999</v>
      </c>
    </row>
    <row r="3512" spans="2:11" x14ac:dyDescent="0.35">
      <c r="B3512">
        <v>9400000007</v>
      </c>
      <c r="C3512" s="10">
        <v>46112</v>
      </c>
      <c r="D3512" t="s">
        <v>2032</v>
      </c>
      <c r="E3512" s="11" t="s">
        <v>2899</v>
      </c>
      <c r="F3512" t="s">
        <v>1816</v>
      </c>
      <c r="G3512" t="s">
        <v>1817</v>
      </c>
      <c r="H3512" s="10">
        <v>45614</v>
      </c>
      <c r="I3512">
        <v>2175.85</v>
      </c>
      <c r="J3512">
        <v>0</v>
      </c>
      <c r="K3512">
        <v>2175.85</v>
      </c>
    </row>
    <row r="3513" spans="2:11" x14ac:dyDescent="0.35">
      <c r="B3513">
        <v>1400003885</v>
      </c>
      <c r="C3513" s="10">
        <v>46112</v>
      </c>
      <c r="D3513" t="s">
        <v>2037</v>
      </c>
      <c r="E3513" s="11" t="s">
        <v>2900</v>
      </c>
      <c r="F3513" t="s">
        <v>1792</v>
      </c>
      <c r="G3513" t="s">
        <v>1793</v>
      </c>
      <c r="H3513" s="10">
        <v>45614</v>
      </c>
      <c r="I3513">
        <v>227684.68</v>
      </c>
      <c r="J3513">
        <v>0</v>
      </c>
      <c r="K3513">
        <v>227684.68</v>
      </c>
    </row>
    <row r="3514" spans="2:11" x14ac:dyDescent="0.35">
      <c r="B3514">
        <v>1400003884</v>
      </c>
      <c r="C3514" s="10">
        <v>46112</v>
      </c>
      <c r="D3514" t="s">
        <v>2037</v>
      </c>
      <c r="E3514" s="11" t="s">
        <v>2901</v>
      </c>
      <c r="F3514" t="s">
        <v>1812</v>
      </c>
      <c r="G3514" t="s">
        <v>1813</v>
      </c>
      <c r="H3514" s="10">
        <v>45614</v>
      </c>
      <c r="I3514">
        <v>68355</v>
      </c>
      <c r="J3514">
        <v>0</v>
      </c>
      <c r="K3514">
        <v>68355</v>
      </c>
    </row>
    <row r="3515" spans="2:11" x14ac:dyDescent="0.35">
      <c r="B3515">
        <v>1400003883</v>
      </c>
      <c r="C3515" s="10">
        <v>46112</v>
      </c>
      <c r="D3515" t="s">
        <v>2037</v>
      </c>
      <c r="E3515" s="11" t="s">
        <v>2902</v>
      </c>
      <c r="F3515" t="s">
        <v>1812</v>
      </c>
      <c r="G3515" t="s">
        <v>1813</v>
      </c>
      <c r="H3515" s="10">
        <v>45613</v>
      </c>
      <c r="I3515">
        <v>68355</v>
      </c>
      <c r="J3515">
        <v>0</v>
      </c>
      <c r="K3515">
        <v>68355</v>
      </c>
    </row>
    <row r="3516" spans="2:11" x14ac:dyDescent="0.35">
      <c r="B3516">
        <v>9400000326</v>
      </c>
      <c r="C3516" s="10">
        <v>46112</v>
      </c>
      <c r="D3516" t="s">
        <v>2032</v>
      </c>
      <c r="E3516" s="11" t="s">
        <v>2903</v>
      </c>
      <c r="F3516" t="s">
        <v>1818</v>
      </c>
      <c r="G3516" t="s">
        <v>1819</v>
      </c>
      <c r="H3516" s="10">
        <v>45607</v>
      </c>
      <c r="I3516">
        <v>25.73</v>
      </c>
      <c r="J3516">
        <v>0</v>
      </c>
      <c r="K3516">
        <v>25.73</v>
      </c>
    </row>
    <row r="3517" spans="2:11" x14ac:dyDescent="0.35">
      <c r="B3517">
        <v>1400003882</v>
      </c>
      <c r="C3517" s="10">
        <v>46112</v>
      </c>
      <c r="D3517" t="s">
        <v>2037</v>
      </c>
      <c r="E3517" s="11" t="s">
        <v>2904</v>
      </c>
      <c r="F3517" t="s">
        <v>1820</v>
      </c>
      <c r="G3517" t="s">
        <v>1821</v>
      </c>
      <c r="H3517" s="10">
        <v>45602</v>
      </c>
      <c r="I3517">
        <v>59</v>
      </c>
      <c r="J3517">
        <v>0</v>
      </c>
      <c r="K3517">
        <v>59</v>
      </c>
    </row>
    <row r="3518" spans="2:11" x14ac:dyDescent="0.35">
      <c r="B3518">
        <v>1400003881</v>
      </c>
      <c r="C3518" s="10">
        <v>46112</v>
      </c>
      <c r="D3518" t="s">
        <v>2037</v>
      </c>
      <c r="E3518" s="11" t="s">
        <v>2905</v>
      </c>
      <c r="F3518" t="s">
        <v>1820</v>
      </c>
      <c r="G3518" t="s">
        <v>1821</v>
      </c>
      <c r="H3518" s="10">
        <v>45601</v>
      </c>
      <c r="I3518">
        <v>143641</v>
      </c>
      <c r="J3518">
        <v>0</v>
      </c>
      <c r="K3518">
        <v>143641</v>
      </c>
    </row>
    <row r="3519" spans="2:11" x14ac:dyDescent="0.35">
      <c r="B3519">
        <v>9400000375</v>
      </c>
      <c r="C3519" s="10">
        <v>46112</v>
      </c>
      <c r="D3519" t="s">
        <v>2032</v>
      </c>
      <c r="E3519" s="11" t="s">
        <v>2906</v>
      </c>
      <c r="F3519" t="s">
        <v>1822</v>
      </c>
      <c r="G3519" t="s">
        <v>1823</v>
      </c>
      <c r="H3519" s="10">
        <v>45595</v>
      </c>
      <c r="I3519">
        <v>524.55999999999995</v>
      </c>
      <c r="J3519">
        <v>0</v>
      </c>
      <c r="K3519">
        <v>524.55999999999995</v>
      </c>
    </row>
    <row r="3520" spans="2:11" x14ac:dyDescent="0.35">
      <c r="B3520">
        <v>1800003135</v>
      </c>
      <c r="C3520" s="10">
        <v>46112</v>
      </c>
      <c r="D3520" t="s">
        <v>2052</v>
      </c>
      <c r="E3520" s="11" t="s">
        <v>2907</v>
      </c>
      <c r="F3520" t="s">
        <v>1824</v>
      </c>
      <c r="G3520" t="s">
        <v>1825</v>
      </c>
      <c r="H3520" s="10">
        <v>45640</v>
      </c>
      <c r="I3520">
        <v>33721.82</v>
      </c>
      <c r="J3520">
        <v>0</v>
      </c>
      <c r="K3520">
        <v>33721.82</v>
      </c>
    </row>
    <row r="3521" spans="2:11" x14ac:dyDescent="0.35">
      <c r="B3521">
        <v>1800002528</v>
      </c>
      <c r="C3521" s="10">
        <v>46112</v>
      </c>
      <c r="D3521" t="s">
        <v>2052</v>
      </c>
      <c r="E3521" s="11" t="s">
        <v>2908</v>
      </c>
      <c r="F3521" t="s">
        <v>1750</v>
      </c>
      <c r="G3521" t="s">
        <v>1751</v>
      </c>
      <c r="H3521" s="10">
        <v>45665</v>
      </c>
      <c r="I3521">
        <v>100300</v>
      </c>
      <c r="J3521">
        <v>0</v>
      </c>
      <c r="K3521">
        <v>100300</v>
      </c>
    </row>
    <row r="3522" spans="2:11" x14ac:dyDescent="0.35">
      <c r="B3522">
        <v>1800002527</v>
      </c>
      <c r="C3522" s="10">
        <v>46112</v>
      </c>
      <c r="D3522" t="s">
        <v>2052</v>
      </c>
      <c r="E3522" s="11" t="s">
        <v>2909</v>
      </c>
      <c r="F3522" t="s">
        <v>1750</v>
      </c>
      <c r="G3522" t="s">
        <v>1751</v>
      </c>
      <c r="H3522" s="10">
        <v>45665</v>
      </c>
      <c r="I3522">
        <v>57471.9</v>
      </c>
      <c r="J3522">
        <v>0</v>
      </c>
      <c r="K3522">
        <v>57471.9</v>
      </c>
    </row>
    <row r="3523" spans="2:11" x14ac:dyDescent="0.35">
      <c r="B3523">
        <v>1400003880</v>
      </c>
      <c r="C3523" s="10">
        <v>46112</v>
      </c>
      <c r="D3523" t="s">
        <v>2037</v>
      </c>
      <c r="E3523" s="11" t="s">
        <v>2910</v>
      </c>
      <c r="F3523" t="s">
        <v>1820</v>
      </c>
      <c r="G3523" t="s">
        <v>1821</v>
      </c>
      <c r="H3523" s="10">
        <v>45594</v>
      </c>
      <c r="I3523">
        <v>59</v>
      </c>
      <c r="J3523">
        <v>0</v>
      </c>
      <c r="K3523">
        <v>59</v>
      </c>
    </row>
    <row r="3524" spans="2:11" x14ac:dyDescent="0.35">
      <c r="B3524">
        <v>1400003879</v>
      </c>
      <c r="C3524" s="10">
        <v>46112</v>
      </c>
      <c r="D3524" t="s">
        <v>2037</v>
      </c>
      <c r="E3524" s="11" t="s">
        <v>2911</v>
      </c>
      <c r="F3524" t="s">
        <v>1820</v>
      </c>
      <c r="G3524" t="s">
        <v>1821</v>
      </c>
      <c r="H3524" s="10">
        <v>45593</v>
      </c>
      <c r="I3524">
        <v>177734</v>
      </c>
      <c r="J3524">
        <v>0</v>
      </c>
      <c r="K3524">
        <v>177734</v>
      </c>
    </row>
    <row r="3525" spans="2:11" x14ac:dyDescent="0.35">
      <c r="B3525">
        <v>9400000463</v>
      </c>
      <c r="C3525" s="10">
        <v>46112</v>
      </c>
      <c r="D3525" t="s">
        <v>2032</v>
      </c>
      <c r="E3525" s="11" t="s">
        <v>2912</v>
      </c>
      <c r="F3525" t="s">
        <v>1750</v>
      </c>
      <c r="G3525" t="s">
        <v>1751</v>
      </c>
      <c r="H3525" s="10">
        <v>45620</v>
      </c>
      <c r="I3525">
        <v>13260.84</v>
      </c>
      <c r="J3525">
        <v>5000</v>
      </c>
      <c r="K3525">
        <v>8260.84</v>
      </c>
    </row>
    <row r="3526" spans="2:11" x14ac:dyDescent="0.35">
      <c r="B3526">
        <v>1400003878</v>
      </c>
      <c r="C3526" s="10">
        <v>46112</v>
      </c>
      <c r="D3526" t="s">
        <v>2037</v>
      </c>
      <c r="E3526" s="11" t="s">
        <v>2913</v>
      </c>
      <c r="F3526" t="s">
        <v>1808</v>
      </c>
      <c r="G3526" t="s">
        <v>1809</v>
      </c>
      <c r="H3526" s="10">
        <v>45589</v>
      </c>
      <c r="I3526">
        <v>59</v>
      </c>
      <c r="J3526">
        <v>0</v>
      </c>
      <c r="K3526">
        <v>59</v>
      </c>
    </row>
    <row r="3527" spans="2:11" x14ac:dyDescent="0.35">
      <c r="B3527">
        <v>1400003877</v>
      </c>
      <c r="C3527" s="10">
        <v>46112</v>
      </c>
      <c r="D3527" t="s">
        <v>2037</v>
      </c>
      <c r="E3527" s="11" t="s">
        <v>2914</v>
      </c>
      <c r="F3527" t="s">
        <v>1583</v>
      </c>
      <c r="G3527" t="s">
        <v>1584</v>
      </c>
      <c r="H3527" s="10">
        <v>45589</v>
      </c>
      <c r="I3527">
        <v>59</v>
      </c>
      <c r="J3527">
        <v>0</v>
      </c>
      <c r="K3527">
        <v>59</v>
      </c>
    </row>
    <row r="3528" spans="2:11" x14ac:dyDescent="0.35">
      <c r="B3528">
        <v>9400000094</v>
      </c>
      <c r="C3528" s="10">
        <v>46112</v>
      </c>
      <c r="D3528" t="s">
        <v>2032</v>
      </c>
      <c r="E3528" s="11" t="s">
        <v>2915</v>
      </c>
      <c r="F3528" t="s">
        <v>1826</v>
      </c>
      <c r="G3528" t="s">
        <v>1827</v>
      </c>
      <c r="H3528" s="10">
        <v>45588</v>
      </c>
      <c r="I3528">
        <v>14.86</v>
      </c>
      <c r="J3528">
        <v>0</v>
      </c>
      <c r="K3528">
        <v>14.86</v>
      </c>
    </row>
    <row r="3529" spans="2:11" x14ac:dyDescent="0.35">
      <c r="B3529">
        <v>1400003876</v>
      </c>
      <c r="C3529" s="10">
        <v>46112</v>
      </c>
      <c r="D3529" t="s">
        <v>2037</v>
      </c>
      <c r="E3529" s="11" t="s">
        <v>2916</v>
      </c>
      <c r="F3529" t="s">
        <v>1583</v>
      </c>
      <c r="G3529" t="s">
        <v>1584</v>
      </c>
      <c r="H3529" s="10">
        <v>45588</v>
      </c>
      <c r="I3529">
        <v>228767.18</v>
      </c>
      <c r="J3529">
        <v>0</v>
      </c>
      <c r="K3529">
        <v>228767.18</v>
      </c>
    </row>
    <row r="3530" spans="2:11" x14ac:dyDescent="0.35">
      <c r="B3530">
        <v>1400003875</v>
      </c>
      <c r="C3530" s="10">
        <v>46112</v>
      </c>
      <c r="D3530" t="s">
        <v>2037</v>
      </c>
      <c r="E3530" s="11" t="s">
        <v>2917</v>
      </c>
      <c r="F3530" t="s">
        <v>1828</v>
      </c>
      <c r="G3530" t="s">
        <v>1829</v>
      </c>
      <c r="H3530" s="10">
        <v>45588</v>
      </c>
      <c r="I3530">
        <v>59</v>
      </c>
      <c r="J3530">
        <v>0</v>
      </c>
      <c r="K3530">
        <v>59</v>
      </c>
    </row>
    <row r="3531" spans="2:11" x14ac:dyDescent="0.35">
      <c r="B3531">
        <v>1400003874</v>
      </c>
      <c r="C3531" s="10">
        <v>46112</v>
      </c>
      <c r="D3531" t="s">
        <v>2037</v>
      </c>
      <c r="E3531" s="11" t="s">
        <v>2918</v>
      </c>
      <c r="F3531" t="s">
        <v>1828</v>
      </c>
      <c r="G3531" t="s">
        <v>1829</v>
      </c>
      <c r="H3531" s="10">
        <v>45588</v>
      </c>
      <c r="I3531">
        <v>59</v>
      </c>
      <c r="J3531">
        <v>0</v>
      </c>
      <c r="K3531">
        <v>59</v>
      </c>
    </row>
    <row r="3532" spans="2:11" x14ac:dyDescent="0.35">
      <c r="B3532">
        <v>1400003873</v>
      </c>
      <c r="C3532" s="10">
        <v>46112</v>
      </c>
      <c r="D3532" t="s">
        <v>2037</v>
      </c>
      <c r="E3532" s="11" t="s">
        <v>2919</v>
      </c>
      <c r="F3532" t="s">
        <v>1812</v>
      </c>
      <c r="G3532" t="s">
        <v>1813</v>
      </c>
      <c r="H3532" s="10">
        <v>45588</v>
      </c>
      <c r="I3532">
        <v>59</v>
      </c>
      <c r="J3532">
        <v>0</v>
      </c>
      <c r="K3532">
        <v>59</v>
      </c>
    </row>
    <row r="3533" spans="2:11" x14ac:dyDescent="0.35">
      <c r="B3533">
        <v>1400003872</v>
      </c>
      <c r="C3533" s="10">
        <v>46112</v>
      </c>
      <c r="D3533" t="s">
        <v>2037</v>
      </c>
      <c r="E3533" s="11" t="s">
        <v>2920</v>
      </c>
      <c r="F3533" t="s">
        <v>1830</v>
      </c>
      <c r="G3533" t="s">
        <v>1831</v>
      </c>
      <c r="H3533" s="10">
        <v>45588</v>
      </c>
      <c r="I3533">
        <v>59</v>
      </c>
      <c r="J3533">
        <v>0</v>
      </c>
      <c r="K3533">
        <v>59</v>
      </c>
    </row>
    <row r="3534" spans="2:11" x14ac:dyDescent="0.35">
      <c r="B3534">
        <v>1400003871</v>
      </c>
      <c r="C3534" s="10">
        <v>46112</v>
      </c>
      <c r="D3534" t="s">
        <v>2037</v>
      </c>
      <c r="E3534" s="11" t="s">
        <v>2921</v>
      </c>
      <c r="F3534" t="s">
        <v>1808</v>
      </c>
      <c r="G3534" t="s">
        <v>1809</v>
      </c>
      <c r="H3534" s="10">
        <v>45588</v>
      </c>
      <c r="I3534">
        <v>39902.480000000003</v>
      </c>
      <c r="J3534">
        <v>0</v>
      </c>
      <c r="K3534">
        <v>39902.480000000003</v>
      </c>
    </row>
    <row r="3535" spans="2:11" x14ac:dyDescent="0.35">
      <c r="B3535">
        <v>9400000462</v>
      </c>
      <c r="C3535" s="10">
        <v>46112</v>
      </c>
      <c r="D3535" t="s">
        <v>2032</v>
      </c>
      <c r="E3535" s="11" t="s">
        <v>2922</v>
      </c>
      <c r="F3535" t="s">
        <v>1832</v>
      </c>
      <c r="G3535" t="s">
        <v>1833</v>
      </c>
      <c r="H3535" s="10">
        <v>45587</v>
      </c>
      <c r="I3535">
        <v>37.74</v>
      </c>
      <c r="J3535">
        <v>0</v>
      </c>
      <c r="K3535">
        <v>37.74</v>
      </c>
    </row>
    <row r="3536" spans="2:11" x14ac:dyDescent="0.35">
      <c r="B3536">
        <v>1400003870</v>
      </c>
      <c r="C3536" s="10">
        <v>46112</v>
      </c>
      <c r="D3536" t="s">
        <v>2037</v>
      </c>
      <c r="E3536" s="11" t="s">
        <v>2923</v>
      </c>
      <c r="F3536" t="s">
        <v>1812</v>
      </c>
      <c r="G3536" t="s">
        <v>1813</v>
      </c>
      <c r="H3536" s="10">
        <v>45587</v>
      </c>
      <c r="I3536">
        <v>39327.75</v>
      </c>
      <c r="J3536">
        <v>0</v>
      </c>
      <c r="K3536">
        <v>39327.75</v>
      </c>
    </row>
    <row r="3537" spans="2:11" x14ac:dyDescent="0.35">
      <c r="B3537">
        <v>1400003869</v>
      </c>
      <c r="C3537" s="10">
        <v>46112</v>
      </c>
      <c r="D3537" t="s">
        <v>2037</v>
      </c>
      <c r="E3537" s="11" t="s">
        <v>2924</v>
      </c>
      <c r="F3537" t="s">
        <v>1830</v>
      </c>
      <c r="G3537" t="s">
        <v>1831</v>
      </c>
      <c r="H3537" s="10">
        <v>45587</v>
      </c>
      <c r="I3537">
        <v>19182</v>
      </c>
      <c r="J3537">
        <v>0</v>
      </c>
      <c r="K3537">
        <v>19182</v>
      </c>
    </row>
    <row r="3538" spans="2:11" x14ac:dyDescent="0.35">
      <c r="B3538">
        <v>1400003868</v>
      </c>
      <c r="C3538" s="10">
        <v>46112</v>
      </c>
      <c r="D3538" t="s">
        <v>2037</v>
      </c>
      <c r="E3538" s="11" t="s">
        <v>2925</v>
      </c>
      <c r="F3538" t="s">
        <v>1828</v>
      </c>
      <c r="G3538" t="s">
        <v>1829</v>
      </c>
      <c r="H3538" s="10">
        <v>45586</v>
      </c>
      <c r="I3538">
        <v>30223</v>
      </c>
      <c r="J3538">
        <v>0</v>
      </c>
      <c r="K3538">
        <v>30223</v>
      </c>
    </row>
    <row r="3539" spans="2:11" x14ac:dyDescent="0.35">
      <c r="B3539">
        <v>1400003867</v>
      </c>
      <c r="C3539" s="10">
        <v>46112</v>
      </c>
      <c r="D3539" t="s">
        <v>2037</v>
      </c>
      <c r="E3539" s="11" t="s">
        <v>2926</v>
      </c>
      <c r="F3539" t="s">
        <v>1828</v>
      </c>
      <c r="G3539" t="s">
        <v>1829</v>
      </c>
      <c r="H3539" s="10">
        <v>45583</v>
      </c>
      <c r="I3539">
        <v>88296</v>
      </c>
      <c r="J3539">
        <v>0</v>
      </c>
      <c r="K3539">
        <v>88296</v>
      </c>
    </row>
    <row r="3540" spans="2:11" x14ac:dyDescent="0.35">
      <c r="B3540">
        <v>1400003866</v>
      </c>
      <c r="C3540" s="10">
        <v>46112</v>
      </c>
      <c r="D3540" t="s">
        <v>2037</v>
      </c>
      <c r="E3540" s="11" t="s">
        <v>2927</v>
      </c>
      <c r="F3540" t="s">
        <v>1830</v>
      </c>
      <c r="G3540" t="s">
        <v>1831</v>
      </c>
      <c r="H3540" s="10">
        <v>45583</v>
      </c>
      <c r="I3540">
        <v>59</v>
      </c>
      <c r="J3540">
        <v>0</v>
      </c>
      <c r="K3540">
        <v>59</v>
      </c>
    </row>
    <row r="3541" spans="2:11" x14ac:dyDescent="0.35">
      <c r="B3541">
        <v>1400003865</v>
      </c>
      <c r="C3541" s="10">
        <v>46112</v>
      </c>
      <c r="D3541" t="s">
        <v>2037</v>
      </c>
      <c r="E3541" s="11" t="s">
        <v>2928</v>
      </c>
      <c r="F3541" t="s">
        <v>1820</v>
      </c>
      <c r="G3541" t="s">
        <v>1821</v>
      </c>
      <c r="H3541" s="10">
        <v>45583</v>
      </c>
      <c r="I3541">
        <v>59</v>
      </c>
      <c r="J3541">
        <v>0</v>
      </c>
      <c r="K3541">
        <v>59</v>
      </c>
    </row>
    <row r="3542" spans="2:11" x14ac:dyDescent="0.35">
      <c r="B3542">
        <v>9400000461</v>
      </c>
      <c r="C3542" s="10">
        <v>46112</v>
      </c>
      <c r="D3542" t="s">
        <v>2032</v>
      </c>
      <c r="E3542" s="11" t="s">
        <v>2929</v>
      </c>
      <c r="F3542" t="s">
        <v>1750</v>
      </c>
      <c r="G3542" t="s">
        <v>1751</v>
      </c>
      <c r="H3542" s="10">
        <v>45652</v>
      </c>
      <c r="I3542">
        <v>29130.52</v>
      </c>
      <c r="J3542">
        <v>0</v>
      </c>
      <c r="K3542">
        <v>29130.52</v>
      </c>
    </row>
    <row r="3543" spans="2:11" x14ac:dyDescent="0.35">
      <c r="B3543">
        <v>1400003864</v>
      </c>
      <c r="C3543" s="10">
        <v>46112</v>
      </c>
      <c r="D3543" t="s">
        <v>2037</v>
      </c>
      <c r="E3543" s="11" t="s">
        <v>2930</v>
      </c>
      <c r="F3543" t="s">
        <v>1820</v>
      </c>
      <c r="G3543" t="s">
        <v>1821</v>
      </c>
      <c r="H3543" s="10">
        <v>45582</v>
      </c>
      <c r="I3543">
        <v>237885.72</v>
      </c>
      <c r="J3543">
        <v>0</v>
      </c>
      <c r="K3543">
        <v>237885.72</v>
      </c>
    </row>
    <row r="3544" spans="2:11" x14ac:dyDescent="0.35">
      <c r="B3544">
        <v>1400003863</v>
      </c>
      <c r="C3544" s="10">
        <v>46112</v>
      </c>
      <c r="D3544" t="s">
        <v>2037</v>
      </c>
      <c r="E3544" s="11" t="s">
        <v>2931</v>
      </c>
      <c r="F3544" t="s">
        <v>1830</v>
      </c>
      <c r="G3544" t="s">
        <v>1831</v>
      </c>
      <c r="H3544" s="10">
        <v>45580</v>
      </c>
      <c r="I3544">
        <v>79343</v>
      </c>
      <c r="J3544">
        <v>0</v>
      </c>
      <c r="K3544">
        <v>79343</v>
      </c>
    </row>
    <row r="3545" spans="2:11" x14ac:dyDescent="0.35">
      <c r="B3545">
        <v>1400003862</v>
      </c>
      <c r="C3545" s="10">
        <v>46112</v>
      </c>
      <c r="D3545" t="s">
        <v>2037</v>
      </c>
      <c r="E3545" s="11" t="s">
        <v>2932</v>
      </c>
      <c r="F3545" t="s">
        <v>1830</v>
      </c>
      <c r="G3545" t="s">
        <v>1831</v>
      </c>
      <c r="H3545" s="10">
        <v>45571</v>
      </c>
      <c r="I3545">
        <v>59</v>
      </c>
      <c r="J3545">
        <v>0</v>
      </c>
      <c r="K3545">
        <v>59</v>
      </c>
    </row>
    <row r="3546" spans="2:11" x14ac:dyDescent="0.35">
      <c r="B3546">
        <v>1400003861</v>
      </c>
      <c r="C3546" s="10">
        <v>46112</v>
      </c>
      <c r="D3546" t="s">
        <v>2037</v>
      </c>
      <c r="E3546" s="11" t="s">
        <v>2933</v>
      </c>
      <c r="F3546" t="s">
        <v>1830</v>
      </c>
      <c r="G3546" t="s">
        <v>1831</v>
      </c>
      <c r="H3546" s="10">
        <v>45571</v>
      </c>
      <c r="I3546">
        <v>20820.07</v>
      </c>
      <c r="J3546">
        <v>0</v>
      </c>
      <c r="K3546">
        <v>20820.07</v>
      </c>
    </row>
    <row r="3547" spans="2:11" x14ac:dyDescent="0.35">
      <c r="B3547">
        <v>1400003860</v>
      </c>
      <c r="C3547" s="10">
        <v>46112</v>
      </c>
      <c r="D3547" t="s">
        <v>2037</v>
      </c>
      <c r="E3547" s="11" t="s">
        <v>2934</v>
      </c>
      <c r="F3547" t="s">
        <v>1828</v>
      </c>
      <c r="G3547" t="s">
        <v>1829</v>
      </c>
      <c r="H3547" s="10">
        <v>45570</v>
      </c>
      <c r="I3547">
        <v>59</v>
      </c>
      <c r="J3547">
        <v>0</v>
      </c>
      <c r="K3547">
        <v>59</v>
      </c>
    </row>
    <row r="3548" spans="2:11" x14ac:dyDescent="0.35">
      <c r="B3548">
        <v>9400000429</v>
      </c>
      <c r="C3548" s="10">
        <v>46112</v>
      </c>
      <c r="D3548" t="s">
        <v>2032</v>
      </c>
      <c r="E3548" s="11" t="s">
        <v>2935</v>
      </c>
      <c r="F3548" t="s">
        <v>1834</v>
      </c>
      <c r="G3548" t="s">
        <v>1835</v>
      </c>
      <c r="H3548" s="10">
        <v>45569</v>
      </c>
      <c r="I3548">
        <v>91.86</v>
      </c>
      <c r="J3548">
        <v>0</v>
      </c>
      <c r="K3548">
        <v>91.86</v>
      </c>
    </row>
    <row r="3549" spans="2:11" x14ac:dyDescent="0.35">
      <c r="B3549">
        <v>1400003859</v>
      </c>
      <c r="C3549" s="10">
        <v>46112</v>
      </c>
      <c r="D3549" t="s">
        <v>2037</v>
      </c>
      <c r="E3549" s="11" t="s">
        <v>2936</v>
      </c>
      <c r="F3549" t="s">
        <v>1828</v>
      </c>
      <c r="G3549" t="s">
        <v>1829</v>
      </c>
      <c r="H3549" s="10">
        <v>45568</v>
      </c>
      <c r="I3549">
        <v>33496</v>
      </c>
      <c r="J3549">
        <v>0</v>
      </c>
      <c r="K3549">
        <v>33496</v>
      </c>
    </row>
    <row r="3550" spans="2:11" x14ac:dyDescent="0.35">
      <c r="B3550">
        <v>1400003858</v>
      </c>
      <c r="C3550" s="10">
        <v>46112</v>
      </c>
      <c r="D3550" t="s">
        <v>2037</v>
      </c>
      <c r="E3550" s="11" t="s">
        <v>2937</v>
      </c>
      <c r="F3550" t="s">
        <v>1836</v>
      </c>
      <c r="G3550" t="s">
        <v>1837</v>
      </c>
      <c r="H3550" s="10">
        <v>45562</v>
      </c>
      <c r="I3550">
        <v>110.53</v>
      </c>
      <c r="J3550">
        <v>0</v>
      </c>
      <c r="K3550">
        <v>110.53</v>
      </c>
    </row>
    <row r="3551" spans="2:11" x14ac:dyDescent="0.35">
      <c r="B3551">
        <v>1400003857</v>
      </c>
      <c r="C3551" s="10">
        <v>46112</v>
      </c>
      <c r="D3551" t="s">
        <v>2037</v>
      </c>
      <c r="E3551" s="11" t="s">
        <v>2938</v>
      </c>
      <c r="F3551" t="s">
        <v>1828</v>
      </c>
      <c r="G3551" t="s">
        <v>1829</v>
      </c>
      <c r="H3551" s="10">
        <v>45561</v>
      </c>
      <c r="I3551">
        <v>59</v>
      </c>
      <c r="J3551">
        <v>0</v>
      </c>
      <c r="K3551">
        <v>59</v>
      </c>
    </row>
    <row r="3552" spans="2:11" x14ac:dyDescent="0.35">
      <c r="B3552">
        <v>1400003856</v>
      </c>
      <c r="C3552" s="10">
        <v>46112</v>
      </c>
      <c r="D3552" t="s">
        <v>2037</v>
      </c>
      <c r="E3552" s="11" t="s">
        <v>2939</v>
      </c>
      <c r="F3552" t="s">
        <v>1828</v>
      </c>
      <c r="G3552" t="s">
        <v>1829</v>
      </c>
      <c r="H3552" s="10">
        <v>45560</v>
      </c>
      <c r="I3552">
        <v>29828</v>
      </c>
      <c r="J3552">
        <v>0</v>
      </c>
      <c r="K3552">
        <v>29828</v>
      </c>
    </row>
    <row r="3553" spans="2:11" x14ac:dyDescent="0.35">
      <c r="B3553">
        <v>1400003855</v>
      </c>
      <c r="C3553" s="10">
        <v>46112</v>
      </c>
      <c r="D3553" t="s">
        <v>2037</v>
      </c>
      <c r="E3553" s="11" t="s">
        <v>2940</v>
      </c>
      <c r="F3553" t="s">
        <v>1838</v>
      </c>
      <c r="G3553" t="s">
        <v>1839</v>
      </c>
      <c r="H3553" s="10">
        <v>45559</v>
      </c>
      <c r="I3553">
        <v>59</v>
      </c>
      <c r="J3553">
        <v>0</v>
      </c>
      <c r="K3553">
        <v>59</v>
      </c>
    </row>
    <row r="3554" spans="2:11" x14ac:dyDescent="0.35">
      <c r="B3554">
        <v>1400003854</v>
      </c>
      <c r="C3554" s="10">
        <v>46112</v>
      </c>
      <c r="D3554" t="s">
        <v>2037</v>
      </c>
      <c r="E3554" s="11" t="s">
        <v>2941</v>
      </c>
      <c r="F3554" t="s">
        <v>1828</v>
      </c>
      <c r="G3554" t="s">
        <v>1829</v>
      </c>
      <c r="H3554" s="10">
        <v>45559</v>
      </c>
      <c r="I3554">
        <v>59</v>
      </c>
      <c r="J3554">
        <v>0</v>
      </c>
      <c r="K3554">
        <v>59</v>
      </c>
    </row>
    <row r="3555" spans="2:11" x14ac:dyDescent="0.35">
      <c r="B3555">
        <v>1400003853</v>
      </c>
      <c r="C3555" s="10">
        <v>46112</v>
      </c>
      <c r="D3555" t="s">
        <v>2037</v>
      </c>
      <c r="E3555" s="11" t="s">
        <v>2942</v>
      </c>
      <c r="F3555" t="s">
        <v>1840</v>
      </c>
      <c r="G3555" t="s">
        <v>1841</v>
      </c>
      <c r="H3555" s="10">
        <v>45555</v>
      </c>
      <c r="I3555">
        <v>59</v>
      </c>
      <c r="J3555">
        <v>0</v>
      </c>
      <c r="K3555">
        <v>59</v>
      </c>
    </row>
    <row r="3556" spans="2:11" x14ac:dyDescent="0.35">
      <c r="B3556">
        <v>1400003852</v>
      </c>
      <c r="C3556" s="10">
        <v>46112</v>
      </c>
      <c r="D3556" t="s">
        <v>2037</v>
      </c>
      <c r="E3556" s="11" t="s">
        <v>2943</v>
      </c>
      <c r="F3556" t="s">
        <v>1838</v>
      </c>
      <c r="G3556" t="s">
        <v>1839</v>
      </c>
      <c r="H3556" s="10">
        <v>45554</v>
      </c>
      <c r="I3556">
        <v>62711</v>
      </c>
      <c r="J3556">
        <v>0</v>
      </c>
      <c r="K3556">
        <v>62711</v>
      </c>
    </row>
    <row r="3557" spans="2:11" x14ac:dyDescent="0.35">
      <c r="B3557">
        <v>1400003851</v>
      </c>
      <c r="C3557" s="10">
        <v>46112</v>
      </c>
      <c r="D3557" t="s">
        <v>2037</v>
      </c>
      <c r="E3557" s="11" t="s">
        <v>2944</v>
      </c>
      <c r="F3557" t="s">
        <v>1828</v>
      </c>
      <c r="G3557" t="s">
        <v>1829</v>
      </c>
      <c r="H3557" s="10">
        <v>45554</v>
      </c>
      <c r="I3557">
        <v>1857.53</v>
      </c>
      <c r="J3557">
        <v>0</v>
      </c>
      <c r="K3557">
        <v>1857.53</v>
      </c>
    </row>
    <row r="3558" spans="2:11" x14ac:dyDescent="0.35">
      <c r="B3558">
        <v>1400003850</v>
      </c>
      <c r="C3558" s="10">
        <v>46112</v>
      </c>
      <c r="D3558" t="s">
        <v>2037</v>
      </c>
      <c r="E3558" s="11" t="s">
        <v>2945</v>
      </c>
      <c r="F3558" t="s">
        <v>1840</v>
      </c>
      <c r="G3558" t="s">
        <v>1841</v>
      </c>
      <c r="H3558" s="10">
        <v>45553</v>
      </c>
      <c r="I3558">
        <v>228864.03</v>
      </c>
      <c r="J3558">
        <v>0</v>
      </c>
      <c r="K3558">
        <v>228864.03</v>
      </c>
    </row>
    <row r="3559" spans="2:11" x14ac:dyDescent="0.35">
      <c r="B3559">
        <v>1400003849</v>
      </c>
      <c r="C3559" s="10">
        <v>46112</v>
      </c>
      <c r="D3559" t="s">
        <v>2037</v>
      </c>
      <c r="E3559" s="11" t="s">
        <v>2946</v>
      </c>
      <c r="F3559" t="s">
        <v>1838</v>
      </c>
      <c r="G3559" t="s">
        <v>1839</v>
      </c>
      <c r="H3559" s="10">
        <v>45551</v>
      </c>
      <c r="I3559">
        <v>59</v>
      </c>
      <c r="J3559">
        <v>0</v>
      </c>
      <c r="K3559">
        <v>59</v>
      </c>
    </row>
    <row r="3560" spans="2:11" x14ac:dyDescent="0.35">
      <c r="B3560">
        <v>1400003848</v>
      </c>
      <c r="C3560" s="10">
        <v>46112</v>
      </c>
      <c r="D3560" t="s">
        <v>2037</v>
      </c>
      <c r="E3560" s="11" t="s">
        <v>2947</v>
      </c>
      <c r="F3560" t="s">
        <v>1842</v>
      </c>
      <c r="G3560" t="s">
        <v>1843</v>
      </c>
      <c r="H3560" s="10">
        <v>45551</v>
      </c>
      <c r="I3560">
        <v>59</v>
      </c>
      <c r="J3560">
        <v>0</v>
      </c>
      <c r="K3560">
        <v>59</v>
      </c>
    </row>
    <row r="3561" spans="2:11" x14ac:dyDescent="0.35">
      <c r="B3561">
        <v>1400003847</v>
      </c>
      <c r="C3561" s="10">
        <v>46112</v>
      </c>
      <c r="D3561" t="s">
        <v>2037</v>
      </c>
      <c r="E3561" s="11" t="s">
        <v>2948</v>
      </c>
      <c r="F3561" t="s">
        <v>1844</v>
      </c>
      <c r="G3561" t="s">
        <v>1845</v>
      </c>
      <c r="H3561" s="10">
        <v>45550</v>
      </c>
      <c r="I3561">
        <v>59</v>
      </c>
      <c r="J3561">
        <v>0</v>
      </c>
      <c r="K3561">
        <v>59</v>
      </c>
    </row>
    <row r="3562" spans="2:11" x14ac:dyDescent="0.35">
      <c r="B3562">
        <v>1400003846</v>
      </c>
      <c r="C3562" s="10">
        <v>46112</v>
      </c>
      <c r="D3562" t="s">
        <v>2037</v>
      </c>
      <c r="E3562" s="11" t="s">
        <v>2949</v>
      </c>
      <c r="F3562" t="s">
        <v>1844</v>
      </c>
      <c r="G3562" t="s">
        <v>1845</v>
      </c>
      <c r="H3562" s="10">
        <v>45550</v>
      </c>
      <c r="I3562">
        <v>0.33</v>
      </c>
      <c r="J3562">
        <v>0</v>
      </c>
      <c r="K3562">
        <v>0.33</v>
      </c>
    </row>
    <row r="3563" spans="2:11" x14ac:dyDescent="0.35">
      <c r="B3563">
        <v>1400003845</v>
      </c>
      <c r="C3563" s="10">
        <v>46112</v>
      </c>
      <c r="D3563" t="s">
        <v>2037</v>
      </c>
      <c r="E3563" s="11" t="s">
        <v>2950</v>
      </c>
      <c r="F3563" t="s">
        <v>1838</v>
      </c>
      <c r="G3563" t="s">
        <v>1839</v>
      </c>
      <c r="H3563" s="10">
        <v>45546</v>
      </c>
      <c r="I3563">
        <v>87584</v>
      </c>
      <c r="J3563">
        <v>0</v>
      </c>
      <c r="K3563">
        <v>87584</v>
      </c>
    </row>
    <row r="3564" spans="2:11" x14ac:dyDescent="0.35">
      <c r="B3564">
        <v>1400003844</v>
      </c>
      <c r="C3564" s="10">
        <v>46112</v>
      </c>
      <c r="D3564" t="s">
        <v>2037</v>
      </c>
      <c r="E3564" s="11" t="s">
        <v>2951</v>
      </c>
      <c r="F3564" t="s">
        <v>1842</v>
      </c>
      <c r="G3564" t="s">
        <v>1843</v>
      </c>
      <c r="H3564" s="10">
        <v>45539</v>
      </c>
      <c r="I3564">
        <v>173550</v>
      </c>
      <c r="J3564">
        <v>0</v>
      </c>
      <c r="K3564">
        <v>173550</v>
      </c>
    </row>
    <row r="3565" spans="2:11" x14ac:dyDescent="0.35">
      <c r="B3565">
        <v>1400003843</v>
      </c>
      <c r="C3565" s="10">
        <v>46112</v>
      </c>
      <c r="D3565" t="s">
        <v>2037</v>
      </c>
      <c r="E3565" s="11" t="s">
        <v>2952</v>
      </c>
      <c r="F3565" t="s">
        <v>1838</v>
      </c>
      <c r="G3565" t="s">
        <v>1839</v>
      </c>
      <c r="H3565" s="10">
        <v>45539</v>
      </c>
      <c r="I3565">
        <v>59</v>
      </c>
      <c r="J3565">
        <v>0</v>
      </c>
      <c r="K3565">
        <v>59</v>
      </c>
    </row>
    <row r="3566" spans="2:11" x14ac:dyDescent="0.35">
      <c r="B3566">
        <v>1400003842</v>
      </c>
      <c r="C3566" s="10">
        <v>46112</v>
      </c>
      <c r="D3566" t="s">
        <v>2037</v>
      </c>
      <c r="E3566" s="11" t="s">
        <v>2953</v>
      </c>
      <c r="F3566" t="s">
        <v>1838</v>
      </c>
      <c r="G3566" t="s">
        <v>1839</v>
      </c>
      <c r="H3566" s="10">
        <v>45538</v>
      </c>
      <c r="I3566">
        <v>62600</v>
      </c>
      <c r="J3566">
        <v>0</v>
      </c>
      <c r="K3566">
        <v>62600</v>
      </c>
    </row>
    <row r="3567" spans="2:11" x14ac:dyDescent="0.35">
      <c r="B3567">
        <v>9400000460</v>
      </c>
      <c r="C3567" s="10">
        <v>46112</v>
      </c>
      <c r="D3567" t="s">
        <v>2032</v>
      </c>
      <c r="E3567" s="11" t="s">
        <v>2954</v>
      </c>
      <c r="F3567" t="s">
        <v>1846</v>
      </c>
      <c r="G3567" t="s">
        <v>1847</v>
      </c>
      <c r="H3567" s="10">
        <v>45565</v>
      </c>
      <c r="I3567">
        <v>0.31</v>
      </c>
      <c r="J3567">
        <v>0</v>
      </c>
      <c r="K3567">
        <v>0.31</v>
      </c>
    </row>
    <row r="3568" spans="2:11" x14ac:dyDescent="0.35">
      <c r="B3568">
        <v>1800000069</v>
      </c>
      <c r="C3568" s="10">
        <v>46112</v>
      </c>
      <c r="D3568" t="s">
        <v>2052</v>
      </c>
      <c r="E3568" s="11" t="s">
        <v>2955</v>
      </c>
      <c r="F3568" t="s">
        <v>1848</v>
      </c>
      <c r="G3568" t="s">
        <v>1849</v>
      </c>
      <c r="H3568" s="10">
        <v>45579</v>
      </c>
      <c r="I3568">
        <v>0.53</v>
      </c>
      <c r="J3568">
        <v>0</v>
      </c>
      <c r="K3568">
        <v>0.53</v>
      </c>
    </row>
    <row r="3569" spans="2:11" x14ac:dyDescent="0.35">
      <c r="B3569">
        <v>1400003841</v>
      </c>
      <c r="C3569" s="10">
        <v>46112</v>
      </c>
      <c r="D3569" t="s">
        <v>2037</v>
      </c>
      <c r="E3569" s="11" t="s">
        <v>2956</v>
      </c>
      <c r="F3569" t="s">
        <v>1838</v>
      </c>
      <c r="G3569" t="s">
        <v>1839</v>
      </c>
      <c r="H3569" s="10">
        <v>45534</v>
      </c>
      <c r="I3569">
        <v>59</v>
      </c>
      <c r="J3569">
        <v>0</v>
      </c>
      <c r="K3569">
        <v>59</v>
      </c>
    </row>
    <row r="3570" spans="2:11" x14ac:dyDescent="0.35">
      <c r="B3570">
        <v>1400003840</v>
      </c>
      <c r="C3570" s="10">
        <v>46112</v>
      </c>
      <c r="D3570" t="s">
        <v>2037</v>
      </c>
      <c r="E3570" s="11" t="s">
        <v>2957</v>
      </c>
      <c r="F3570" t="s">
        <v>1850</v>
      </c>
      <c r="G3570" t="s">
        <v>1851</v>
      </c>
      <c r="H3570" s="10">
        <v>45534</v>
      </c>
      <c r="I3570">
        <v>59</v>
      </c>
      <c r="J3570">
        <v>0</v>
      </c>
      <c r="K3570">
        <v>59</v>
      </c>
    </row>
    <row r="3571" spans="2:11" x14ac:dyDescent="0.35">
      <c r="B3571">
        <v>1400003839</v>
      </c>
      <c r="C3571" s="10">
        <v>46112</v>
      </c>
      <c r="D3571" t="s">
        <v>2037</v>
      </c>
      <c r="E3571" s="11" t="s">
        <v>2958</v>
      </c>
      <c r="F3571" t="s">
        <v>1850</v>
      </c>
      <c r="G3571" t="s">
        <v>1851</v>
      </c>
      <c r="H3571" s="10">
        <v>45533</v>
      </c>
      <c r="I3571">
        <v>182930</v>
      </c>
      <c r="J3571">
        <v>0</v>
      </c>
      <c r="K3571">
        <v>182930</v>
      </c>
    </row>
    <row r="3572" spans="2:11" x14ac:dyDescent="0.35">
      <c r="B3572">
        <v>1400003838</v>
      </c>
      <c r="C3572" s="10">
        <v>46112</v>
      </c>
      <c r="D3572" t="s">
        <v>2037</v>
      </c>
      <c r="E3572" s="11" t="s">
        <v>2959</v>
      </c>
      <c r="F3572" t="s">
        <v>1838</v>
      </c>
      <c r="G3572" t="s">
        <v>1839</v>
      </c>
      <c r="H3572" s="10">
        <v>45533</v>
      </c>
      <c r="I3572">
        <v>16394.16</v>
      </c>
      <c r="J3572">
        <v>0</v>
      </c>
      <c r="K3572">
        <v>16394.16</v>
      </c>
    </row>
    <row r="3573" spans="2:11" x14ac:dyDescent="0.35">
      <c r="B3573">
        <v>9400000620</v>
      </c>
      <c r="C3573" s="10">
        <v>46112</v>
      </c>
      <c r="D3573" t="s">
        <v>2032</v>
      </c>
      <c r="E3573" s="11" t="s">
        <v>2960</v>
      </c>
      <c r="F3573" t="s">
        <v>1852</v>
      </c>
      <c r="G3573" t="s">
        <v>1853</v>
      </c>
      <c r="H3573" s="10">
        <v>45532</v>
      </c>
      <c r="I3573">
        <v>48.03</v>
      </c>
      <c r="J3573">
        <v>0</v>
      </c>
      <c r="K3573">
        <v>48.03</v>
      </c>
    </row>
    <row r="3574" spans="2:11" x14ac:dyDescent="0.35">
      <c r="B3574">
        <v>1400003837</v>
      </c>
      <c r="C3574" s="10">
        <v>46112</v>
      </c>
      <c r="D3574" t="s">
        <v>2037</v>
      </c>
      <c r="E3574" s="11" t="s">
        <v>2961</v>
      </c>
      <c r="F3574" t="s">
        <v>1854</v>
      </c>
      <c r="G3574" t="s">
        <v>1855</v>
      </c>
      <c r="H3574" s="10">
        <v>45526</v>
      </c>
      <c r="I3574">
        <v>9</v>
      </c>
      <c r="J3574">
        <v>0</v>
      </c>
      <c r="K3574">
        <v>9</v>
      </c>
    </row>
    <row r="3575" spans="2:11" x14ac:dyDescent="0.35">
      <c r="B3575">
        <v>1400003836</v>
      </c>
      <c r="C3575" s="10">
        <v>46112</v>
      </c>
      <c r="D3575" t="s">
        <v>2037</v>
      </c>
      <c r="E3575" s="11" t="s">
        <v>2962</v>
      </c>
      <c r="F3575" t="s">
        <v>1856</v>
      </c>
      <c r="G3575" t="s">
        <v>1857</v>
      </c>
      <c r="H3575" s="10">
        <v>45526</v>
      </c>
      <c r="I3575">
        <v>9</v>
      </c>
      <c r="J3575">
        <v>0</v>
      </c>
      <c r="K3575">
        <v>9</v>
      </c>
    </row>
    <row r="3576" spans="2:11" x14ac:dyDescent="0.35">
      <c r="B3576">
        <v>1400003835</v>
      </c>
      <c r="C3576" s="10">
        <v>46112</v>
      </c>
      <c r="D3576" t="s">
        <v>2037</v>
      </c>
      <c r="E3576" s="11" t="s">
        <v>2963</v>
      </c>
      <c r="F3576" t="s">
        <v>1854</v>
      </c>
      <c r="G3576" t="s">
        <v>1855</v>
      </c>
      <c r="H3576" s="10">
        <v>45526</v>
      </c>
      <c r="I3576">
        <v>59</v>
      </c>
      <c r="J3576">
        <v>0</v>
      </c>
      <c r="K3576">
        <v>59</v>
      </c>
    </row>
    <row r="3577" spans="2:11" x14ac:dyDescent="0.35">
      <c r="B3577">
        <v>1400003834</v>
      </c>
      <c r="C3577" s="10">
        <v>46112</v>
      </c>
      <c r="D3577" t="s">
        <v>2037</v>
      </c>
      <c r="E3577" s="11" t="s">
        <v>2964</v>
      </c>
      <c r="F3577" t="s">
        <v>1858</v>
      </c>
      <c r="G3577" t="s">
        <v>1859</v>
      </c>
      <c r="H3577" s="10">
        <v>45526</v>
      </c>
      <c r="I3577">
        <v>59</v>
      </c>
      <c r="J3577">
        <v>0</v>
      </c>
      <c r="K3577">
        <v>59</v>
      </c>
    </row>
    <row r="3578" spans="2:11" x14ac:dyDescent="0.35">
      <c r="B3578">
        <v>1400003832</v>
      </c>
      <c r="C3578" s="10">
        <v>46112</v>
      </c>
      <c r="D3578" t="s">
        <v>2037</v>
      </c>
      <c r="E3578" s="11" t="s">
        <v>2965</v>
      </c>
      <c r="F3578" t="s">
        <v>1842</v>
      </c>
      <c r="G3578" t="s">
        <v>1843</v>
      </c>
      <c r="H3578" s="10">
        <v>45526</v>
      </c>
      <c r="I3578">
        <v>59</v>
      </c>
      <c r="J3578">
        <v>0</v>
      </c>
      <c r="K3578">
        <v>59</v>
      </c>
    </row>
    <row r="3579" spans="2:11" x14ac:dyDescent="0.35">
      <c r="B3579">
        <v>1400003831</v>
      </c>
      <c r="C3579" s="10">
        <v>46112</v>
      </c>
      <c r="D3579" t="s">
        <v>2037</v>
      </c>
      <c r="E3579" s="11" t="s">
        <v>2966</v>
      </c>
      <c r="F3579" t="s">
        <v>1862</v>
      </c>
      <c r="G3579" t="s">
        <v>1863</v>
      </c>
      <c r="H3579" s="10">
        <v>45526</v>
      </c>
      <c r="I3579">
        <v>58.39</v>
      </c>
      <c r="J3579">
        <v>0</v>
      </c>
      <c r="K3579">
        <v>58.39</v>
      </c>
    </row>
    <row r="3580" spans="2:11" x14ac:dyDescent="0.35">
      <c r="B3580">
        <v>1400004394</v>
      </c>
      <c r="C3580" s="10">
        <v>46112</v>
      </c>
      <c r="D3580" t="s">
        <v>2037</v>
      </c>
      <c r="E3580" s="11" t="s">
        <v>2967</v>
      </c>
      <c r="F3580" t="s">
        <v>1842</v>
      </c>
      <c r="G3580" t="s">
        <v>1843</v>
      </c>
      <c r="H3580" s="10">
        <v>45523</v>
      </c>
      <c r="I3580">
        <v>59</v>
      </c>
      <c r="J3580">
        <v>0</v>
      </c>
      <c r="K3580">
        <v>59</v>
      </c>
    </row>
    <row r="3581" spans="2:11" x14ac:dyDescent="0.35">
      <c r="B3581">
        <v>1400004393</v>
      </c>
      <c r="C3581" s="10">
        <v>46112</v>
      </c>
      <c r="D3581" t="s">
        <v>2037</v>
      </c>
      <c r="E3581" s="11" t="s">
        <v>2968</v>
      </c>
      <c r="F3581" t="s">
        <v>1842</v>
      </c>
      <c r="G3581" t="s">
        <v>1843</v>
      </c>
      <c r="H3581" s="10">
        <v>45523</v>
      </c>
      <c r="I3581">
        <v>270000</v>
      </c>
      <c r="J3581">
        <v>0</v>
      </c>
      <c r="K3581">
        <v>270000</v>
      </c>
    </row>
    <row r="3582" spans="2:11" x14ac:dyDescent="0.35">
      <c r="B3582">
        <v>1400004392</v>
      </c>
      <c r="C3582" s="10">
        <v>46112</v>
      </c>
      <c r="D3582" t="s">
        <v>2037</v>
      </c>
      <c r="E3582" s="11" t="s">
        <v>2969</v>
      </c>
      <c r="F3582" t="s">
        <v>1858</v>
      </c>
      <c r="G3582" t="s">
        <v>1859</v>
      </c>
      <c r="H3582" s="10">
        <v>45520</v>
      </c>
      <c r="I3582">
        <v>0.22</v>
      </c>
      <c r="J3582">
        <v>0</v>
      </c>
      <c r="K3582">
        <v>0.22</v>
      </c>
    </row>
    <row r="3583" spans="2:11" x14ac:dyDescent="0.35">
      <c r="B3583">
        <v>1400004391</v>
      </c>
      <c r="C3583" s="10">
        <v>46112</v>
      </c>
      <c r="D3583" t="s">
        <v>2037</v>
      </c>
      <c r="E3583" s="11" t="s">
        <v>2970</v>
      </c>
      <c r="F3583" t="s">
        <v>1854</v>
      </c>
      <c r="G3583" t="s">
        <v>1855</v>
      </c>
      <c r="H3583" s="10">
        <v>45520</v>
      </c>
      <c r="I3583">
        <v>106615.71</v>
      </c>
      <c r="J3583">
        <v>0</v>
      </c>
      <c r="K3583">
        <v>106615.71</v>
      </c>
    </row>
    <row r="3584" spans="2:11" x14ac:dyDescent="0.35">
      <c r="B3584">
        <v>1400004389</v>
      </c>
      <c r="C3584" s="10">
        <v>46112</v>
      </c>
      <c r="D3584" t="s">
        <v>2037</v>
      </c>
      <c r="E3584" s="11" t="s">
        <v>2971</v>
      </c>
      <c r="F3584" t="s">
        <v>1842</v>
      </c>
      <c r="G3584" t="s">
        <v>1843</v>
      </c>
      <c r="H3584" s="10">
        <v>45518</v>
      </c>
      <c r="I3584">
        <v>49178.8</v>
      </c>
      <c r="J3584">
        <v>0</v>
      </c>
      <c r="K3584">
        <v>49178.8</v>
      </c>
    </row>
    <row r="3585" spans="2:11" x14ac:dyDescent="0.35">
      <c r="B3585">
        <v>1800002185</v>
      </c>
      <c r="C3585" s="10">
        <v>46112</v>
      </c>
      <c r="D3585" t="s">
        <v>2052</v>
      </c>
      <c r="E3585" s="11" t="s">
        <v>2972</v>
      </c>
      <c r="F3585" t="s">
        <v>1850</v>
      </c>
      <c r="G3585" t="s">
        <v>1851</v>
      </c>
      <c r="H3585" s="10">
        <v>45561</v>
      </c>
      <c r="I3585">
        <v>8490.57</v>
      </c>
      <c r="J3585">
        <v>0</v>
      </c>
      <c r="K3585">
        <v>8490.57</v>
      </c>
    </row>
    <row r="3586" spans="2:11" x14ac:dyDescent="0.35">
      <c r="B3586">
        <v>1400004388</v>
      </c>
      <c r="C3586" s="10">
        <v>46112</v>
      </c>
      <c r="D3586" t="s">
        <v>2037</v>
      </c>
      <c r="E3586" s="11" t="s">
        <v>2973</v>
      </c>
      <c r="F3586" t="s">
        <v>1864</v>
      </c>
      <c r="G3586" t="s">
        <v>1865</v>
      </c>
      <c r="H3586" s="10">
        <v>45516</v>
      </c>
      <c r="I3586">
        <v>59</v>
      </c>
      <c r="J3586">
        <v>0</v>
      </c>
      <c r="K3586">
        <v>59</v>
      </c>
    </row>
    <row r="3587" spans="2:11" x14ac:dyDescent="0.35">
      <c r="B3587">
        <v>1800006281</v>
      </c>
      <c r="C3587" s="10">
        <v>46112</v>
      </c>
      <c r="D3587" t="s">
        <v>2052</v>
      </c>
      <c r="E3587" s="11" t="s">
        <v>2974</v>
      </c>
      <c r="F3587" t="s">
        <v>1866</v>
      </c>
      <c r="G3587" t="s">
        <v>1867</v>
      </c>
      <c r="H3587" s="10">
        <v>45558</v>
      </c>
      <c r="I3587">
        <v>14.4</v>
      </c>
      <c r="J3587">
        <v>0</v>
      </c>
      <c r="K3587">
        <v>14.4</v>
      </c>
    </row>
    <row r="3588" spans="2:11" x14ac:dyDescent="0.35">
      <c r="B3588">
        <v>1400004387</v>
      </c>
      <c r="C3588" s="10">
        <v>46112</v>
      </c>
      <c r="D3588" t="s">
        <v>2037</v>
      </c>
      <c r="E3588" s="11" t="s">
        <v>2975</v>
      </c>
      <c r="F3588" t="s">
        <v>1864</v>
      </c>
      <c r="G3588" t="s">
        <v>1865</v>
      </c>
      <c r="H3588" s="10">
        <v>45511</v>
      </c>
      <c r="I3588">
        <v>3383</v>
      </c>
      <c r="J3588">
        <v>0</v>
      </c>
      <c r="K3588">
        <v>3383</v>
      </c>
    </row>
    <row r="3589" spans="2:11" x14ac:dyDescent="0.35">
      <c r="B3589">
        <v>1800002184</v>
      </c>
      <c r="C3589" s="10">
        <v>46112</v>
      </c>
      <c r="D3589" t="s">
        <v>2052</v>
      </c>
      <c r="E3589" s="11" t="s">
        <v>2976</v>
      </c>
      <c r="F3589" t="s">
        <v>1850</v>
      </c>
      <c r="G3589" t="s">
        <v>1851</v>
      </c>
      <c r="H3589" s="10">
        <v>45554</v>
      </c>
      <c r="I3589">
        <v>41300</v>
      </c>
      <c r="J3589">
        <v>0</v>
      </c>
      <c r="K3589">
        <v>41300</v>
      </c>
    </row>
    <row r="3590" spans="2:11" x14ac:dyDescent="0.35">
      <c r="B3590">
        <v>1800005979</v>
      </c>
      <c r="C3590" s="10">
        <v>46112</v>
      </c>
      <c r="D3590" t="s">
        <v>2052</v>
      </c>
      <c r="E3590" s="11" t="s">
        <v>2977</v>
      </c>
      <c r="F3590" t="s">
        <v>1868</v>
      </c>
      <c r="G3590" t="s">
        <v>1869</v>
      </c>
      <c r="H3590" s="10">
        <v>45549</v>
      </c>
      <c r="I3590">
        <v>303.22000000000003</v>
      </c>
      <c r="J3590">
        <v>0</v>
      </c>
      <c r="K3590">
        <v>303.22000000000003</v>
      </c>
    </row>
    <row r="3591" spans="2:11" x14ac:dyDescent="0.35">
      <c r="B3591">
        <v>1800003957</v>
      </c>
      <c r="C3591" s="10">
        <v>46112</v>
      </c>
      <c r="D3591" t="s">
        <v>2052</v>
      </c>
      <c r="E3591" s="11" t="s">
        <v>2978</v>
      </c>
      <c r="F3591" t="s">
        <v>1842</v>
      </c>
      <c r="G3591" t="s">
        <v>1843</v>
      </c>
      <c r="H3591" s="10">
        <v>45549</v>
      </c>
      <c r="I3591">
        <v>97261.43</v>
      </c>
      <c r="J3591">
        <v>0</v>
      </c>
      <c r="K3591">
        <v>97261.43</v>
      </c>
    </row>
    <row r="3592" spans="2:11" x14ac:dyDescent="0.35">
      <c r="B3592">
        <v>1800002183</v>
      </c>
      <c r="C3592" s="10">
        <v>46112</v>
      </c>
      <c r="D3592" t="s">
        <v>2052</v>
      </c>
      <c r="E3592" s="11" t="s">
        <v>2979</v>
      </c>
      <c r="F3592" t="s">
        <v>1850</v>
      </c>
      <c r="G3592" t="s">
        <v>1851</v>
      </c>
      <c r="H3592" s="10">
        <v>45549</v>
      </c>
      <c r="I3592">
        <v>76110</v>
      </c>
      <c r="J3592">
        <v>0</v>
      </c>
      <c r="K3592">
        <v>76110</v>
      </c>
    </row>
    <row r="3593" spans="2:11" x14ac:dyDescent="0.35">
      <c r="B3593">
        <v>1400004386</v>
      </c>
      <c r="C3593" s="10">
        <v>46112</v>
      </c>
      <c r="D3593" t="s">
        <v>2037</v>
      </c>
      <c r="E3593" s="11" t="s">
        <v>2980</v>
      </c>
      <c r="F3593" t="s">
        <v>1864</v>
      </c>
      <c r="G3593" t="s">
        <v>1865</v>
      </c>
      <c r="H3593" s="10">
        <v>45504</v>
      </c>
      <c r="I3593">
        <v>50</v>
      </c>
      <c r="J3593">
        <v>0</v>
      </c>
      <c r="K3593">
        <v>50</v>
      </c>
    </row>
    <row r="3594" spans="2:11" x14ac:dyDescent="0.35">
      <c r="B3594">
        <v>1400004385</v>
      </c>
      <c r="C3594" s="10">
        <v>46112</v>
      </c>
      <c r="D3594" t="s">
        <v>2037</v>
      </c>
      <c r="E3594" s="11" t="s">
        <v>2981</v>
      </c>
      <c r="F3594" t="s">
        <v>1856</v>
      </c>
      <c r="G3594" t="s">
        <v>1857</v>
      </c>
      <c r="H3594" s="10">
        <v>45504</v>
      </c>
      <c r="I3594">
        <v>35557.050000000003</v>
      </c>
      <c r="J3594">
        <v>0</v>
      </c>
      <c r="K3594">
        <v>35557.050000000003</v>
      </c>
    </row>
    <row r="3595" spans="2:11" x14ac:dyDescent="0.35">
      <c r="B3595">
        <v>1400004384</v>
      </c>
      <c r="C3595" s="10">
        <v>46112</v>
      </c>
      <c r="D3595" t="s">
        <v>2037</v>
      </c>
      <c r="E3595" s="11" t="s">
        <v>2982</v>
      </c>
      <c r="F3595" t="s">
        <v>1864</v>
      </c>
      <c r="G3595" t="s">
        <v>1865</v>
      </c>
      <c r="H3595" s="10">
        <v>45504</v>
      </c>
      <c r="I3595">
        <v>25868</v>
      </c>
      <c r="J3595">
        <v>0</v>
      </c>
      <c r="K3595">
        <v>25868</v>
      </c>
    </row>
    <row r="3596" spans="2:11" x14ac:dyDescent="0.35">
      <c r="B3596">
        <v>9400000453</v>
      </c>
      <c r="C3596" s="10">
        <v>46112</v>
      </c>
      <c r="D3596" t="s">
        <v>2032</v>
      </c>
      <c r="E3596" s="11" t="s">
        <v>2983</v>
      </c>
      <c r="F3596" t="s">
        <v>1850</v>
      </c>
      <c r="G3596" t="s">
        <v>1851</v>
      </c>
      <c r="H3596" s="10">
        <v>45503</v>
      </c>
      <c r="I3596">
        <v>364.27</v>
      </c>
      <c r="J3596">
        <v>0</v>
      </c>
      <c r="K3596">
        <v>364.27</v>
      </c>
    </row>
    <row r="3597" spans="2:11" x14ac:dyDescent="0.35">
      <c r="B3597">
        <v>9400000569</v>
      </c>
      <c r="C3597" s="10">
        <v>46112</v>
      </c>
      <c r="D3597" t="s">
        <v>2032</v>
      </c>
      <c r="E3597" s="11" t="s">
        <v>2984</v>
      </c>
      <c r="F3597" t="s">
        <v>1870</v>
      </c>
      <c r="G3597" t="s">
        <v>1871</v>
      </c>
      <c r="H3597" s="10">
        <v>45502</v>
      </c>
      <c r="I3597">
        <v>0.39</v>
      </c>
      <c r="J3597">
        <v>0</v>
      </c>
      <c r="K3597">
        <v>0.39</v>
      </c>
    </row>
    <row r="3598" spans="2:11" x14ac:dyDescent="0.35">
      <c r="B3598">
        <v>1800002181</v>
      </c>
      <c r="C3598" s="10">
        <v>46112</v>
      </c>
      <c r="D3598" t="s">
        <v>2052</v>
      </c>
      <c r="E3598" s="11" t="s">
        <v>2985</v>
      </c>
      <c r="F3598" t="s">
        <v>1850</v>
      </c>
      <c r="G3598" t="s">
        <v>1851</v>
      </c>
      <c r="H3598" s="10">
        <v>45545</v>
      </c>
      <c r="I3598">
        <v>7004.78</v>
      </c>
      <c r="J3598">
        <v>0</v>
      </c>
      <c r="K3598">
        <v>7004.78</v>
      </c>
    </row>
    <row r="3599" spans="2:11" x14ac:dyDescent="0.35">
      <c r="B3599">
        <v>1400004383</v>
      </c>
      <c r="C3599" s="10">
        <v>46112</v>
      </c>
      <c r="D3599" t="s">
        <v>2037</v>
      </c>
      <c r="E3599" s="11" t="s">
        <v>2986</v>
      </c>
      <c r="F3599" t="s">
        <v>1864</v>
      </c>
      <c r="G3599" t="s">
        <v>1865</v>
      </c>
      <c r="H3599" s="10">
        <v>45498</v>
      </c>
      <c r="I3599">
        <v>59</v>
      </c>
      <c r="J3599">
        <v>0</v>
      </c>
      <c r="K3599">
        <v>59</v>
      </c>
    </row>
    <row r="3600" spans="2:11" x14ac:dyDescent="0.35">
      <c r="B3600">
        <v>1400004382</v>
      </c>
      <c r="C3600" s="10">
        <v>46112</v>
      </c>
      <c r="D3600" t="s">
        <v>2037</v>
      </c>
      <c r="E3600" s="11" t="s">
        <v>2987</v>
      </c>
      <c r="F3600" t="s">
        <v>1872</v>
      </c>
      <c r="G3600" t="s">
        <v>1873</v>
      </c>
      <c r="H3600" s="10">
        <v>45498</v>
      </c>
      <c r="I3600">
        <v>0.03</v>
      </c>
      <c r="J3600">
        <v>0</v>
      </c>
      <c r="K3600">
        <v>0.03</v>
      </c>
    </row>
    <row r="3601" spans="2:11" x14ac:dyDescent="0.35">
      <c r="B3601">
        <v>1400004381</v>
      </c>
      <c r="C3601" s="10">
        <v>46112</v>
      </c>
      <c r="D3601" t="s">
        <v>2037</v>
      </c>
      <c r="E3601" s="11" t="s">
        <v>2988</v>
      </c>
      <c r="F3601" t="s">
        <v>1864</v>
      </c>
      <c r="G3601" t="s">
        <v>1865</v>
      </c>
      <c r="H3601" s="10">
        <v>45497</v>
      </c>
      <c r="I3601">
        <v>59</v>
      </c>
      <c r="J3601">
        <v>0</v>
      </c>
      <c r="K3601">
        <v>59</v>
      </c>
    </row>
    <row r="3602" spans="2:11" x14ac:dyDescent="0.35">
      <c r="B3602">
        <v>1800002180</v>
      </c>
      <c r="C3602" s="10">
        <v>46112</v>
      </c>
      <c r="D3602" t="s">
        <v>2052</v>
      </c>
      <c r="E3602" s="11" t="s">
        <v>2989</v>
      </c>
      <c r="F3602" t="s">
        <v>1850</v>
      </c>
      <c r="G3602" t="s">
        <v>1851</v>
      </c>
      <c r="H3602" s="10">
        <v>45540</v>
      </c>
      <c r="I3602">
        <v>25464.400000000001</v>
      </c>
      <c r="J3602">
        <v>0</v>
      </c>
      <c r="K3602">
        <v>25464.400000000001</v>
      </c>
    </row>
    <row r="3603" spans="2:11" x14ac:dyDescent="0.35">
      <c r="B3603">
        <v>1400004380</v>
      </c>
      <c r="C3603" s="10">
        <v>46112</v>
      </c>
      <c r="D3603" t="s">
        <v>2037</v>
      </c>
      <c r="E3603" s="11" t="s">
        <v>2990</v>
      </c>
      <c r="F3603" t="s">
        <v>1864</v>
      </c>
      <c r="G3603" t="s">
        <v>1865</v>
      </c>
      <c r="H3603" s="10">
        <v>45495</v>
      </c>
      <c r="I3603">
        <v>11267.3</v>
      </c>
      <c r="J3603">
        <v>0</v>
      </c>
      <c r="K3603">
        <v>11267.3</v>
      </c>
    </row>
    <row r="3604" spans="2:11" x14ac:dyDescent="0.35">
      <c r="B3604">
        <v>9400000643</v>
      </c>
      <c r="C3604" s="10">
        <v>46112</v>
      </c>
      <c r="D3604" t="s">
        <v>2032</v>
      </c>
      <c r="E3604" s="11" t="s">
        <v>2991</v>
      </c>
      <c r="F3604" t="s">
        <v>1874</v>
      </c>
      <c r="G3604" t="s">
        <v>1875</v>
      </c>
      <c r="H3604" s="10">
        <v>45489</v>
      </c>
      <c r="I3604">
        <v>722.22</v>
      </c>
      <c r="J3604">
        <v>0</v>
      </c>
      <c r="K3604">
        <v>722.22</v>
      </c>
    </row>
    <row r="3605" spans="2:11" x14ac:dyDescent="0.35">
      <c r="B3605">
        <v>1800006280</v>
      </c>
      <c r="C3605" s="10">
        <v>46112</v>
      </c>
      <c r="D3605" t="s">
        <v>2052</v>
      </c>
      <c r="E3605" s="11" t="s">
        <v>2992</v>
      </c>
      <c r="F3605" t="s">
        <v>1816</v>
      </c>
      <c r="G3605" t="s">
        <v>1817</v>
      </c>
      <c r="H3605" s="10">
        <v>45534</v>
      </c>
      <c r="I3605">
        <v>115326.81</v>
      </c>
      <c r="J3605">
        <v>70000</v>
      </c>
      <c r="K3605">
        <v>45326.81</v>
      </c>
    </row>
    <row r="3606" spans="2:11" x14ac:dyDescent="0.35">
      <c r="B3606">
        <v>1800002179</v>
      </c>
      <c r="C3606" s="10">
        <v>46112</v>
      </c>
      <c r="D3606" t="s">
        <v>2052</v>
      </c>
      <c r="E3606" s="11" t="s">
        <v>2993</v>
      </c>
      <c r="F3606" t="s">
        <v>1850</v>
      </c>
      <c r="G3606" t="s">
        <v>1851</v>
      </c>
      <c r="H3606" s="10">
        <v>45534</v>
      </c>
      <c r="I3606">
        <v>57103.360000000001</v>
      </c>
      <c r="J3606">
        <v>0</v>
      </c>
      <c r="K3606">
        <v>57103.360000000001</v>
      </c>
    </row>
    <row r="3607" spans="2:11" x14ac:dyDescent="0.35">
      <c r="B3607">
        <v>9400000325</v>
      </c>
      <c r="C3607" s="10">
        <v>46112</v>
      </c>
      <c r="D3607" t="s">
        <v>2032</v>
      </c>
      <c r="E3607" s="11" t="s">
        <v>2994</v>
      </c>
      <c r="F3607" t="s">
        <v>1876</v>
      </c>
      <c r="G3607" t="s">
        <v>1877</v>
      </c>
      <c r="H3607" s="10">
        <v>45483</v>
      </c>
      <c r="I3607">
        <v>249.33</v>
      </c>
      <c r="J3607">
        <v>0</v>
      </c>
      <c r="K3607">
        <v>249.33</v>
      </c>
    </row>
    <row r="3608" spans="2:11" x14ac:dyDescent="0.35">
      <c r="B3608">
        <v>1400004379</v>
      </c>
      <c r="C3608" s="10">
        <v>46112</v>
      </c>
      <c r="D3608" t="s">
        <v>2037</v>
      </c>
      <c r="E3608" s="11" t="s">
        <v>2995</v>
      </c>
      <c r="F3608" t="s">
        <v>1878</v>
      </c>
      <c r="G3608" t="s">
        <v>1879</v>
      </c>
      <c r="H3608" s="10">
        <v>45475</v>
      </c>
      <c r="I3608">
        <v>48477</v>
      </c>
      <c r="J3608">
        <v>0</v>
      </c>
      <c r="K3608">
        <v>48477</v>
      </c>
    </row>
    <row r="3609" spans="2:11" x14ac:dyDescent="0.35">
      <c r="B3609">
        <v>1400004378</v>
      </c>
      <c r="C3609" s="10">
        <v>46112</v>
      </c>
      <c r="D3609" t="s">
        <v>2037</v>
      </c>
      <c r="E3609" s="11" t="s">
        <v>2996</v>
      </c>
      <c r="F3609" t="s">
        <v>1880</v>
      </c>
      <c r="G3609" t="s">
        <v>1881</v>
      </c>
      <c r="H3609" s="10">
        <v>45469</v>
      </c>
      <c r="I3609">
        <v>0.15</v>
      </c>
      <c r="J3609">
        <v>0</v>
      </c>
      <c r="K3609">
        <v>0.15</v>
      </c>
    </row>
    <row r="3610" spans="2:11" x14ac:dyDescent="0.35">
      <c r="B3610">
        <v>1400004377</v>
      </c>
      <c r="C3610" s="10">
        <v>46112</v>
      </c>
      <c r="D3610" t="s">
        <v>2037</v>
      </c>
      <c r="E3610" s="11" t="s">
        <v>2997</v>
      </c>
      <c r="F3610" t="s">
        <v>1882</v>
      </c>
      <c r="G3610" t="s">
        <v>1883</v>
      </c>
      <c r="H3610" s="10">
        <v>45463</v>
      </c>
      <c r="I3610">
        <v>0.66</v>
      </c>
      <c r="J3610">
        <v>0</v>
      </c>
      <c r="K3610">
        <v>0.66</v>
      </c>
    </row>
    <row r="3611" spans="2:11" x14ac:dyDescent="0.35">
      <c r="B3611">
        <v>1400004376</v>
      </c>
      <c r="C3611" s="10">
        <v>46112</v>
      </c>
      <c r="D3611" t="s">
        <v>2037</v>
      </c>
      <c r="E3611" s="11" t="s">
        <v>2998</v>
      </c>
      <c r="F3611" t="s">
        <v>1884</v>
      </c>
      <c r="G3611" t="s">
        <v>1885</v>
      </c>
      <c r="H3611" s="10">
        <v>45462</v>
      </c>
      <c r="I3611">
        <v>58.69</v>
      </c>
      <c r="J3611">
        <v>0</v>
      </c>
      <c r="K3611">
        <v>58.69</v>
      </c>
    </row>
    <row r="3612" spans="2:11" x14ac:dyDescent="0.35">
      <c r="B3612">
        <v>1400004375</v>
      </c>
      <c r="C3612" s="10">
        <v>46112</v>
      </c>
      <c r="D3612" t="s">
        <v>2037</v>
      </c>
      <c r="E3612" s="11" t="s">
        <v>2999</v>
      </c>
      <c r="F3612" t="s">
        <v>1878</v>
      </c>
      <c r="G3612" t="s">
        <v>1879</v>
      </c>
      <c r="H3612" s="10">
        <v>45456</v>
      </c>
      <c r="I3612">
        <v>43800</v>
      </c>
      <c r="J3612">
        <v>0</v>
      </c>
      <c r="K3612">
        <v>43800</v>
      </c>
    </row>
    <row r="3613" spans="2:11" x14ac:dyDescent="0.35">
      <c r="B3613">
        <v>100001321</v>
      </c>
      <c r="C3613" s="10">
        <v>46112</v>
      </c>
      <c r="D3613" t="s">
        <v>2034</v>
      </c>
      <c r="E3613" s="11" t="s">
        <v>3000</v>
      </c>
      <c r="F3613" t="s">
        <v>1886</v>
      </c>
      <c r="G3613" t="s">
        <v>1887</v>
      </c>
      <c r="H3613" s="10">
        <v>45455</v>
      </c>
      <c r="I3613">
        <v>328.94</v>
      </c>
      <c r="J3613">
        <v>0</v>
      </c>
      <c r="K3613">
        <v>328.94</v>
      </c>
    </row>
    <row r="3614" spans="2:11" x14ac:dyDescent="0.35">
      <c r="B3614">
        <v>100001320</v>
      </c>
      <c r="C3614" s="10">
        <v>46112</v>
      </c>
      <c r="D3614" t="s">
        <v>2034</v>
      </c>
      <c r="E3614" s="11" t="s">
        <v>3001</v>
      </c>
      <c r="F3614" t="s">
        <v>1888</v>
      </c>
      <c r="G3614" t="s">
        <v>1889</v>
      </c>
      <c r="H3614" s="10">
        <v>45455</v>
      </c>
      <c r="I3614">
        <v>28119.81</v>
      </c>
      <c r="J3614">
        <v>0</v>
      </c>
      <c r="K3614">
        <v>28119.81</v>
      </c>
    </row>
    <row r="3615" spans="2:11" x14ac:dyDescent="0.35">
      <c r="B3615">
        <v>100001319</v>
      </c>
      <c r="C3615" s="10">
        <v>46112</v>
      </c>
      <c r="D3615" t="s">
        <v>2034</v>
      </c>
      <c r="E3615" s="11" t="s">
        <v>3002</v>
      </c>
      <c r="F3615" t="s">
        <v>1890</v>
      </c>
      <c r="G3615" t="s">
        <v>1891</v>
      </c>
      <c r="H3615" s="10">
        <v>45455</v>
      </c>
      <c r="I3615">
        <v>1931.09</v>
      </c>
      <c r="J3615">
        <v>0</v>
      </c>
      <c r="K3615">
        <v>1931.09</v>
      </c>
    </row>
    <row r="3616" spans="2:11" x14ac:dyDescent="0.35">
      <c r="B3616">
        <v>1400004374</v>
      </c>
      <c r="C3616" s="10">
        <v>46112</v>
      </c>
      <c r="D3616" t="s">
        <v>2037</v>
      </c>
      <c r="E3616" s="11" t="s">
        <v>3003</v>
      </c>
      <c r="F3616" t="s">
        <v>1878</v>
      </c>
      <c r="G3616" t="s">
        <v>1879</v>
      </c>
      <c r="H3616" s="10">
        <v>45446</v>
      </c>
      <c r="I3616">
        <v>25370</v>
      </c>
      <c r="J3616">
        <v>0</v>
      </c>
      <c r="K3616">
        <v>25370</v>
      </c>
    </row>
    <row r="3617" spans="2:11" x14ac:dyDescent="0.35">
      <c r="B3617">
        <v>1400004373</v>
      </c>
      <c r="C3617" s="10">
        <v>46112</v>
      </c>
      <c r="D3617" t="s">
        <v>2037</v>
      </c>
      <c r="E3617" s="11" t="s">
        <v>3004</v>
      </c>
      <c r="F3617" t="s">
        <v>1892</v>
      </c>
      <c r="G3617" t="s">
        <v>1893</v>
      </c>
      <c r="H3617" s="10">
        <v>45446</v>
      </c>
      <c r="I3617">
        <v>9</v>
      </c>
      <c r="J3617">
        <v>0</v>
      </c>
      <c r="K3617">
        <v>9</v>
      </c>
    </row>
    <row r="3618" spans="2:11" x14ac:dyDescent="0.35">
      <c r="B3618">
        <v>1400004372</v>
      </c>
      <c r="C3618" s="10">
        <v>46112</v>
      </c>
      <c r="D3618" t="s">
        <v>2037</v>
      </c>
      <c r="E3618" s="11" t="s">
        <v>3005</v>
      </c>
      <c r="F3618" t="s">
        <v>1892</v>
      </c>
      <c r="G3618" t="s">
        <v>1893</v>
      </c>
      <c r="H3618" s="10">
        <v>45443</v>
      </c>
      <c r="I3618">
        <v>50</v>
      </c>
      <c r="J3618">
        <v>0</v>
      </c>
      <c r="K3618">
        <v>50</v>
      </c>
    </row>
    <row r="3619" spans="2:11" x14ac:dyDescent="0.35">
      <c r="B3619">
        <v>1400004371</v>
      </c>
      <c r="C3619" s="10">
        <v>46112</v>
      </c>
      <c r="D3619" t="s">
        <v>2037</v>
      </c>
      <c r="E3619" s="11" t="s">
        <v>3006</v>
      </c>
      <c r="F3619" t="s">
        <v>1892</v>
      </c>
      <c r="G3619" t="s">
        <v>1893</v>
      </c>
      <c r="H3619" s="10">
        <v>45443</v>
      </c>
      <c r="I3619">
        <v>143350</v>
      </c>
      <c r="J3619">
        <v>0</v>
      </c>
      <c r="K3619">
        <v>143350</v>
      </c>
    </row>
    <row r="3620" spans="2:11" x14ac:dyDescent="0.35">
      <c r="B3620">
        <v>1800000633</v>
      </c>
      <c r="C3620" s="10">
        <v>46112</v>
      </c>
      <c r="D3620" t="s">
        <v>2052</v>
      </c>
      <c r="E3620" s="11" t="s">
        <v>3007</v>
      </c>
      <c r="F3620" t="s">
        <v>1894</v>
      </c>
      <c r="G3620" t="s">
        <v>1895</v>
      </c>
      <c r="H3620" s="10">
        <v>45487</v>
      </c>
      <c r="I3620">
        <v>0.16</v>
      </c>
      <c r="J3620">
        <v>0</v>
      </c>
      <c r="K3620">
        <v>0.16</v>
      </c>
    </row>
    <row r="3621" spans="2:11" x14ac:dyDescent="0.35">
      <c r="B3621">
        <v>1400004370</v>
      </c>
      <c r="C3621" s="10">
        <v>46112</v>
      </c>
      <c r="D3621" t="s">
        <v>2037</v>
      </c>
      <c r="E3621" s="11" t="s">
        <v>3008</v>
      </c>
      <c r="F3621" t="s">
        <v>1878</v>
      </c>
      <c r="G3621" t="s">
        <v>1879</v>
      </c>
      <c r="H3621" s="10">
        <v>45442</v>
      </c>
      <c r="I3621">
        <v>7862.99</v>
      </c>
      <c r="J3621">
        <v>0</v>
      </c>
      <c r="K3621">
        <v>7862.99</v>
      </c>
    </row>
    <row r="3622" spans="2:11" x14ac:dyDescent="0.35">
      <c r="B3622">
        <v>1400004369</v>
      </c>
      <c r="C3622" s="10">
        <v>46112</v>
      </c>
      <c r="D3622" t="s">
        <v>2037</v>
      </c>
      <c r="E3622" s="11" t="s">
        <v>3009</v>
      </c>
      <c r="F3622" t="s">
        <v>1896</v>
      </c>
      <c r="G3622" t="s">
        <v>1897</v>
      </c>
      <c r="H3622" s="10">
        <v>45440</v>
      </c>
      <c r="I3622">
        <v>15488.5</v>
      </c>
      <c r="J3622">
        <v>0</v>
      </c>
      <c r="K3622">
        <v>15488.5</v>
      </c>
    </row>
    <row r="3623" spans="2:11" x14ac:dyDescent="0.35">
      <c r="B3623">
        <v>1400004368</v>
      </c>
      <c r="C3623" s="10">
        <v>46112</v>
      </c>
      <c r="D3623" t="s">
        <v>2037</v>
      </c>
      <c r="E3623" s="11" t="s">
        <v>3010</v>
      </c>
      <c r="F3623" t="s">
        <v>1898</v>
      </c>
      <c r="G3623" t="s">
        <v>1899</v>
      </c>
      <c r="H3623" s="10">
        <v>45433</v>
      </c>
      <c r="I3623">
        <v>59</v>
      </c>
      <c r="J3623">
        <v>0</v>
      </c>
      <c r="K3623">
        <v>59</v>
      </c>
    </row>
    <row r="3624" spans="2:11" x14ac:dyDescent="0.35">
      <c r="B3624">
        <v>1400004367</v>
      </c>
      <c r="C3624" s="10">
        <v>46112</v>
      </c>
      <c r="D3624" t="s">
        <v>2037</v>
      </c>
      <c r="E3624" s="11" t="s">
        <v>3011</v>
      </c>
      <c r="F3624" t="s">
        <v>1900</v>
      </c>
      <c r="G3624" t="s">
        <v>1901</v>
      </c>
      <c r="H3624" s="10">
        <v>45433</v>
      </c>
      <c r="I3624">
        <v>0.37</v>
      </c>
      <c r="J3624">
        <v>0</v>
      </c>
      <c r="K3624">
        <v>0.37</v>
      </c>
    </row>
    <row r="3625" spans="2:11" x14ac:dyDescent="0.35">
      <c r="B3625">
        <v>1400004366</v>
      </c>
      <c r="C3625" s="10">
        <v>46112</v>
      </c>
      <c r="D3625" t="s">
        <v>2037</v>
      </c>
      <c r="E3625" s="11" t="s">
        <v>3012</v>
      </c>
      <c r="F3625" t="s">
        <v>1892</v>
      </c>
      <c r="G3625" t="s">
        <v>1893</v>
      </c>
      <c r="H3625" s="10">
        <v>45433</v>
      </c>
      <c r="I3625">
        <v>59</v>
      </c>
      <c r="J3625">
        <v>0</v>
      </c>
      <c r="K3625">
        <v>59</v>
      </c>
    </row>
    <row r="3626" spans="2:11" x14ac:dyDescent="0.35">
      <c r="B3626">
        <v>1400004365</v>
      </c>
      <c r="C3626" s="10">
        <v>46112</v>
      </c>
      <c r="D3626" t="s">
        <v>2037</v>
      </c>
      <c r="E3626" s="11" t="s">
        <v>3013</v>
      </c>
      <c r="F3626" t="s">
        <v>1898</v>
      </c>
      <c r="G3626" t="s">
        <v>1899</v>
      </c>
      <c r="H3626" s="10">
        <v>45428</v>
      </c>
      <c r="I3626">
        <v>393105</v>
      </c>
      <c r="J3626">
        <v>0</v>
      </c>
      <c r="K3626">
        <v>393105</v>
      </c>
    </row>
    <row r="3627" spans="2:11" x14ac:dyDescent="0.35">
      <c r="B3627">
        <v>1400004364</v>
      </c>
      <c r="C3627" s="10">
        <v>46112</v>
      </c>
      <c r="D3627" t="s">
        <v>2037</v>
      </c>
      <c r="E3627" s="11" t="s">
        <v>3014</v>
      </c>
      <c r="F3627" t="s">
        <v>1892</v>
      </c>
      <c r="G3627" t="s">
        <v>1893</v>
      </c>
      <c r="H3627" s="10">
        <v>45428</v>
      </c>
      <c r="I3627">
        <v>52740.98</v>
      </c>
      <c r="J3627">
        <v>0</v>
      </c>
      <c r="K3627">
        <v>52740.98</v>
      </c>
    </row>
    <row r="3628" spans="2:11" x14ac:dyDescent="0.35">
      <c r="B3628">
        <v>1400004363</v>
      </c>
      <c r="C3628" s="10">
        <v>46112</v>
      </c>
      <c r="D3628" t="s">
        <v>2037</v>
      </c>
      <c r="E3628" s="11" t="s">
        <v>3015</v>
      </c>
      <c r="F3628" t="s">
        <v>1898</v>
      </c>
      <c r="G3628" t="s">
        <v>1899</v>
      </c>
      <c r="H3628" s="10">
        <v>45412</v>
      </c>
      <c r="I3628">
        <v>59</v>
      </c>
      <c r="J3628">
        <v>0</v>
      </c>
      <c r="K3628">
        <v>59</v>
      </c>
    </row>
    <row r="3629" spans="2:11" x14ac:dyDescent="0.35">
      <c r="B3629">
        <v>100001318</v>
      </c>
      <c r="C3629" s="10">
        <v>46112</v>
      </c>
      <c r="D3629" t="s">
        <v>2034</v>
      </c>
      <c r="E3629" s="11" t="s">
        <v>3016</v>
      </c>
      <c r="F3629" t="s">
        <v>1902</v>
      </c>
      <c r="G3629" t="s">
        <v>1903</v>
      </c>
      <c r="H3629" s="10">
        <v>45412</v>
      </c>
      <c r="I3629">
        <v>324.35000000000002</v>
      </c>
      <c r="J3629">
        <v>0</v>
      </c>
      <c r="K3629">
        <v>324.35000000000002</v>
      </c>
    </row>
    <row r="3630" spans="2:11" x14ac:dyDescent="0.35">
      <c r="B3630">
        <v>1400004362</v>
      </c>
      <c r="C3630" s="10">
        <v>46112</v>
      </c>
      <c r="D3630" t="s">
        <v>2037</v>
      </c>
      <c r="E3630" s="11" t="s">
        <v>3017</v>
      </c>
      <c r="F3630" t="s">
        <v>1898</v>
      </c>
      <c r="G3630" t="s">
        <v>1899</v>
      </c>
      <c r="H3630" s="10">
        <v>45411</v>
      </c>
      <c r="I3630">
        <v>395134.3</v>
      </c>
      <c r="J3630">
        <v>0</v>
      </c>
      <c r="K3630">
        <v>395134.3</v>
      </c>
    </row>
    <row r="3631" spans="2:11" x14ac:dyDescent="0.35">
      <c r="B3631">
        <v>1800003956</v>
      </c>
      <c r="C3631" s="10">
        <v>46112</v>
      </c>
      <c r="D3631" t="s">
        <v>2052</v>
      </c>
      <c r="E3631" s="11" t="s">
        <v>3018</v>
      </c>
      <c r="F3631" t="s">
        <v>1904</v>
      </c>
      <c r="G3631" t="s">
        <v>1905</v>
      </c>
      <c r="H3631" s="10">
        <v>45454</v>
      </c>
      <c r="I3631">
        <v>0.32</v>
      </c>
      <c r="J3631">
        <v>0</v>
      </c>
      <c r="K3631">
        <v>0.32</v>
      </c>
    </row>
    <row r="3632" spans="2:11" x14ac:dyDescent="0.35">
      <c r="B3632">
        <v>9400000642</v>
      </c>
      <c r="C3632" s="10">
        <v>46112</v>
      </c>
      <c r="D3632" t="s">
        <v>2032</v>
      </c>
      <c r="E3632" s="11" t="s">
        <v>3019</v>
      </c>
      <c r="F3632" t="s">
        <v>1906</v>
      </c>
      <c r="G3632" t="s">
        <v>1907</v>
      </c>
      <c r="H3632" s="10">
        <v>45427</v>
      </c>
      <c r="I3632">
        <v>381.01</v>
      </c>
      <c r="J3632">
        <v>0</v>
      </c>
      <c r="K3632">
        <v>381.01</v>
      </c>
    </row>
    <row r="3633" spans="2:11" x14ac:dyDescent="0.35">
      <c r="B3633">
        <v>1400004361</v>
      </c>
      <c r="C3633" s="10">
        <v>46112</v>
      </c>
      <c r="D3633" t="s">
        <v>2037</v>
      </c>
      <c r="E3633" s="11" t="s">
        <v>3020</v>
      </c>
      <c r="F3633" t="s">
        <v>1908</v>
      </c>
      <c r="G3633" t="s">
        <v>1909</v>
      </c>
      <c r="H3633" s="10">
        <v>45393</v>
      </c>
      <c r="I3633">
        <v>59</v>
      </c>
      <c r="J3633">
        <v>0</v>
      </c>
      <c r="K3633">
        <v>59</v>
      </c>
    </row>
    <row r="3634" spans="2:11" x14ac:dyDescent="0.35">
      <c r="B3634">
        <v>9400000215</v>
      </c>
      <c r="C3634" s="10">
        <v>46112</v>
      </c>
      <c r="D3634" t="s">
        <v>2032</v>
      </c>
      <c r="E3634" s="11" t="s">
        <v>3021</v>
      </c>
      <c r="F3634" t="s">
        <v>1910</v>
      </c>
      <c r="G3634" t="s">
        <v>1911</v>
      </c>
      <c r="H3634" s="10">
        <v>45391</v>
      </c>
      <c r="I3634">
        <v>31.66</v>
      </c>
      <c r="J3634">
        <v>0</v>
      </c>
      <c r="K3634">
        <v>31.66</v>
      </c>
    </row>
    <row r="3635" spans="2:11" x14ac:dyDescent="0.35">
      <c r="B3635">
        <v>1400004360</v>
      </c>
      <c r="C3635" s="10">
        <v>46112</v>
      </c>
      <c r="D3635" t="s">
        <v>2037</v>
      </c>
      <c r="E3635" s="11" t="s">
        <v>3022</v>
      </c>
      <c r="F3635" t="s">
        <v>1908</v>
      </c>
      <c r="G3635" t="s">
        <v>1909</v>
      </c>
      <c r="H3635" s="10">
        <v>45390</v>
      </c>
      <c r="I3635">
        <v>345800</v>
      </c>
      <c r="J3635">
        <v>0</v>
      </c>
      <c r="K3635">
        <v>345800</v>
      </c>
    </row>
    <row r="3636" spans="2:11" x14ac:dyDescent="0.35">
      <c r="B3636">
        <v>1400004536</v>
      </c>
      <c r="C3636" s="10">
        <v>46112</v>
      </c>
      <c r="D3636" t="s">
        <v>2037</v>
      </c>
      <c r="E3636" s="11" t="s">
        <v>3023</v>
      </c>
      <c r="F3636" t="s">
        <v>1912</v>
      </c>
      <c r="G3636" t="s">
        <v>1913</v>
      </c>
      <c r="H3636" s="10">
        <v>45379</v>
      </c>
      <c r="I3636">
        <v>1.41</v>
      </c>
      <c r="J3636">
        <v>0</v>
      </c>
      <c r="K3636">
        <v>1.41</v>
      </c>
    </row>
    <row r="3637" spans="2:11" x14ac:dyDescent="0.35">
      <c r="B3637">
        <v>9400000641</v>
      </c>
      <c r="C3637" s="10">
        <v>46112</v>
      </c>
      <c r="D3637" t="s">
        <v>2032</v>
      </c>
      <c r="E3637" s="11" t="s">
        <v>3024</v>
      </c>
      <c r="F3637" t="s">
        <v>1914</v>
      </c>
      <c r="G3637" t="s">
        <v>1915</v>
      </c>
      <c r="H3637" s="10">
        <v>45378</v>
      </c>
      <c r="I3637">
        <v>0.08</v>
      </c>
      <c r="J3637">
        <v>0</v>
      </c>
      <c r="K3637">
        <v>0.08</v>
      </c>
    </row>
    <row r="3638" spans="2:11" x14ac:dyDescent="0.35">
      <c r="B3638">
        <v>1400004535</v>
      </c>
      <c r="C3638" s="10">
        <v>46112</v>
      </c>
      <c r="D3638" t="s">
        <v>2037</v>
      </c>
      <c r="E3638" s="11" t="s">
        <v>3025</v>
      </c>
      <c r="F3638" t="s">
        <v>1916</v>
      </c>
      <c r="G3638" t="s">
        <v>1917</v>
      </c>
      <c r="H3638" s="10">
        <v>45373</v>
      </c>
      <c r="I3638">
        <v>79</v>
      </c>
      <c r="J3638">
        <v>0</v>
      </c>
      <c r="K3638">
        <v>79</v>
      </c>
    </row>
    <row r="3639" spans="2:11" x14ac:dyDescent="0.35">
      <c r="B3639">
        <v>1400004534</v>
      </c>
      <c r="C3639" s="10">
        <v>46112</v>
      </c>
      <c r="D3639" t="s">
        <v>2037</v>
      </c>
      <c r="E3639" s="11" t="s">
        <v>3026</v>
      </c>
      <c r="F3639" t="s">
        <v>1908</v>
      </c>
      <c r="G3639" t="s">
        <v>1909</v>
      </c>
      <c r="H3639" s="10">
        <v>45369</v>
      </c>
      <c r="I3639">
        <v>118</v>
      </c>
      <c r="J3639">
        <v>0</v>
      </c>
      <c r="K3639">
        <v>118</v>
      </c>
    </row>
    <row r="3640" spans="2:11" x14ac:dyDescent="0.35">
      <c r="B3640">
        <v>1400004533</v>
      </c>
      <c r="C3640" s="10">
        <v>46112</v>
      </c>
      <c r="D3640" t="s">
        <v>2037</v>
      </c>
      <c r="E3640" s="11" t="s">
        <v>3027</v>
      </c>
      <c r="F3640" t="s">
        <v>1908</v>
      </c>
      <c r="G3640" t="s">
        <v>1909</v>
      </c>
      <c r="H3640" s="10">
        <v>45369</v>
      </c>
      <c r="I3640">
        <v>59</v>
      </c>
      <c r="J3640">
        <v>0</v>
      </c>
      <c r="K3640">
        <v>59</v>
      </c>
    </row>
    <row r="3641" spans="2:11" x14ac:dyDescent="0.35">
      <c r="B3641">
        <v>1400004532</v>
      </c>
      <c r="C3641" s="10">
        <v>46112</v>
      </c>
      <c r="D3641" t="s">
        <v>2037</v>
      </c>
      <c r="E3641" s="11" t="s">
        <v>3028</v>
      </c>
      <c r="F3641" t="s">
        <v>1908</v>
      </c>
      <c r="G3641" t="s">
        <v>1909</v>
      </c>
      <c r="H3641" s="10">
        <v>45366</v>
      </c>
      <c r="I3641">
        <v>59750</v>
      </c>
      <c r="J3641">
        <v>0</v>
      </c>
      <c r="K3641">
        <v>59750</v>
      </c>
    </row>
    <row r="3642" spans="2:11" x14ac:dyDescent="0.35">
      <c r="B3642">
        <v>1400004531</v>
      </c>
      <c r="C3642" s="10">
        <v>46112</v>
      </c>
      <c r="D3642" t="s">
        <v>2037</v>
      </c>
      <c r="E3642" s="11" t="s">
        <v>3029</v>
      </c>
      <c r="F3642" t="s">
        <v>1908</v>
      </c>
      <c r="G3642" t="s">
        <v>1909</v>
      </c>
      <c r="H3642" s="10">
        <v>45358</v>
      </c>
      <c r="I3642">
        <v>38800</v>
      </c>
      <c r="J3642">
        <v>0</v>
      </c>
      <c r="K3642">
        <v>38800</v>
      </c>
    </row>
    <row r="3643" spans="2:11" x14ac:dyDescent="0.35">
      <c r="B3643">
        <v>1400004530</v>
      </c>
      <c r="C3643" s="10">
        <v>46112</v>
      </c>
      <c r="D3643" t="s">
        <v>2037</v>
      </c>
      <c r="E3643" s="11" t="s">
        <v>3030</v>
      </c>
      <c r="F3643" t="s">
        <v>1908</v>
      </c>
      <c r="G3643" t="s">
        <v>1909</v>
      </c>
      <c r="H3643" s="10">
        <v>45358</v>
      </c>
      <c r="I3643">
        <v>29360</v>
      </c>
      <c r="J3643">
        <v>0</v>
      </c>
      <c r="K3643">
        <v>29360</v>
      </c>
    </row>
    <row r="3644" spans="2:11" x14ac:dyDescent="0.35">
      <c r="B3644">
        <v>1400004529</v>
      </c>
      <c r="C3644" s="10">
        <v>46112</v>
      </c>
      <c r="D3644" t="s">
        <v>2037</v>
      </c>
      <c r="E3644" s="11" t="s">
        <v>3031</v>
      </c>
      <c r="F3644" t="s">
        <v>1908</v>
      </c>
      <c r="G3644" t="s">
        <v>1909</v>
      </c>
      <c r="H3644" s="10">
        <v>45353</v>
      </c>
      <c r="I3644">
        <v>9</v>
      </c>
      <c r="J3644">
        <v>0</v>
      </c>
      <c r="K3644">
        <v>9</v>
      </c>
    </row>
    <row r="3645" spans="2:11" x14ac:dyDescent="0.35">
      <c r="B3645">
        <v>1400004528</v>
      </c>
      <c r="C3645" s="10">
        <v>46112</v>
      </c>
      <c r="D3645" t="s">
        <v>2037</v>
      </c>
      <c r="E3645" s="11" t="s">
        <v>3032</v>
      </c>
      <c r="F3645" t="s">
        <v>1908</v>
      </c>
      <c r="G3645" t="s">
        <v>1909</v>
      </c>
      <c r="H3645" s="10">
        <v>45351</v>
      </c>
      <c r="I3645">
        <v>50</v>
      </c>
      <c r="J3645">
        <v>0</v>
      </c>
      <c r="K3645">
        <v>50</v>
      </c>
    </row>
    <row r="3646" spans="2:11" x14ac:dyDescent="0.35">
      <c r="B3646">
        <v>1400004527</v>
      </c>
      <c r="C3646" s="10">
        <v>46112</v>
      </c>
      <c r="D3646" t="s">
        <v>2037</v>
      </c>
      <c r="E3646" s="11" t="s">
        <v>3033</v>
      </c>
      <c r="F3646" t="s">
        <v>1908</v>
      </c>
      <c r="G3646" t="s">
        <v>1909</v>
      </c>
      <c r="H3646" s="10">
        <v>45351</v>
      </c>
      <c r="I3646">
        <v>127756.75</v>
      </c>
      <c r="J3646">
        <v>0</v>
      </c>
      <c r="K3646">
        <v>127756.75</v>
      </c>
    </row>
    <row r="3647" spans="2:11" x14ac:dyDescent="0.35">
      <c r="B3647">
        <v>1400004526</v>
      </c>
      <c r="C3647" s="10">
        <v>46112</v>
      </c>
      <c r="D3647" t="s">
        <v>2037</v>
      </c>
      <c r="E3647" s="11" t="s">
        <v>3034</v>
      </c>
      <c r="F3647" t="s">
        <v>1918</v>
      </c>
      <c r="G3647" t="s">
        <v>1919</v>
      </c>
      <c r="H3647" s="10">
        <v>45349</v>
      </c>
      <c r="I3647">
        <v>793.05</v>
      </c>
      <c r="J3647">
        <v>0</v>
      </c>
      <c r="K3647">
        <v>793.05</v>
      </c>
    </row>
    <row r="3648" spans="2:11" x14ac:dyDescent="0.35">
      <c r="B3648">
        <v>1400004525</v>
      </c>
      <c r="C3648" s="10">
        <v>46112</v>
      </c>
      <c r="D3648" t="s">
        <v>2037</v>
      </c>
      <c r="E3648" s="11" t="s">
        <v>3035</v>
      </c>
      <c r="F3648" t="s">
        <v>1920</v>
      </c>
      <c r="G3648" t="s">
        <v>1921</v>
      </c>
      <c r="H3648" s="10">
        <v>45343</v>
      </c>
      <c r="I3648">
        <v>59</v>
      </c>
      <c r="J3648">
        <v>0</v>
      </c>
      <c r="K3648">
        <v>59</v>
      </c>
    </row>
    <row r="3649" spans="2:11" x14ac:dyDescent="0.35">
      <c r="B3649">
        <v>1400004524</v>
      </c>
      <c r="C3649" s="10">
        <v>46112</v>
      </c>
      <c r="D3649" t="s">
        <v>2037</v>
      </c>
      <c r="E3649" s="11" t="s">
        <v>3036</v>
      </c>
      <c r="F3649" t="s">
        <v>1920</v>
      </c>
      <c r="G3649" t="s">
        <v>1921</v>
      </c>
      <c r="H3649" s="10">
        <v>45342</v>
      </c>
      <c r="I3649">
        <v>76472</v>
      </c>
      <c r="J3649">
        <v>0</v>
      </c>
      <c r="K3649">
        <v>76472</v>
      </c>
    </row>
    <row r="3650" spans="2:11" x14ac:dyDescent="0.35">
      <c r="B3650">
        <v>1400004523</v>
      </c>
      <c r="C3650" s="10">
        <v>46112</v>
      </c>
      <c r="D3650" t="s">
        <v>2037</v>
      </c>
      <c r="E3650" s="11" t="s">
        <v>3037</v>
      </c>
      <c r="F3650" t="s">
        <v>1920</v>
      </c>
      <c r="G3650" t="s">
        <v>1921</v>
      </c>
      <c r="H3650" s="10">
        <v>45342</v>
      </c>
      <c r="I3650">
        <v>9</v>
      </c>
      <c r="J3650">
        <v>0</v>
      </c>
      <c r="K3650">
        <v>9</v>
      </c>
    </row>
    <row r="3651" spans="2:11" x14ac:dyDescent="0.35">
      <c r="B3651">
        <v>1400004522</v>
      </c>
      <c r="C3651" s="10">
        <v>46112</v>
      </c>
      <c r="D3651" t="s">
        <v>2037</v>
      </c>
      <c r="E3651" s="11" t="s">
        <v>3038</v>
      </c>
      <c r="F3651" t="s">
        <v>1920</v>
      </c>
      <c r="G3651" t="s">
        <v>1921</v>
      </c>
      <c r="H3651" s="10">
        <v>45342</v>
      </c>
      <c r="I3651">
        <v>59</v>
      </c>
      <c r="J3651">
        <v>0</v>
      </c>
      <c r="K3651">
        <v>59</v>
      </c>
    </row>
    <row r="3652" spans="2:11" x14ac:dyDescent="0.35">
      <c r="B3652">
        <v>1400004521</v>
      </c>
      <c r="C3652" s="10">
        <v>46112</v>
      </c>
      <c r="D3652" t="s">
        <v>2037</v>
      </c>
      <c r="E3652" s="11" t="s">
        <v>3039</v>
      </c>
      <c r="F3652" t="s">
        <v>1920</v>
      </c>
      <c r="G3652" t="s">
        <v>1921</v>
      </c>
      <c r="H3652" s="10">
        <v>45337</v>
      </c>
      <c r="I3652">
        <v>68598.53</v>
      </c>
      <c r="J3652">
        <v>0</v>
      </c>
      <c r="K3652">
        <v>68598.53</v>
      </c>
    </row>
    <row r="3653" spans="2:11" x14ac:dyDescent="0.35">
      <c r="B3653">
        <v>1400004520</v>
      </c>
      <c r="C3653" s="10">
        <v>46112</v>
      </c>
      <c r="D3653" t="s">
        <v>2037</v>
      </c>
      <c r="E3653" s="11" t="s">
        <v>3040</v>
      </c>
      <c r="F3653" t="s">
        <v>1922</v>
      </c>
      <c r="G3653" t="s">
        <v>1923</v>
      </c>
      <c r="H3653" s="10">
        <v>45331</v>
      </c>
      <c r="I3653">
        <v>59</v>
      </c>
      <c r="J3653">
        <v>0</v>
      </c>
      <c r="K3653">
        <v>59</v>
      </c>
    </row>
    <row r="3654" spans="2:11" x14ac:dyDescent="0.35">
      <c r="B3654">
        <v>1400004519</v>
      </c>
      <c r="C3654" s="10">
        <v>46112</v>
      </c>
      <c r="D3654" t="s">
        <v>2037</v>
      </c>
      <c r="E3654" s="11" t="s">
        <v>3041</v>
      </c>
      <c r="F3654" t="s">
        <v>1924</v>
      </c>
      <c r="G3654" t="s">
        <v>1925</v>
      </c>
      <c r="H3654" s="10">
        <v>45311</v>
      </c>
      <c r="I3654">
        <v>43.32</v>
      </c>
      <c r="J3654">
        <v>0</v>
      </c>
      <c r="K3654">
        <v>43.32</v>
      </c>
    </row>
    <row r="3655" spans="2:11" x14ac:dyDescent="0.35">
      <c r="B3655">
        <v>1400004518</v>
      </c>
      <c r="C3655" s="10">
        <v>46112</v>
      </c>
      <c r="D3655" t="s">
        <v>2037</v>
      </c>
      <c r="E3655" s="11" t="s">
        <v>3042</v>
      </c>
      <c r="F3655" t="s">
        <v>1926</v>
      </c>
      <c r="G3655" t="s">
        <v>1927</v>
      </c>
      <c r="H3655" s="10">
        <v>45311</v>
      </c>
      <c r="I3655">
        <v>0.36</v>
      </c>
      <c r="J3655">
        <v>0</v>
      </c>
      <c r="K3655">
        <v>0.36</v>
      </c>
    </row>
    <row r="3656" spans="2:11" x14ac:dyDescent="0.35">
      <c r="B3656">
        <v>1400004517</v>
      </c>
      <c r="C3656" s="10">
        <v>46112</v>
      </c>
      <c r="D3656" t="s">
        <v>2037</v>
      </c>
      <c r="E3656" s="11" t="s">
        <v>3043</v>
      </c>
      <c r="F3656" t="s">
        <v>1928</v>
      </c>
      <c r="G3656" t="s">
        <v>1929</v>
      </c>
      <c r="H3656" s="10">
        <v>45282</v>
      </c>
      <c r="I3656">
        <v>0.32</v>
      </c>
      <c r="J3656">
        <v>0</v>
      </c>
      <c r="K3656">
        <v>0.32</v>
      </c>
    </row>
    <row r="3657" spans="2:11" x14ac:dyDescent="0.35">
      <c r="B3657">
        <v>1400004516</v>
      </c>
      <c r="C3657" s="10">
        <v>46112</v>
      </c>
      <c r="D3657" t="s">
        <v>2037</v>
      </c>
      <c r="E3657" s="11" t="s">
        <v>3044</v>
      </c>
      <c r="F3657" t="s">
        <v>1930</v>
      </c>
      <c r="G3657" t="s">
        <v>1931</v>
      </c>
      <c r="H3657" s="10">
        <v>45281</v>
      </c>
      <c r="I3657">
        <v>59</v>
      </c>
      <c r="J3657">
        <v>0</v>
      </c>
      <c r="K3657">
        <v>59</v>
      </c>
    </row>
    <row r="3658" spans="2:11" x14ac:dyDescent="0.35">
      <c r="B3658">
        <v>1400004515</v>
      </c>
      <c r="C3658" s="10">
        <v>46112</v>
      </c>
      <c r="D3658" t="s">
        <v>2037</v>
      </c>
      <c r="E3658" s="11" t="s">
        <v>3045</v>
      </c>
      <c r="F3658" t="s">
        <v>1930</v>
      </c>
      <c r="G3658" t="s">
        <v>1931</v>
      </c>
      <c r="H3658" s="10">
        <v>45281</v>
      </c>
      <c r="I3658">
        <v>59</v>
      </c>
      <c r="J3658">
        <v>0</v>
      </c>
      <c r="K3658">
        <v>59</v>
      </c>
    </row>
    <row r="3659" spans="2:11" x14ac:dyDescent="0.35">
      <c r="B3659">
        <v>1400004514</v>
      </c>
      <c r="C3659" s="10">
        <v>46112</v>
      </c>
      <c r="D3659" t="s">
        <v>2037</v>
      </c>
      <c r="E3659" s="11" t="s">
        <v>3046</v>
      </c>
      <c r="F3659" t="s">
        <v>1932</v>
      </c>
      <c r="G3659" t="s">
        <v>1933</v>
      </c>
      <c r="H3659" s="10">
        <v>45280</v>
      </c>
      <c r="I3659">
        <v>0.23</v>
      </c>
      <c r="J3659">
        <v>0</v>
      </c>
      <c r="K3659">
        <v>0.23</v>
      </c>
    </row>
    <row r="3660" spans="2:11" x14ac:dyDescent="0.35">
      <c r="B3660">
        <v>1400004513</v>
      </c>
      <c r="C3660" s="10">
        <v>46112</v>
      </c>
      <c r="D3660" t="s">
        <v>2037</v>
      </c>
      <c r="E3660" s="11" t="s">
        <v>3047</v>
      </c>
      <c r="F3660" t="s">
        <v>1930</v>
      </c>
      <c r="G3660" t="s">
        <v>1931</v>
      </c>
      <c r="H3660" s="10">
        <v>45273</v>
      </c>
      <c r="I3660">
        <v>260000</v>
      </c>
      <c r="J3660">
        <v>0</v>
      </c>
      <c r="K3660">
        <v>260000</v>
      </c>
    </row>
    <row r="3661" spans="2:11" x14ac:dyDescent="0.35">
      <c r="B3661">
        <v>1400004512</v>
      </c>
      <c r="C3661" s="10">
        <v>46112</v>
      </c>
      <c r="D3661" t="s">
        <v>2037</v>
      </c>
      <c r="E3661" s="11" t="s">
        <v>3048</v>
      </c>
      <c r="F3661" t="s">
        <v>1930</v>
      </c>
      <c r="G3661" t="s">
        <v>1931</v>
      </c>
      <c r="H3661" s="10">
        <v>45266</v>
      </c>
      <c r="I3661">
        <v>114212.85</v>
      </c>
      <c r="J3661">
        <v>0</v>
      </c>
      <c r="K3661">
        <v>114212.85</v>
      </c>
    </row>
    <row r="3662" spans="2:11" x14ac:dyDescent="0.35">
      <c r="B3662">
        <v>1400004511</v>
      </c>
      <c r="C3662" s="10">
        <v>46112</v>
      </c>
      <c r="D3662" t="s">
        <v>2037</v>
      </c>
      <c r="E3662" s="11" t="s">
        <v>3049</v>
      </c>
      <c r="F3662" t="s">
        <v>1930</v>
      </c>
      <c r="G3662" t="s">
        <v>1931</v>
      </c>
      <c r="H3662" s="10">
        <v>45260</v>
      </c>
      <c r="I3662">
        <v>59</v>
      </c>
      <c r="J3662">
        <v>0</v>
      </c>
      <c r="K3662">
        <v>59</v>
      </c>
    </row>
    <row r="3663" spans="2:11" x14ac:dyDescent="0.35">
      <c r="B3663">
        <v>1400004510</v>
      </c>
      <c r="C3663" s="10">
        <v>46112</v>
      </c>
      <c r="D3663" t="s">
        <v>2037</v>
      </c>
      <c r="E3663" s="11" t="s">
        <v>3050</v>
      </c>
      <c r="F3663" t="s">
        <v>1930</v>
      </c>
      <c r="G3663" t="s">
        <v>1931</v>
      </c>
      <c r="H3663" s="10">
        <v>45259</v>
      </c>
      <c r="I3663">
        <v>127877.16</v>
      </c>
      <c r="J3663">
        <v>0</v>
      </c>
      <c r="K3663">
        <v>127877.16</v>
      </c>
    </row>
    <row r="3664" spans="2:11" x14ac:dyDescent="0.35">
      <c r="B3664">
        <v>9400000428</v>
      </c>
      <c r="C3664" s="10">
        <v>46112</v>
      </c>
      <c r="D3664" t="s">
        <v>2032</v>
      </c>
      <c r="E3664" s="11" t="s">
        <v>3051</v>
      </c>
      <c r="F3664" t="s">
        <v>1934</v>
      </c>
      <c r="G3664" t="s">
        <v>1935</v>
      </c>
      <c r="H3664" s="10">
        <v>45224</v>
      </c>
      <c r="I3664">
        <v>102.48</v>
      </c>
      <c r="J3664">
        <v>0</v>
      </c>
      <c r="K3664">
        <v>102.48</v>
      </c>
    </row>
    <row r="3665" spans="2:11" x14ac:dyDescent="0.35">
      <c r="B3665">
        <v>1400004509</v>
      </c>
      <c r="C3665" s="10">
        <v>46112</v>
      </c>
      <c r="D3665" t="s">
        <v>2037</v>
      </c>
      <c r="E3665" s="11" t="s">
        <v>3052</v>
      </c>
      <c r="F3665" t="s">
        <v>1936</v>
      </c>
      <c r="G3665" t="s">
        <v>1937</v>
      </c>
      <c r="H3665" s="10">
        <v>45217</v>
      </c>
      <c r="I3665">
        <v>0.08</v>
      </c>
      <c r="J3665">
        <v>0</v>
      </c>
      <c r="K3665">
        <v>0.08</v>
      </c>
    </row>
    <row r="3666" spans="2:11" x14ac:dyDescent="0.35">
      <c r="B3666">
        <v>1400004508</v>
      </c>
      <c r="C3666" s="10">
        <v>46112</v>
      </c>
      <c r="D3666" t="s">
        <v>2037</v>
      </c>
      <c r="E3666" s="11" t="s">
        <v>3053</v>
      </c>
      <c r="F3666" t="s">
        <v>1938</v>
      </c>
      <c r="G3666" t="s">
        <v>1939</v>
      </c>
      <c r="H3666" s="10">
        <v>45188</v>
      </c>
      <c r="I3666">
        <v>0.48</v>
      </c>
      <c r="J3666">
        <v>0</v>
      </c>
      <c r="K3666">
        <v>0.48</v>
      </c>
    </row>
    <row r="3667" spans="2:11" x14ac:dyDescent="0.35">
      <c r="B3667">
        <v>1400004507</v>
      </c>
      <c r="C3667" s="10">
        <v>46112</v>
      </c>
      <c r="D3667" t="s">
        <v>2037</v>
      </c>
      <c r="E3667" s="11" t="s">
        <v>3054</v>
      </c>
      <c r="F3667" t="s">
        <v>1940</v>
      </c>
      <c r="G3667" t="s">
        <v>1941</v>
      </c>
      <c r="H3667" s="10">
        <v>45174</v>
      </c>
      <c r="I3667">
        <v>665.53</v>
      </c>
      <c r="J3667">
        <v>0</v>
      </c>
      <c r="K3667">
        <v>665.53</v>
      </c>
    </row>
    <row r="3668" spans="2:11" x14ac:dyDescent="0.35">
      <c r="B3668">
        <v>1400004506</v>
      </c>
      <c r="C3668" s="10">
        <v>46112</v>
      </c>
      <c r="D3668" t="s">
        <v>2037</v>
      </c>
      <c r="E3668" s="11" t="s">
        <v>3055</v>
      </c>
      <c r="F3668" t="s">
        <v>1934</v>
      </c>
      <c r="G3668" t="s">
        <v>1935</v>
      </c>
      <c r="H3668" s="10">
        <v>45161</v>
      </c>
      <c r="I3668">
        <v>119.56</v>
      </c>
      <c r="J3668">
        <v>0</v>
      </c>
      <c r="K3668">
        <v>119.56</v>
      </c>
    </row>
    <row r="3669" spans="2:11" x14ac:dyDescent="0.35">
      <c r="B3669">
        <v>1400004505</v>
      </c>
      <c r="C3669" s="10">
        <v>46112</v>
      </c>
      <c r="D3669" t="s">
        <v>2037</v>
      </c>
      <c r="E3669" s="11" t="s">
        <v>3056</v>
      </c>
      <c r="F3669" t="s">
        <v>1942</v>
      </c>
      <c r="G3669" t="s">
        <v>1943</v>
      </c>
      <c r="H3669" s="10">
        <v>45161</v>
      </c>
      <c r="I3669">
        <v>0.01</v>
      </c>
      <c r="J3669">
        <v>0</v>
      </c>
      <c r="K3669">
        <v>0.01</v>
      </c>
    </row>
    <row r="3670" spans="2:11" x14ac:dyDescent="0.35">
      <c r="B3670">
        <v>1400004504</v>
      </c>
      <c r="C3670" s="10">
        <v>46112</v>
      </c>
      <c r="D3670" t="s">
        <v>2037</v>
      </c>
      <c r="E3670" s="11" t="s">
        <v>3057</v>
      </c>
      <c r="F3670" t="s">
        <v>1944</v>
      </c>
      <c r="G3670" t="s">
        <v>1945</v>
      </c>
      <c r="H3670" s="10">
        <v>45159</v>
      </c>
      <c r="I3670">
        <v>0.15</v>
      </c>
      <c r="J3670">
        <v>0</v>
      </c>
      <c r="K3670">
        <v>0.15</v>
      </c>
    </row>
    <row r="3671" spans="2:11" x14ac:dyDescent="0.35">
      <c r="B3671">
        <v>9400000324</v>
      </c>
      <c r="C3671" s="10">
        <v>46112</v>
      </c>
      <c r="D3671" t="s">
        <v>2032</v>
      </c>
      <c r="E3671" s="11" t="s">
        <v>3058</v>
      </c>
      <c r="F3671" t="s">
        <v>1946</v>
      </c>
      <c r="G3671" t="s">
        <v>1947</v>
      </c>
      <c r="H3671" s="10">
        <v>45155</v>
      </c>
      <c r="I3671">
        <v>415.5</v>
      </c>
      <c r="J3671">
        <v>0</v>
      </c>
      <c r="K3671">
        <v>415.5</v>
      </c>
    </row>
    <row r="3672" spans="2:11" x14ac:dyDescent="0.35">
      <c r="B3672">
        <v>9400000640</v>
      </c>
      <c r="C3672" s="10">
        <v>46112</v>
      </c>
      <c r="D3672" t="s">
        <v>2032</v>
      </c>
      <c r="E3672" s="11" t="s">
        <v>3059</v>
      </c>
      <c r="F3672" t="s">
        <v>1948</v>
      </c>
      <c r="G3672" t="s">
        <v>1949</v>
      </c>
      <c r="H3672" s="10">
        <v>45149</v>
      </c>
      <c r="I3672">
        <v>346.61</v>
      </c>
      <c r="J3672">
        <v>0</v>
      </c>
      <c r="K3672">
        <v>346.61</v>
      </c>
    </row>
    <row r="3673" spans="2:11" x14ac:dyDescent="0.35">
      <c r="B3673">
        <v>1400004503</v>
      </c>
      <c r="C3673" s="10">
        <v>46112</v>
      </c>
      <c r="D3673" t="s">
        <v>2037</v>
      </c>
      <c r="E3673" s="11" t="s">
        <v>3060</v>
      </c>
      <c r="F3673" t="s">
        <v>1950</v>
      </c>
      <c r="G3673" t="s">
        <v>1951</v>
      </c>
      <c r="H3673" s="10">
        <v>45132</v>
      </c>
      <c r="I3673">
        <v>0.19</v>
      </c>
      <c r="J3673">
        <v>0</v>
      </c>
      <c r="K3673">
        <v>0.19</v>
      </c>
    </row>
    <row r="3674" spans="2:11" x14ac:dyDescent="0.35">
      <c r="B3674">
        <v>1400004502</v>
      </c>
      <c r="C3674" s="10">
        <v>46112</v>
      </c>
      <c r="D3674" t="s">
        <v>2037</v>
      </c>
      <c r="E3674" s="11" t="s">
        <v>3061</v>
      </c>
      <c r="F3674" t="s">
        <v>1952</v>
      </c>
      <c r="G3674" t="s">
        <v>1953</v>
      </c>
      <c r="H3674" s="10">
        <v>45127</v>
      </c>
      <c r="I3674">
        <v>59</v>
      </c>
      <c r="J3674">
        <v>0</v>
      </c>
      <c r="K3674">
        <v>59</v>
      </c>
    </row>
    <row r="3675" spans="2:11" x14ac:dyDescent="0.35">
      <c r="B3675">
        <v>1400004501</v>
      </c>
      <c r="C3675" s="10">
        <v>46112</v>
      </c>
      <c r="D3675" t="s">
        <v>2037</v>
      </c>
      <c r="E3675" s="11" t="s">
        <v>3062</v>
      </c>
      <c r="F3675" t="s">
        <v>1954</v>
      </c>
      <c r="G3675" t="s">
        <v>1955</v>
      </c>
      <c r="H3675" s="10">
        <v>45125</v>
      </c>
      <c r="I3675">
        <v>59</v>
      </c>
      <c r="J3675">
        <v>0</v>
      </c>
      <c r="K3675">
        <v>59</v>
      </c>
    </row>
    <row r="3676" spans="2:11" x14ac:dyDescent="0.35">
      <c r="B3676">
        <v>1400004500</v>
      </c>
      <c r="C3676" s="10">
        <v>46112</v>
      </c>
      <c r="D3676" t="s">
        <v>2037</v>
      </c>
      <c r="E3676" s="11" t="s">
        <v>3063</v>
      </c>
      <c r="F3676" t="s">
        <v>1954</v>
      </c>
      <c r="G3676" t="s">
        <v>1955</v>
      </c>
      <c r="H3676" s="10">
        <v>45118</v>
      </c>
      <c r="I3676">
        <v>59.44</v>
      </c>
      <c r="J3676">
        <v>0</v>
      </c>
      <c r="K3676">
        <v>59.44</v>
      </c>
    </row>
    <row r="3677" spans="2:11" x14ac:dyDescent="0.35">
      <c r="B3677">
        <v>9400000002</v>
      </c>
      <c r="C3677" s="10">
        <v>46112</v>
      </c>
      <c r="D3677" t="s">
        <v>2032</v>
      </c>
      <c r="E3677" s="11" t="s">
        <v>3064</v>
      </c>
      <c r="F3677" t="s">
        <v>1956</v>
      </c>
      <c r="G3677" t="s">
        <v>1957</v>
      </c>
      <c r="H3677" s="10">
        <v>45103</v>
      </c>
      <c r="I3677">
        <v>251.14</v>
      </c>
      <c r="J3677">
        <v>0</v>
      </c>
      <c r="K3677">
        <v>251.14</v>
      </c>
    </row>
    <row r="3678" spans="2:11" x14ac:dyDescent="0.35">
      <c r="B3678">
        <v>1400004499</v>
      </c>
      <c r="C3678" s="10">
        <v>46112</v>
      </c>
      <c r="D3678" t="s">
        <v>2037</v>
      </c>
      <c r="E3678" s="11" t="s">
        <v>3065</v>
      </c>
      <c r="F3678" t="s">
        <v>1958</v>
      </c>
      <c r="G3678" t="s">
        <v>1959</v>
      </c>
      <c r="H3678" s="10">
        <v>45072</v>
      </c>
      <c r="I3678">
        <v>0.14000000000000001</v>
      </c>
      <c r="J3678">
        <v>0</v>
      </c>
      <c r="K3678">
        <v>0.14000000000000001</v>
      </c>
    </row>
    <row r="3679" spans="2:11" x14ac:dyDescent="0.35">
      <c r="B3679">
        <v>1400004498</v>
      </c>
      <c r="C3679" s="10">
        <v>46112</v>
      </c>
      <c r="D3679" t="s">
        <v>2037</v>
      </c>
      <c r="E3679" s="11" t="s">
        <v>3066</v>
      </c>
      <c r="F3679" t="s">
        <v>1960</v>
      </c>
      <c r="G3679" t="s">
        <v>1961</v>
      </c>
      <c r="H3679" s="10">
        <v>45063</v>
      </c>
      <c r="I3679">
        <v>0.1</v>
      </c>
      <c r="J3679">
        <v>0</v>
      </c>
      <c r="K3679">
        <v>0.1</v>
      </c>
    </row>
    <row r="3680" spans="2:11" x14ac:dyDescent="0.35">
      <c r="B3680">
        <v>1400004497</v>
      </c>
      <c r="C3680" s="10">
        <v>46112</v>
      </c>
      <c r="D3680" t="s">
        <v>2037</v>
      </c>
      <c r="E3680" s="11" t="s">
        <v>3067</v>
      </c>
      <c r="F3680" t="s">
        <v>1962</v>
      </c>
      <c r="G3680" t="s">
        <v>1963</v>
      </c>
      <c r="H3680" s="10">
        <v>45056</v>
      </c>
      <c r="I3680">
        <v>0.39</v>
      </c>
      <c r="J3680">
        <v>0</v>
      </c>
      <c r="K3680">
        <v>0.39</v>
      </c>
    </row>
    <row r="3681" spans="2:11" x14ac:dyDescent="0.35">
      <c r="B3681">
        <v>1800001555</v>
      </c>
      <c r="C3681" s="10">
        <v>46112</v>
      </c>
      <c r="D3681" t="s">
        <v>2052</v>
      </c>
      <c r="E3681" s="11" t="s">
        <v>3068</v>
      </c>
      <c r="F3681" t="s">
        <v>1964</v>
      </c>
      <c r="G3681" t="s">
        <v>1965</v>
      </c>
      <c r="H3681" s="10">
        <v>45086</v>
      </c>
      <c r="I3681">
        <v>0.49</v>
      </c>
      <c r="J3681">
        <v>0</v>
      </c>
      <c r="K3681">
        <v>0.49</v>
      </c>
    </row>
    <row r="3682" spans="2:11" x14ac:dyDescent="0.35">
      <c r="B3682">
        <v>9400000001</v>
      </c>
      <c r="C3682" s="10">
        <v>46112</v>
      </c>
      <c r="D3682" t="s">
        <v>2032</v>
      </c>
      <c r="E3682" s="11" t="s">
        <v>3069</v>
      </c>
      <c r="F3682" t="s">
        <v>1966</v>
      </c>
      <c r="G3682" t="s">
        <v>1967</v>
      </c>
      <c r="H3682" s="10">
        <v>45038</v>
      </c>
      <c r="I3682">
        <v>604.72</v>
      </c>
      <c r="J3682">
        <v>0</v>
      </c>
      <c r="K3682">
        <v>604.72</v>
      </c>
    </row>
    <row r="3683" spans="2:11" x14ac:dyDescent="0.35">
      <c r="B3683">
        <v>1400004496</v>
      </c>
      <c r="C3683" s="10">
        <v>46112</v>
      </c>
      <c r="D3683" t="s">
        <v>2037</v>
      </c>
      <c r="E3683" s="11" t="s">
        <v>3070</v>
      </c>
      <c r="F3683" t="s">
        <v>1968</v>
      </c>
      <c r="G3683" t="s">
        <v>1969</v>
      </c>
      <c r="H3683" s="10">
        <v>45036</v>
      </c>
      <c r="I3683">
        <v>59</v>
      </c>
      <c r="J3683">
        <v>0</v>
      </c>
      <c r="K3683">
        <v>59</v>
      </c>
    </row>
    <row r="3684" spans="2:11" x14ac:dyDescent="0.35">
      <c r="B3684">
        <v>1400004495</v>
      </c>
      <c r="C3684" s="10">
        <v>46112</v>
      </c>
      <c r="D3684" t="s">
        <v>2037</v>
      </c>
      <c r="E3684" s="11" t="s">
        <v>3071</v>
      </c>
      <c r="F3684" t="s">
        <v>1968</v>
      </c>
      <c r="G3684" t="s">
        <v>1969</v>
      </c>
      <c r="H3684" s="10">
        <v>45029</v>
      </c>
      <c r="I3684">
        <v>282.23</v>
      </c>
      <c r="J3684">
        <v>0</v>
      </c>
      <c r="K3684">
        <v>282.23</v>
      </c>
    </row>
    <row r="3685" spans="2:11" x14ac:dyDescent="0.35">
      <c r="B3685">
        <v>1800005978</v>
      </c>
      <c r="C3685" s="10">
        <v>46112</v>
      </c>
      <c r="D3685" t="s">
        <v>2052</v>
      </c>
      <c r="E3685" s="11" t="s">
        <v>3072</v>
      </c>
      <c r="F3685" t="s">
        <v>1970</v>
      </c>
      <c r="G3685" t="s">
        <v>1971</v>
      </c>
      <c r="H3685" s="10">
        <v>45057</v>
      </c>
      <c r="I3685">
        <v>0.43</v>
      </c>
      <c r="J3685">
        <v>0</v>
      </c>
      <c r="K3685">
        <v>0.43</v>
      </c>
    </row>
    <row r="3686" spans="2:11" x14ac:dyDescent="0.35">
      <c r="B3686">
        <v>1400004494</v>
      </c>
      <c r="C3686" s="10">
        <v>46112</v>
      </c>
      <c r="D3686" t="s">
        <v>2037</v>
      </c>
      <c r="E3686" s="11" t="s">
        <v>3073</v>
      </c>
      <c r="F3686" t="s">
        <v>1972</v>
      </c>
      <c r="G3686" t="s">
        <v>1973</v>
      </c>
      <c r="H3686" s="10">
        <v>45010</v>
      </c>
      <c r="I3686">
        <v>0.33</v>
      </c>
      <c r="J3686">
        <v>0</v>
      </c>
      <c r="K3686">
        <v>0.33</v>
      </c>
    </row>
    <row r="3687" spans="2:11" x14ac:dyDescent="0.35">
      <c r="B3687">
        <v>1400004493</v>
      </c>
      <c r="C3687" s="10">
        <v>46112</v>
      </c>
      <c r="D3687" t="s">
        <v>2037</v>
      </c>
      <c r="E3687" s="11" t="s">
        <v>3074</v>
      </c>
      <c r="F3687" t="s">
        <v>1974</v>
      </c>
      <c r="G3687" t="s">
        <v>1975</v>
      </c>
      <c r="H3687" s="10">
        <v>45002</v>
      </c>
      <c r="I3687">
        <v>0.48</v>
      </c>
      <c r="J3687">
        <v>0</v>
      </c>
      <c r="K3687">
        <v>0.48</v>
      </c>
    </row>
    <row r="3688" spans="2:11" x14ac:dyDescent="0.35">
      <c r="B3688">
        <v>1400004492</v>
      </c>
      <c r="C3688" s="10">
        <v>46112</v>
      </c>
      <c r="D3688" t="s">
        <v>2037</v>
      </c>
      <c r="E3688" s="11" t="s">
        <v>3075</v>
      </c>
      <c r="F3688" t="s">
        <v>1976</v>
      </c>
      <c r="G3688" t="s">
        <v>1977</v>
      </c>
      <c r="H3688" s="10">
        <v>44876</v>
      </c>
      <c r="I3688">
        <v>59</v>
      </c>
      <c r="J3688">
        <v>0</v>
      </c>
      <c r="K3688">
        <v>59</v>
      </c>
    </row>
    <row r="3689" spans="2:11" x14ac:dyDescent="0.35">
      <c r="B3689">
        <v>1400004491</v>
      </c>
      <c r="C3689" s="10">
        <v>46112</v>
      </c>
      <c r="D3689" t="s">
        <v>2037</v>
      </c>
      <c r="E3689" s="11" t="s">
        <v>3076</v>
      </c>
      <c r="F3689" t="s">
        <v>1976</v>
      </c>
      <c r="G3689" t="s">
        <v>1977</v>
      </c>
      <c r="H3689" s="10">
        <v>44875</v>
      </c>
      <c r="I3689">
        <v>168.79</v>
      </c>
      <c r="J3689">
        <v>0</v>
      </c>
      <c r="K3689">
        <v>168.79</v>
      </c>
    </row>
    <row r="3690" spans="2:11" x14ac:dyDescent="0.35">
      <c r="B3690">
        <v>1400004490</v>
      </c>
      <c r="C3690" s="10">
        <v>46112</v>
      </c>
      <c r="D3690" t="s">
        <v>2037</v>
      </c>
      <c r="E3690" s="11" t="s">
        <v>3077</v>
      </c>
      <c r="F3690" t="s">
        <v>1978</v>
      </c>
      <c r="G3690" t="s">
        <v>1979</v>
      </c>
      <c r="H3690" s="10">
        <v>44874</v>
      </c>
      <c r="I3690">
        <v>0.37</v>
      </c>
      <c r="J3690">
        <v>0</v>
      </c>
      <c r="K3690">
        <v>0.37</v>
      </c>
    </row>
    <row r="3691" spans="2:11" x14ac:dyDescent="0.35">
      <c r="B3691">
        <v>1400004489</v>
      </c>
      <c r="C3691" s="10">
        <v>46112</v>
      </c>
      <c r="D3691" t="s">
        <v>2037</v>
      </c>
      <c r="E3691" s="11" t="s">
        <v>3078</v>
      </c>
      <c r="F3691" t="s">
        <v>1980</v>
      </c>
      <c r="G3691" t="s">
        <v>1981</v>
      </c>
      <c r="H3691" s="10">
        <v>44852</v>
      </c>
      <c r="I3691">
        <v>0.34</v>
      </c>
      <c r="J3691">
        <v>0</v>
      </c>
      <c r="K3691">
        <v>0.34</v>
      </c>
    </row>
    <row r="3692" spans="2:11" x14ac:dyDescent="0.35">
      <c r="B3692">
        <v>1400004488</v>
      </c>
      <c r="C3692" s="10">
        <v>46112</v>
      </c>
      <c r="D3692" t="s">
        <v>2037</v>
      </c>
      <c r="E3692" s="11" t="s">
        <v>3079</v>
      </c>
      <c r="F3692" t="s">
        <v>1982</v>
      </c>
      <c r="G3692" t="s">
        <v>1983</v>
      </c>
      <c r="H3692" s="10">
        <v>44819</v>
      </c>
      <c r="I3692">
        <v>0.17</v>
      </c>
      <c r="J3692">
        <v>0</v>
      </c>
      <c r="K3692">
        <v>0.17</v>
      </c>
    </row>
    <row r="3693" spans="2:11" x14ac:dyDescent="0.35">
      <c r="B3693">
        <v>9400000202</v>
      </c>
      <c r="C3693" s="10">
        <v>46112</v>
      </c>
      <c r="D3693" t="s">
        <v>2032</v>
      </c>
      <c r="E3693" s="11" t="s">
        <v>3080</v>
      </c>
      <c r="F3693" t="s">
        <v>1984</v>
      </c>
      <c r="G3693" t="s">
        <v>1985</v>
      </c>
      <c r="H3693" s="10">
        <v>44768</v>
      </c>
      <c r="I3693">
        <v>46.14</v>
      </c>
      <c r="J3693">
        <v>0</v>
      </c>
      <c r="K3693">
        <v>46.14</v>
      </c>
    </row>
    <row r="3694" spans="2:11" x14ac:dyDescent="0.35">
      <c r="B3694">
        <v>1800002678</v>
      </c>
      <c r="C3694" s="10">
        <v>46112</v>
      </c>
      <c r="D3694" t="s">
        <v>2052</v>
      </c>
      <c r="E3694" s="11" t="s">
        <v>3081</v>
      </c>
      <c r="F3694" t="s">
        <v>1986</v>
      </c>
      <c r="G3694" t="s">
        <v>1987</v>
      </c>
      <c r="H3694" s="10">
        <v>44805</v>
      </c>
      <c r="I3694">
        <v>191.73</v>
      </c>
      <c r="J3694">
        <v>0</v>
      </c>
      <c r="K3694">
        <v>191.73</v>
      </c>
    </row>
    <row r="3695" spans="2:11" x14ac:dyDescent="0.35">
      <c r="B3695">
        <v>1400004487</v>
      </c>
      <c r="C3695" s="10">
        <v>46112</v>
      </c>
      <c r="D3695" t="s">
        <v>2037</v>
      </c>
      <c r="E3695" s="11" t="s">
        <v>3082</v>
      </c>
      <c r="F3695" t="s">
        <v>1988</v>
      </c>
      <c r="G3695" t="s">
        <v>1989</v>
      </c>
      <c r="H3695" s="10">
        <v>44757</v>
      </c>
      <c r="I3695">
        <v>59</v>
      </c>
      <c r="J3695">
        <v>0</v>
      </c>
      <c r="K3695">
        <v>59</v>
      </c>
    </row>
    <row r="3696" spans="2:11" x14ac:dyDescent="0.35">
      <c r="B3696">
        <v>1400004486</v>
      </c>
      <c r="C3696" s="10">
        <v>46112</v>
      </c>
      <c r="D3696" t="s">
        <v>2037</v>
      </c>
      <c r="E3696" s="11" t="s">
        <v>3083</v>
      </c>
      <c r="F3696" t="s">
        <v>1988</v>
      </c>
      <c r="G3696" t="s">
        <v>1989</v>
      </c>
      <c r="H3696" s="10">
        <v>44757</v>
      </c>
      <c r="I3696">
        <v>120.07</v>
      </c>
      <c r="J3696">
        <v>0</v>
      </c>
      <c r="K3696">
        <v>120.07</v>
      </c>
    </row>
    <row r="3697" spans="2:11" x14ac:dyDescent="0.35">
      <c r="B3697">
        <v>1400004485</v>
      </c>
      <c r="C3697" s="10">
        <v>46112</v>
      </c>
      <c r="D3697" t="s">
        <v>2037</v>
      </c>
      <c r="E3697" s="11" t="s">
        <v>3084</v>
      </c>
      <c r="F3697" t="s">
        <v>1990</v>
      </c>
      <c r="G3697" t="s">
        <v>1991</v>
      </c>
      <c r="H3697" s="10">
        <v>44740</v>
      </c>
      <c r="I3697">
        <v>0.63</v>
      </c>
      <c r="J3697">
        <v>0</v>
      </c>
      <c r="K3697">
        <v>0.63</v>
      </c>
    </row>
    <row r="3698" spans="2:11" x14ac:dyDescent="0.35">
      <c r="B3698">
        <v>9400000201</v>
      </c>
      <c r="C3698" s="10">
        <v>46112</v>
      </c>
      <c r="D3698" t="s">
        <v>2032</v>
      </c>
      <c r="E3698" s="11" t="s">
        <v>3085</v>
      </c>
      <c r="F3698" t="s">
        <v>1984</v>
      </c>
      <c r="G3698" t="s">
        <v>1985</v>
      </c>
      <c r="H3698" s="10">
        <v>44708</v>
      </c>
      <c r="I3698">
        <v>174.73</v>
      </c>
      <c r="J3698">
        <v>0</v>
      </c>
      <c r="K3698">
        <v>174.73</v>
      </c>
    </row>
    <row r="3699" spans="2:11" x14ac:dyDescent="0.35">
      <c r="B3699">
        <v>9400000023</v>
      </c>
      <c r="C3699" s="10">
        <v>46112</v>
      </c>
      <c r="D3699" t="s">
        <v>2032</v>
      </c>
      <c r="E3699" s="11" t="s">
        <v>3086</v>
      </c>
      <c r="F3699" t="s">
        <v>1992</v>
      </c>
      <c r="G3699" t="s">
        <v>1993</v>
      </c>
      <c r="H3699" s="10">
        <v>44700</v>
      </c>
      <c r="I3699">
        <v>277.02999999999997</v>
      </c>
      <c r="J3699">
        <v>0</v>
      </c>
      <c r="K3699">
        <v>277.02999999999997</v>
      </c>
    </row>
    <row r="3700" spans="2:11" x14ac:dyDescent="0.35">
      <c r="B3700">
        <v>9400000578</v>
      </c>
      <c r="C3700" s="10">
        <v>46112</v>
      </c>
      <c r="D3700" t="s">
        <v>2032</v>
      </c>
      <c r="E3700" s="11" t="s">
        <v>3087</v>
      </c>
      <c r="F3700" t="s">
        <v>1994</v>
      </c>
      <c r="G3700" t="s">
        <v>1995</v>
      </c>
      <c r="H3700" s="10">
        <v>44671</v>
      </c>
      <c r="I3700">
        <v>566.92999999999995</v>
      </c>
      <c r="J3700">
        <v>0</v>
      </c>
      <c r="K3700">
        <v>566.92999999999995</v>
      </c>
    </row>
    <row r="3701" spans="2:11" x14ac:dyDescent="0.35">
      <c r="B3701">
        <v>1400004484</v>
      </c>
      <c r="C3701" s="10">
        <v>46112</v>
      </c>
      <c r="D3701" t="s">
        <v>2037</v>
      </c>
      <c r="E3701" s="11" t="s">
        <v>3088</v>
      </c>
      <c r="F3701" t="s">
        <v>1996</v>
      </c>
      <c r="G3701" t="s">
        <v>1997</v>
      </c>
      <c r="H3701" s="10">
        <v>44609</v>
      </c>
      <c r="I3701">
        <v>0.72</v>
      </c>
      <c r="J3701">
        <v>0</v>
      </c>
      <c r="K3701">
        <v>0.72</v>
      </c>
    </row>
    <row r="3702" spans="2:11" x14ac:dyDescent="0.35">
      <c r="B3702">
        <v>9400000000</v>
      </c>
      <c r="C3702" s="10">
        <v>46112</v>
      </c>
      <c r="D3702" t="s">
        <v>2032</v>
      </c>
      <c r="E3702" s="11" t="s">
        <v>3089</v>
      </c>
      <c r="F3702" t="s">
        <v>1998</v>
      </c>
      <c r="G3702" t="s">
        <v>1999</v>
      </c>
      <c r="H3702" s="10">
        <v>44454</v>
      </c>
      <c r="I3702">
        <v>645.84</v>
      </c>
      <c r="J3702">
        <v>0</v>
      </c>
      <c r="K3702">
        <v>645.84</v>
      </c>
    </row>
    <row r="3703" spans="2:11" x14ac:dyDescent="0.35">
      <c r="B3703">
        <v>1400004468</v>
      </c>
      <c r="C3703" s="10">
        <v>46112</v>
      </c>
      <c r="D3703" t="s">
        <v>2037</v>
      </c>
      <c r="E3703" s="11" t="s">
        <v>3090</v>
      </c>
      <c r="F3703" t="s">
        <v>2000</v>
      </c>
      <c r="G3703" t="s">
        <v>2001</v>
      </c>
      <c r="H3703" s="10">
        <v>43445</v>
      </c>
      <c r="I3703">
        <v>5435.55</v>
      </c>
      <c r="J3703">
        <v>5435.54</v>
      </c>
      <c r="K3703">
        <v>1.0000000000218279E-2</v>
      </c>
    </row>
    <row r="3704" spans="2:11" x14ac:dyDescent="0.35">
      <c r="B3704">
        <v>1400004430</v>
      </c>
      <c r="C3704" s="10">
        <v>46112</v>
      </c>
      <c r="D3704" t="s">
        <v>2037</v>
      </c>
      <c r="E3704" s="11" t="s">
        <v>3091</v>
      </c>
      <c r="F3704" t="s">
        <v>2002</v>
      </c>
      <c r="G3704" t="s">
        <v>2003</v>
      </c>
      <c r="H3704" s="10">
        <v>43097</v>
      </c>
      <c r="I3704">
        <v>1058</v>
      </c>
      <c r="J3704">
        <v>1057.99</v>
      </c>
      <c r="K3704">
        <v>9.9999999999909051E-3</v>
      </c>
    </row>
    <row r="3705" spans="2:11" x14ac:dyDescent="0.35">
      <c r="B3705">
        <v>1400004403</v>
      </c>
      <c r="C3705" s="10">
        <v>46112</v>
      </c>
      <c r="D3705" t="s">
        <v>2037</v>
      </c>
      <c r="E3705" s="11" t="s">
        <v>3092</v>
      </c>
      <c r="F3705" t="s">
        <v>2004</v>
      </c>
      <c r="G3705" t="s">
        <v>2005</v>
      </c>
      <c r="H3705" s="10">
        <v>42984</v>
      </c>
      <c r="I3705">
        <v>82673</v>
      </c>
      <c r="J3705">
        <v>82672.990000000005</v>
      </c>
      <c r="K3705">
        <v>9.9999999947613105E-3</v>
      </c>
    </row>
  </sheetData>
  <autoFilter ref="A2:K3140" xr:uid="{1FE5092F-B8C5-4AE3-A6A4-28690D81A86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018D7-14F5-4E03-864E-30DCC1001329}">
  <sheetPr codeName="Sheet4"/>
  <dimension ref="A1:P191"/>
  <sheetViews>
    <sheetView zoomScale="90" zoomScaleNormal="90" workbookViewId="0">
      <pane xSplit="4" ySplit="2" topLeftCell="E114" activePane="bottomRight" state="frozen"/>
      <selection pane="topRight" activeCell="E1" sqref="E1"/>
      <selection pane="bottomLeft" activeCell="A3" sqref="A3"/>
      <selection pane="bottomRight" activeCell="D147" sqref="D147"/>
    </sheetView>
  </sheetViews>
  <sheetFormatPr defaultRowHeight="14.5" x14ac:dyDescent="0.35"/>
  <cols>
    <col min="4" max="4" width="37.90625" bestFit="1" customWidth="1"/>
    <col min="12" max="12" width="12.453125" customWidth="1"/>
    <col min="13" max="13" width="13.08984375" customWidth="1"/>
  </cols>
  <sheetData>
    <row r="1" spans="1:16" x14ac:dyDescent="0.35">
      <c r="E1" s="14">
        <f>SUBTOTAL(9,E3:E109341)</f>
        <v>238.06471910000002</v>
      </c>
      <c r="F1" s="5">
        <f t="shared" ref="F1:I1" si="0">SUBTOTAL(9,F3:F109341)</f>
        <v>26.044473199999999</v>
      </c>
      <c r="G1" s="8">
        <f t="shared" si="0"/>
        <v>212.02024589999996</v>
      </c>
      <c r="H1" s="5">
        <f t="shared" si="0"/>
        <v>0</v>
      </c>
      <c r="I1" s="5">
        <f t="shared" si="0"/>
        <v>8.5559300000000005E-2</v>
      </c>
      <c r="J1" s="5">
        <f>SUBTOTAL(9,J3:J109341)</f>
        <v>2.1765724999999998</v>
      </c>
      <c r="K1" s="5">
        <f>SUBTOTAL(9,K3:K109341)</f>
        <v>209.75811409999997</v>
      </c>
    </row>
    <row r="2" spans="1:16" ht="56" x14ac:dyDescent="0.35">
      <c r="A2" s="3" t="s">
        <v>2015</v>
      </c>
      <c r="B2" s="3" t="s">
        <v>1</v>
      </c>
      <c r="C2" s="3" t="s">
        <v>2</v>
      </c>
      <c r="D2" s="3" t="s">
        <v>3</v>
      </c>
      <c r="E2" s="15" t="s">
        <v>4</v>
      </c>
      <c r="F2" s="3" t="s">
        <v>5</v>
      </c>
      <c r="G2" s="3" t="s">
        <v>6</v>
      </c>
      <c r="H2" s="7" t="s">
        <v>7</v>
      </c>
      <c r="I2" s="7" t="s">
        <v>8</v>
      </c>
      <c r="J2" s="7" t="s">
        <v>3093</v>
      </c>
      <c r="K2" s="7" t="s">
        <v>2006</v>
      </c>
      <c r="L2" s="7" t="s">
        <v>2021</v>
      </c>
      <c r="M2" s="7" t="s">
        <v>2022</v>
      </c>
      <c r="N2" s="7" t="s">
        <v>2020</v>
      </c>
      <c r="P2" s="22" t="s">
        <v>3419</v>
      </c>
    </row>
    <row r="3" spans="1:16" x14ac:dyDescent="0.35">
      <c r="A3" t="s">
        <v>2017</v>
      </c>
      <c r="B3" t="s">
        <v>36</v>
      </c>
      <c r="C3" t="s">
        <v>373</v>
      </c>
      <c r="D3" t="s">
        <v>374</v>
      </c>
      <c r="E3" s="16">
        <v>23.125441600000002</v>
      </c>
      <c r="F3" s="4">
        <v>23.125441600000002</v>
      </c>
      <c r="G3" s="17">
        <v>0</v>
      </c>
      <c r="H3" s="4">
        <v>0</v>
      </c>
      <c r="I3" s="4">
        <v>0</v>
      </c>
      <c r="J3" s="4">
        <v>0</v>
      </c>
      <c r="K3" s="4">
        <v>0</v>
      </c>
      <c r="L3" s="4"/>
      <c r="M3" s="4"/>
      <c r="N3" t="s">
        <v>2010</v>
      </c>
    </row>
    <row r="4" spans="1:16" x14ac:dyDescent="0.35">
      <c r="A4" t="s">
        <v>2017</v>
      </c>
      <c r="B4" t="s">
        <v>19</v>
      </c>
      <c r="C4" t="s">
        <v>621</v>
      </c>
      <c r="D4" t="s">
        <v>622</v>
      </c>
      <c r="E4" s="16">
        <v>2.8308615999999995</v>
      </c>
      <c r="F4" s="4">
        <v>2.8308615999999995</v>
      </c>
      <c r="G4" s="17">
        <v>0</v>
      </c>
      <c r="H4" s="4">
        <v>0</v>
      </c>
      <c r="I4" s="4">
        <v>0</v>
      </c>
      <c r="J4" s="4">
        <v>0</v>
      </c>
      <c r="K4" s="4">
        <v>0</v>
      </c>
      <c r="L4" s="4"/>
      <c r="M4" s="4"/>
      <c r="N4" t="s">
        <v>2010</v>
      </c>
    </row>
    <row r="5" spans="1:16" x14ac:dyDescent="0.35">
      <c r="A5" t="s">
        <v>2018</v>
      </c>
      <c r="B5" t="s">
        <v>169</v>
      </c>
      <c r="C5" t="s">
        <v>821</v>
      </c>
      <c r="D5" t="s">
        <v>822</v>
      </c>
      <c r="E5" s="16">
        <v>3.9050000000000001E-3</v>
      </c>
      <c r="F5" s="4">
        <v>0</v>
      </c>
      <c r="G5" s="17">
        <v>3.9050000000000001E-3</v>
      </c>
      <c r="H5" s="4">
        <v>0</v>
      </c>
      <c r="I5" s="4">
        <v>3.9050000000000001E-3</v>
      </c>
      <c r="J5" s="4">
        <v>0</v>
      </c>
      <c r="K5" s="4">
        <v>0</v>
      </c>
      <c r="L5" s="4"/>
      <c r="M5" s="4"/>
      <c r="N5" t="s">
        <v>2010</v>
      </c>
    </row>
    <row r="6" spans="1:16" x14ac:dyDescent="0.35">
      <c r="A6" t="s">
        <v>2017</v>
      </c>
      <c r="B6" t="s">
        <v>88</v>
      </c>
      <c r="C6" t="s">
        <v>1037</v>
      </c>
      <c r="D6" t="s">
        <v>1038</v>
      </c>
      <c r="E6" s="16">
        <v>2.2112199999999999E-2</v>
      </c>
      <c r="F6" s="4">
        <v>0</v>
      </c>
      <c r="G6" s="17">
        <v>2.2112199999999999E-2</v>
      </c>
      <c r="H6" s="4">
        <v>0</v>
      </c>
      <c r="I6" s="4">
        <v>2.2112199999999999E-2</v>
      </c>
      <c r="J6" s="4">
        <v>0</v>
      </c>
      <c r="K6" s="4">
        <v>0</v>
      </c>
      <c r="L6" s="4"/>
      <c r="M6" s="4"/>
      <c r="N6" t="s">
        <v>2010</v>
      </c>
    </row>
    <row r="7" spans="1:16" x14ac:dyDescent="0.35">
      <c r="A7" t="s">
        <v>2017</v>
      </c>
      <c r="B7" t="s">
        <v>210</v>
      </c>
      <c r="C7" t="s">
        <v>1063</v>
      </c>
      <c r="D7" t="s">
        <v>1064</v>
      </c>
      <c r="E7" s="16">
        <v>1.6540429000000001</v>
      </c>
      <c r="F7" s="4">
        <v>6.9930000000000006E-2</v>
      </c>
      <c r="G7" s="17">
        <v>1.5841129</v>
      </c>
      <c r="H7" s="4">
        <v>0</v>
      </c>
      <c r="I7" s="4">
        <v>0</v>
      </c>
      <c r="J7" s="4">
        <v>0</v>
      </c>
      <c r="K7" s="4">
        <v>1.5841129</v>
      </c>
      <c r="L7" s="4"/>
      <c r="M7" s="4"/>
      <c r="N7" t="s">
        <v>2011</v>
      </c>
    </row>
    <row r="8" spans="1:16" x14ac:dyDescent="0.35">
      <c r="A8" t="s">
        <v>2018</v>
      </c>
      <c r="B8" t="s">
        <v>169</v>
      </c>
      <c r="C8" t="s">
        <v>1081</v>
      </c>
      <c r="D8" t="s">
        <v>1082</v>
      </c>
      <c r="E8" s="16">
        <v>0.82349550000000005</v>
      </c>
      <c r="F8" s="4">
        <v>1.8239999999999999E-2</v>
      </c>
      <c r="G8" s="17">
        <v>0.80525550000000001</v>
      </c>
      <c r="H8" s="4">
        <v>0</v>
      </c>
      <c r="I8" s="4">
        <v>0</v>
      </c>
      <c r="J8" s="4">
        <v>0</v>
      </c>
      <c r="K8" s="4">
        <v>0.80525550000000001</v>
      </c>
      <c r="L8" s="4"/>
      <c r="M8" s="4"/>
      <c r="N8" t="s">
        <v>2011</v>
      </c>
    </row>
    <row r="9" spans="1:16" x14ac:dyDescent="0.35">
      <c r="A9" t="s">
        <v>2017</v>
      </c>
      <c r="B9" t="s">
        <v>55</v>
      </c>
      <c r="C9" t="s">
        <v>1147</v>
      </c>
      <c r="D9" t="s">
        <v>1148</v>
      </c>
      <c r="E9" s="16">
        <v>0.1153646</v>
      </c>
      <c r="F9" s="4">
        <v>0</v>
      </c>
      <c r="G9" s="17">
        <v>0.1153646</v>
      </c>
      <c r="H9" s="4">
        <v>0</v>
      </c>
      <c r="I9" s="4">
        <v>5.9542100000000001E-2</v>
      </c>
      <c r="J9" s="4">
        <v>0</v>
      </c>
      <c r="K9" s="4">
        <v>5.5822499999999997E-2</v>
      </c>
      <c r="L9" s="4"/>
      <c r="M9" s="4"/>
      <c r="N9" t="s">
        <v>2011</v>
      </c>
    </row>
    <row r="10" spans="1:16" x14ac:dyDescent="0.35">
      <c r="A10" t="s">
        <v>2017</v>
      </c>
      <c r="B10" t="s">
        <v>19</v>
      </c>
      <c r="C10" t="s">
        <v>1255</v>
      </c>
      <c r="D10" t="s">
        <v>1256</v>
      </c>
      <c r="E10" s="16">
        <v>1.5016573000000002</v>
      </c>
      <c r="F10" s="4">
        <v>0</v>
      </c>
      <c r="G10" s="17">
        <v>1.5016573000000002</v>
      </c>
      <c r="H10" s="4">
        <v>0</v>
      </c>
      <c r="I10" s="4">
        <v>0</v>
      </c>
      <c r="J10" s="4">
        <v>1.5016573000000002</v>
      </c>
      <c r="K10" s="4">
        <v>0</v>
      </c>
      <c r="L10" s="4"/>
      <c r="M10" s="4"/>
      <c r="N10" t="s">
        <v>2010</v>
      </c>
    </row>
    <row r="11" spans="1:16" x14ac:dyDescent="0.35">
      <c r="A11" t="s">
        <v>2017</v>
      </c>
      <c r="B11" t="s">
        <v>210</v>
      </c>
      <c r="C11" t="s">
        <v>1269</v>
      </c>
      <c r="D11" t="s">
        <v>1270</v>
      </c>
      <c r="E11" s="16">
        <v>9.6503500000000006E-2</v>
      </c>
      <c r="F11" s="4">
        <v>0</v>
      </c>
      <c r="G11" s="17">
        <v>9.6503500000000006E-2</v>
      </c>
      <c r="H11" s="4">
        <v>0</v>
      </c>
      <c r="I11" s="4">
        <v>0</v>
      </c>
      <c r="J11" s="4">
        <v>8.6168000000000008E-3</v>
      </c>
      <c r="K11" s="4">
        <v>8.7886699999999998E-2</v>
      </c>
      <c r="L11" s="4"/>
      <c r="M11" s="4"/>
      <c r="N11" t="s">
        <v>2010</v>
      </c>
    </row>
    <row r="12" spans="1:16" x14ac:dyDescent="0.35">
      <c r="A12" t="s">
        <v>2017</v>
      </c>
      <c r="B12" t="s">
        <v>19</v>
      </c>
      <c r="C12" t="s">
        <v>1303</v>
      </c>
      <c r="D12" t="s">
        <v>1304</v>
      </c>
      <c r="E12" s="16">
        <v>6.3867199999999999E-2</v>
      </c>
      <c r="F12" s="4">
        <v>0</v>
      </c>
      <c r="G12" s="17">
        <v>6.3867199999999999E-2</v>
      </c>
      <c r="H12" s="4">
        <v>0</v>
      </c>
      <c r="I12" s="4">
        <v>0</v>
      </c>
      <c r="J12" s="4">
        <v>5.8652900000000001E-2</v>
      </c>
      <c r="K12" s="4">
        <v>5.2142999999999998E-3</v>
      </c>
      <c r="L12" s="4"/>
      <c r="M12" s="4"/>
      <c r="N12" t="s">
        <v>2010</v>
      </c>
    </row>
    <row r="13" spans="1:16" x14ac:dyDescent="0.35">
      <c r="A13" t="s">
        <v>2016</v>
      </c>
      <c r="B13" t="s">
        <v>93</v>
      </c>
      <c r="C13" t="s">
        <v>1359</v>
      </c>
      <c r="D13" t="s">
        <v>1360</v>
      </c>
      <c r="E13" s="16">
        <v>14.6556356</v>
      </c>
      <c r="F13" s="4">
        <v>0</v>
      </c>
      <c r="G13" s="17">
        <v>14.6556356</v>
      </c>
      <c r="H13" s="4">
        <v>0</v>
      </c>
      <c r="I13" s="4">
        <v>0</v>
      </c>
      <c r="J13" s="4">
        <v>0.27061559999999996</v>
      </c>
      <c r="K13" s="4">
        <v>14.385020000000001</v>
      </c>
      <c r="L13" s="4"/>
      <c r="M13" s="4"/>
      <c r="N13" t="s">
        <v>2011</v>
      </c>
    </row>
    <row r="14" spans="1:16" x14ac:dyDescent="0.35">
      <c r="A14" t="s">
        <v>2016</v>
      </c>
      <c r="B14" t="s">
        <v>100</v>
      </c>
      <c r="C14" t="s">
        <v>1365</v>
      </c>
      <c r="D14" t="s">
        <v>1366</v>
      </c>
      <c r="E14" s="16">
        <v>0.27404719999999999</v>
      </c>
      <c r="F14" s="4">
        <v>0</v>
      </c>
      <c r="G14" s="17">
        <v>0.27404719999999999</v>
      </c>
      <c r="H14" s="4">
        <v>0</v>
      </c>
      <c r="I14" s="4">
        <v>0</v>
      </c>
      <c r="J14" s="4">
        <v>7.7875999999999996E-3</v>
      </c>
      <c r="K14" s="4">
        <v>0.26625959999999999</v>
      </c>
      <c r="L14" s="4"/>
      <c r="M14" s="4"/>
      <c r="N14" t="s">
        <v>2010</v>
      </c>
    </row>
    <row r="15" spans="1:16" x14ac:dyDescent="0.35">
      <c r="A15" t="s">
        <v>2016</v>
      </c>
      <c r="B15" t="s">
        <v>41</v>
      </c>
      <c r="C15" t="s">
        <v>1373</v>
      </c>
      <c r="D15" t="s">
        <v>1374</v>
      </c>
      <c r="E15" s="16">
        <v>4.8123817999999998</v>
      </c>
      <c r="F15" s="4">
        <v>0</v>
      </c>
      <c r="G15" s="17">
        <v>4.8123817999999998</v>
      </c>
      <c r="H15" s="4">
        <v>0</v>
      </c>
      <c r="I15" s="4">
        <v>0</v>
      </c>
      <c r="J15" s="4">
        <v>0.25914569999999998</v>
      </c>
      <c r="K15" s="4">
        <v>4.5532360999999995</v>
      </c>
      <c r="L15" s="4"/>
      <c r="M15" s="4"/>
      <c r="N15" t="s">
        <v>2011</v>
      </c>
    </row>
    <row r="16" spans="1:16" x14ac:dyDescent="0.35">
      <c r="A16" t="s">
        <v>2017</v>
      </c>
      <c r="B16" t="s">
        <v>33</v>
      </c>
      <c r="C16" t="s">
        <v>1385</v>
      </c>
      <c r="D16" t="s">
        <v>1386</v>
      </c>
      <c r="E16" s="16">
        <v>9.9999999999999995E-7</v>
      </c>
      <c r="F16" s="4">
        <v>0</v>
      </c>
      <c r="G16" s="17">
        <v>9.9999999999999995E-7</v>
      </c>
      <c r="H16" s="4">
        <v>0</v>
      </c>
      <c r="I16" s="4">
        <v>0</v>
      </c>
      <c r="J16" s="4">
        <v>9.9999999999999995E-7</v>
      </c>
      <c r="K16" s="4">
        <v>0</v>
      </c>
      <c r="L16" s="4"/>
      <c r="M16" s="4"/>
      <c r="N16" t="s">
        <v>2010</v>
      </c>
    </row>
    <row r="17" spans="1:14" x14ac:dyDescent="0.35">
      <c r="A17" t="s">
        <v>2017</v>
      </c>
      <c r="B17" t="s">
        <v>210</v>
      </c>
      <c r="C17" t="s">
        <v>1389</v>
      </c>
      <c r="D17" t="s">
        <v>1390</v>
      </c>
      <c r="E17" s="16">
        <v>1.6951805</v>
      </c>
      <c r="F17" s="4">
        <v>0</v>
      </c>
      <c r="G17" s="17">
        <v>1.6951805</v>
      </c>
      <c r="H17" s="4">
        <v>0</v>
      </c>
      <c r="I17" s="4">
        <v>0</v>
      </c>
      <c r="J17" s="4">
        <v>2.9860999999999999E-2</v>
      </c>
      <c r="K17" s="4">
        <v>1.6653195000000001</v>
      </c>
      <c r="L17" s="4"/>
      <c r="M17" s="4"/>
      <c r="N17" t="s">
        <v>2011</v>
      </c>
    </row>
    <row r="18" spans="1:14" x14ac:dyDescent="0.35">
      <c r="A18" t="s">
        <v>2018</v>
      </c>
      <c r="B18" t="s">
        <v>169</v>
      </c>
      <c r="C18" t="s">
        <v>1391</v>
      </c>
      <c r="D18" t="s">
        <v>1392</v>
      </c>
      <c r="E18" s="16">
        <v>9.5507099999999998E-2</v>
      </c>
      <c r="F18" s="4">
        <v>0</v>
      </c>
      <c r="G18" s="17">
        <v>9.5507099999999998E-2</v>
      </c>
      <c r="H18" s="4">
        <v>0</v>
      </c>
      <c r="I18" s="4">
        <v>0</v>
      </c>
      <c r="J18" s="4">
        <v>2.9031999999999999E-2</v>
      </c>
      <c r="K18" s="4">
        <v>6.6475099999999995E-2</v>
      </c>
      <c r="L18" s="4"/>
      <c r="M18" s="4"/>
      <c r="N18" t="s">
        <v>2010</v>
      </c>
    </row>
    <row r="19" spans="1:14" x14ac:dyDescent="0.35">
      <c r="A19" t="s">
        <v>2017</v>
      </c>
      <c r="B19" t="s">
        <v>36</v>
      </c>
      <c r="C19" t="s">
        <v>1395</v>
      </c>
      <c r="D19" t="s">
        <v>1396</v>
      </c>
      <c r="E19" s="16">
        <v>3.1107600000000003E-2</v>
      </c>
      <c r="F19" s="4">
        <v>0</v>
      </c>
      <c r="G19" s="17">
        <v>3.1107600000000003E-2</v>
      </c>
      <c r="H19" s="4">
        <v>0</v>
      </c>
      <c r="I19" s="4">
        <v>0</v>
      </c>
      <c r="J19" s="4">
        <v>1.12026E-2</v>
      </c>
      <c r="K19" s="4">
        <v>1.9904999999999999E-2</v>
      </c>
      <c r="L19" s="4"/>
      <c r="M19" s="4"/>
      <c r="N19" t="s">
        <v>2010</v>
      </c>
    </row>
    <row r="20" spans="1:14" x14ac:dyDescent="0.35">
      <c r="A20" t="s">
        <v>2016</v>
      </c>
      <c r="B20" t="s">
        <v>164</v>
      </c>
      <c r="C20" t="s">
        <v>1433</v>
      </c>
      <c r="D20" t="s">
        <v>1434</v>
      </c>
      <c r="E20" s="16">
        <v>5.9899999999999997E-3</v>
      </c>
      <c r="F20" s="4">
        <v>0</v>
      </c>
      <c r="G20" s="17">
        <v>5.9899999999999997E-3</v>
      </c>
      <c r="H20" s="4">
        <v>0</v>
      </c>
      <c r="I20" s="4">
        <v>0</v>
      </c>
      <c r="J20" s="4">
        <v>0</v>
      </c>
      <c r="K20" s="4">
        <v>5.9899999999999997E-3</v>
      </c>
      <c r="L20" s="4"/>
      <c r="M20" s="4"/>
      <c r="N20" t="s">
        <v>2010</v>
      </c>
    </row>
    <row r="21" spans="1:14" x14ac:dyDescent="0.35">
      <c r="A21" t="s">
        <v>2017</v>
      </c>
      <c r="B21" t="s">
        <v>88</v>
      </c>
      <c r="C21" t="s">
        <v>1435</v>
      </c>
      <c r="D21" t="s">
        <v>1436</v>
      </c>
      <c r="E21" s="16">
        <v>1.9291888000000001</v>
      </c>
      <c r="F21" s="4">
        <v>0</v>
      </c>
      <c r="G21" s="17">
        <v>1.9291888000000001</v>
      </c>
      <c r="H21" s="4">
        <v>0</v>
      </c>
      <c r="I21" s="4">
        <v>0</v>
      </c>
      <c r="J21" s="4">
        <v>0</v>
      </c>
      <c r="K21" s="4">
        <v>1.9291888000000001</v>
      </c>
      <c r="L21" s="4"/>
      <c r="M21" s="4"/>
      <c r="N21" t="s">
        <v>2011</v>
      </c>
    </row>
    <row r="22" spans="1:14" x14ac:dyDescent="0.35">
      <c r="A22" t="s">
        <v>2018</v>
      </c>
      <c r="B22" t="s">
        <v>169</v>
      </c>
      <c r="C22" t="s">
        <v>1439</v>
      </c>
      <c r="D22" t="s">
        <v>1440</v>
      </c>
      <c r="E22" s="16">
        <v>2.3909994000000001</v>
      </c>
      <c r="F22" s="4">
        <v>0</v>
      </c>
      <c r="G22" s="17">
        <v>2.3909994000000001</v>
      </c>
      <c r="H22" s="4">
        <v>0</v>
      </c>
      <c r="I22" s="4">
        <v>0</v>
      </c>
      <c r="J22" s="4">
        <v>0</v>
      </c>
      <c r="K22" s="4">
        <v>2.3909994000000001</v>
      </c>
      <c r="L22" s="4"/>
      <c r="M22" s="4"/>
      <c r="N22" t="s">
        <v>2011</v>
      </c>
    </row>
    <row r="23" spans="1:14" x14ac:dyDescent="0.35">
      <c r="A23" t="s">
        <v>2019</v>
      </c>
      <c r="B23" t="s">
        <v>27</v>
      </c>
      <c r="C23" t="s">
        <v>1443</v>
      </c>
      <c r="D23" t="s">
        <v>1444</v>
      </c>
      <c r="E23" s="16">
        <v>1.3475507999999998</v>
      </c>
      <c r="F23" s="4">
        <v>0</v>
      </c>
      <c r="G23" s="17">
        <v>1.3475507999999998</v>
      </c>
      <c r="H23" s="4">
        <v>0</v>
      </c>
      <c r="I23" s="4">
        <v>0</v>
      </c>
      <c r="J23" s="4">
        <v>0</v>
      </c>
      <c r="K23" s="4">
        <v>1.3475507999999998</v>
      </c>
      <c r="L23" s="4"/>
      <c r="M23" s="4"/>
      <c r="N23" t="s">
        <v>2011</v>
      </c>
    </row>
    <row r="24" spans="1:14" x14ac:dyDescent="0.35">
      <c r="A24" t="s">
        <v>2016</v>
      </c>
      <c r="B24" t="s">
        <v>100</v>
      </c>
      <c r="C24" t="s">
        <v>1455</v>
      </c>
      <c r="D24" t="s">
        <v>1456</v>
      </c>
      <c r="E24" s="16">
        <v>8.9298999999999993E-3</v>
      </c>
      <c r="F24" s="4">
        <v>0</v>
      </c>
      <c r="G24" s="17">
        <v>8.9298999999999993E-3</v>
      </c>
      <c r="H24" s="4">
        <v>0</v>
      </c>
      <c r="I24" s="4">
        <v>0</v>
      </c>
      <c r="J24" s="4">
        <v>0</v>
      </c>
      <c r="K24" s="4">
        <v>8.9298999999999993E-3</v>
      </c>
      <c r="L24" s="4"/>
      <c r="M24" s="4"/>
      <c r="N24" t="s">
        <v>2010</v>
      </c>
    </row>
    <row r="25" spans="1:14" x14ac:dyDescent="0.35">
      <c r="A25" t="s">
        <v>2018</v>
      </c>
      <c r="B25" t="s">
        <v>169</v>
      </c>
      <c r="C25" t="s">
        <v>1463</v>
      </c>
      <c r="D25" t="s">
        <v>1464</v>
      </c>
      <c r="E25" s="16">
        <v>4.7284391999999995</v>
      </c>
      <c r="F25" s="4">
        <v>0</v>
      </c>
      <c r="G25" s="17">
        <v>4.7284391999999995</v>
      </c>
      <c r="H25" s="4">
        <v>0</v>
      </c>
      <c r="I25" s="4">
        <v>0</v>
      </c>
      <c r="J25" s="4">
        <v>0</v>
      </c>
      <c r="K25" s="4">
        <v>4.7284392000000004</v>
      </c>
      <c r="L25" s="4"/>
      <c r="M25" s="4"/>
      <c r="N25" t="s">
        <v>2011</v>
      </c>
    </row>
    <row r="26" spans="1:14" x14ac:dyDescent="0.35">
      <c r="A26" t="s">
        <v>2016</v>
      </c>
      <c r="B26" t="s">
        <v>41</v>
      </c>
      <c r="C26" t="s">
        <v>1483</v>
      </c>
      <c r="D26" t="s">
        <v>1484</v>
      </c>
      <c r="E26" s="16">
        <v>2.2142349000000001</v>
      </c>
      <c r="F26" s="4">
        <v>0</v>
      </c>
      <c r="G26" s="17">
        <v>2.2142349000000001</v>
      </c>
      <c r="H26" s="4">
        <v>0</v>
      </c>
      <c r="I26" s="4">
        <v>0</v>
      </c>
      <c r="J26" s="4">
        <v>0</v>
      </c>
      <c r="K26" s="4">
        <v>2.2142349000000001</v>
      </c>
      <c r="L26" s="4"/>
      <c r="M26" s="4"/>
      <c r="N26" t="s">
        <v>2011</v>
      </c>
    </row>
    <row r="27" spans="1:14" x14ac:dyDescent="0.35">
      <c r="A27" t="s">
        <v>2019</v>
      </c>
      <c r="B27" t="s">
        <v>30</v>
      </c>
      <c r="C27" t="s">
        <v>1487</v>
      </c>
      <c r="D27" t="s">
        <v>1488</v>
      </c>
      <c r="E27" s="16">
        <v>1.8953000000000001E-2</v>
      </c>
      <c r="F27" s="4">
        <v>0</v>
      </c>
      <c r="G27" s="17">
        <v>1.8953000000000001E-2</v>
      </c>
      <c r="H27" s="4">
        <v>0</v>
      </c>
      <c r="I27" s="4">
        <v>0</v>
      </c>
      <c r="J27" s="4">
        <v>0</v>
      </c>
      <c r="K27" s="4">
        <v>1.8953000000000001E-2</v>
      </c>
      <c r="L27" s="4"/>
      <c r="M27" s="4"/>
      <c r="N27" t="s">
        <v>2010</v>
      </c>
    </row>
    <row r="28" spans="1:14" x14ac:dyDescent="0.35">
      <c r="A28" t="s">
        <v>2018</v>
      </c>
      <c r="B28" t="s">
        <v>169</v>
      </c>
      <c r="C28" t="s">
        <v>1489</v>
      </c>
      <c r="D28" t="s">
        <v>1490</v>
      </c>
      <c r="E28" s="16">
        <v>0.66383710000000007</v>
      </c>
      <c r="F28" s="4">
        <v>0</v>
      </c>
      <c r="G28" s="17">
        <v>0.66383710000000007</v>
      </c>
      <c r="H28" s="4">
        <v>0</v>
      </c>
      <c r="I28" s="4">
        <v>0</v>
      </c>
      <c r="J28" s="4">
        <v>0</v>
      </c>
      <c r="K28" s="4">
        <v>0.66383709999999996</v>
      </c>
      <c r="L28" s="4"/>
      <c r="M28" s="4"/>
      <c r="N28" t="s">
        <v>2010</v>
      </c>
    </row>
    <row r="29" spans="1:14" x14ac:dyDescent="0.35">
      <c r="A29" t="s">
        <v>2016</v>
      </c>
      <c r="B29" t="s">
        <v>100</v>
      </c>
      <c r="C29" t="s">
        <v>1491</v>
      </c>
      <c r="D29" t="s">
        <v>1492</v>
      </c>
      <c r="E29" s="16">
        <v>0.1105317</v>
      </c>
      <c r="F29" s="4">
        <v>0</v>
      </c>
      <c r="G29" s="17">
        <v>0.1105317</v>
      </c>
      <c r="H29" s="4">
        <v>0</v>
      </c>
      <c r="I29" s="4">
        <v>0</v>
      </c>
      <c r="J29" s="4">
        <v>0</v>
      </c>
      <c r="K29" s="4">
        <v>0.1105317</v>
      </c>
      <c r="L29" s="4"/>
      <c r="M29" s="4"/>
      <c r="N29" t="s">
        <v>2010</v>
      </c>
    </row>
    <row r="30" spans="1:14" x14ac:dyDescent="0.35">
      <c r="A30" t="s">
        <v>2018</v>
      </c>
      <c r="B30" t="s">
        <v>169</v>
      </c>
      <c r="C30" t="s">
        <v>1493</v>
      </c>
      <c r="D30" t="s">
        <v>1494</v>
      </c>
      <c r="E30" s="16">
        <v>2.07279E-2</v>
      </c>
      <c r="F30" s="4">
        <v>0</v>
      </c>
      <c r="G30" s="17">
        <v>2.07279E-2</v>
      </c>
      <c r="H30" s="4">
        <v>0</v>
      </c>
      <c r="I30" s="4">
        <v>0</v>
      </c>
      <c r="J30" s="4">
        <v>0</v>
      </c>
      <c r="K30" s="4">
        <v>2.07279E-2</v>
      </c>
      <c r="L30" s="4"/>
      <c r="M30" s="4"/>
      <c r="N30" t="s">
        <v>2010</v>
      </c>
    </row>
    <row r="31" spans="1:14" x14ac:dyDescent="0.35">
      <c r="A31" t="s">
        <v>2019</v>
      </c>
      <c r="B31" t="s">
        <v>24</v>
      </c>
      <c r="C31" t="s">
        <v>1499</v>
      </c>
      <c r="D31" t="s">
        <v>1500</v>
      </c>
      <c r="E31" s="16">
        <v>0.67863130000000005</v>
      </c>
      <c r="F31" s="4">
        <v>0</v>
      </c>
      <c r="G31" s="17">
        <v>0.67863130000000005</v>
      </c>
      <c r="H31" s="4">
        <v>0</v>
      </c>
      <c r="I31" s="4">
        <v>0</v>
      </c>
      <c r="J31" s="4">
        <v>0</v>
      </c>
      <c r="K31" s="4">
        <v>0.67863130000000005</v>
      </c>
      <c r="L31" s="4"/>
      <c r="M31" s="4"/>
      <c r="N31" t="s">
        <v>2010</v>
      </c>
    </row>
    <row r="32" spans="1:14" x14ac:dyDescent="0.35">
      <c r="A32" t="s">
        <v>2017</v>
      </c>
      <c r="B32" t="s">
        <v>210</v>
      </c>
      <c r="C32" t="s">
        <v>1505</v>
      </c>
      <c r="D32" t="s">
        <v>1506</v>
      </c>
      <c r="E32" s="16">
        <v>3.7221434000000002</v>
      </c>
      <c r="F32" s="4">
        <v>0</v>
      </c>
      <c r="G32" s="17">
        <v>3.7221434000000002</v>
      </c>
      <c r="H32" s="4">
        <v>0</v>
      </c>
      <c r="I32" s="4">
        <v>0</v>
      </c>
      <c r="J32" s="4">
        <v>0</v>
      </c>
      <c r="K32" s="4">
        <v>3.7221434000000002</v>
      </c>
      <c r="L32" s="4"/>
      <c r="M32" s="4"/>
      <c r="N32" t="s">
        <v>2011</v>
      </c>
    </row>
    <row r="33" spans="1:14" x14ac:dyDescent="0.35">
      <c r="A33" t="s">
        <v>2017</v>
      </c>
      <c r="B33" t="s">
        <v>36</v>
      </c>
      <c r="C33" t="s">
        <v>1511</v>
      </c>
      <c r="D33" t="s">
        <v>1512</v>
      </c>
      <c r="E33" s="16">
        <v>3.99751E-2</v>
      </c>
      <c r="F33" s="4">
        <v>0</v>
      </c>
      <c r="G33" s="17">
        <v>3.99751E-2</v>
      </c>
      <c r="H33" s="4">
        <v>0</v>
      </c>
      <c r="I33" s="4">
        <v>0</v>
      </c>
      <c r="J33" s="4">
        <v>0</v>
      </c>
      <c r="K33" s="4">
        <v>3.99751E-2</v>
      </c>
      <c r="L33" s="4"/>
      <c r="M33" s="4"/>
      <c r="N33" t="s">
        <v>2010</v>
      </c>
    </row>
    <row r="34" spans="1:14" x14ac:dyDescent="0.35">
      <c r="A34" t="s">
        <v>2017</v>
      </c>
      <c r="B34" t="s">
        <v>55</v>
      </c>
      <c r="C34" t="s">
        <v>1515</v>
      </c>
      <c r="D34" t="s">
        <v>1516</v>
      </c>
      <c r="E34" s="16">
        <v>1.1000000000000001E-6</v>
      </c>
      <c r="F34" s="4">
        <v>0</v>
      </c>
      <c r="G34" s="17">
        <v>1.1000000000000001E-6</v>
      </c>
      <c r="H34" s="4">
        <v>0</v>
      </c>
      <c r="I34" s="4">
        <v>0</v>
      </c>
      <c r="J34" s="4">
        <v>0</v>
      </c>
      <c r="K34" s="4">
        <v>1.1000000000000001E-6</v>
      </c>
      <c r="L34" s="4"/>
      <c r="M34" s="4"/>
      <c r="N34" t="s">
        <v>2010</v>
      </c>
    </row>
    <row r="35" spans="1:14" x14ac:dyDescent="0.35">
      <c r="A35" t="s">
        <v>2017</v>
      </c>
      <c r="B35" t="s">
        <v>55</v>
      </c>
      <c r="C35" t="s">
        <v>1517</v>
      </c>
      <c r="D35" t="s">
        <v>1518</v>
      </c>
      <c r="E35" s="16">
        <v>1.4711760999999999</v>
      </c>
      <c r="F35" s="4">
        <v>0</v>
      </c>
      <c r="G35" s="17">
        <v>1.4711760999999999</v>
      </c>
      <c r="H35" s="4">
        <v>0</v>
      </c>
      <c r="I35" s="4">
        <v>0</v>
      </c>
      <c r="J35" s="4">
        <v>0</v>
      </c>
      <c r="K35" s="4">
        <v>1.4711760999999999</v>
      </c>
      <c r="L35" s="4"/>
      <c r="M35" s="4"/>
      <c r="N35" t="s">
        <v>2011</v>
      </c>
    </row>
    <row r="36" spans="1:14" x14ac:dyDescent="0.35">
      <c r="A36" t="s">
        <v>2017</v>
      </c>
      <c r="B36" t="s">
        <v>210</v>
      </c>
      <c r="C36" t="s">
        <v>1519</v>
      </c>
      <c r="D36" t="s">
        <v>1520</v>
      </c>
      <c r="E36" s="16">
        <v>1.8016760000000001</v>
      </c>
      <c r="F36" s="4">
        <v>0</v>
      </c>
      <c r="G36" s="17">
        <v>1.8016760000000001</v>
      </c>
      <c r="H36" s="4">
        <v>0</v>
      </c>
      <c r="I36" s="4">
        <v>0</v>
      </c>
      <c r="J36" s="4">
        <v>0</v>
      </c>
      <c r="K36" s="4">
        <v>1.8016760000000001</v>
      </c>
      <c r="L36" s="4"/>
      <c r="M36" s="4"/>
      <c r="N36" t="s">
        <v>2011</v>
      </c>
    </row>
    <row r="37" spans="1:14" x14ac:dyDescent="0.35">
      <c r="A37" t="s">
        <v>2017</v>
      </c>
      <c r="B37" t="s">
        <v>19</v>
      </c>
      <c r="C37" t="s">
        <v>1521</v>
      </c>
      <c r="D37" t="s">
        <v>1522</v>
      </c>
      <c r="E37" s="16">
        <v>0.79338149999999996</v>
      </c>
      <c r="F37" s="4">
        <v>0</v>
      </c>
      <c r="G37" s="17">
        <v>0.79338149999999996</v>
      </c>
      <c r="H37" s="4">
        <v>0</v>
      </c>
      <c r="I37" s="4">
        <v>0</v>
      </c>
      <c r="J37" s="4">
        <v>0</v>
      </c>
      <c r="K37" s="4">
        <v>0.79338149999999996</v>
      </c>
      <c r="L37" s="4"/>
      <c r="M37" s="4"/>
      <c r="N37" t="s">
        <v>2011</v>
      </c>
    </row>
    <row r="38" spans="1:14" x14ac:dyDescent="0.35">
      <c r="A38" t="s">
        <v>2016</v>
      </c>
      <c r="B38" t="s">
        <v>41</v>
      </c>
      <c r="C38" t="s">
        <v>1523</v>
      </c>
      <c r="D38" t="s">
        <v>1524</v>
      </c>
      <c r="E38" s="16">
        <v>1.2341186</v>
      </c>
      <c r="F38" s="4">
        <v>0</v>
      </c>
      <c r="G38" s="17">
        <v>1.2341186</v>
      </c>
      <c r="H38" s="4">
        <v>0</v>
      </c>
      <c r="I38" s="4">
        <v>0</v>
      </c>
      <c r="J38" s="4">
        <v>0</v>
      </c>
      <c r="K38" s="4">
        <v>1.2341186</v>
      </c>
      <c r="L38" s="4"/>
      <c r="M38" s="4"/>
      <c r="N38" t="s">
        <v>2011</v>
      </c>
    </row>
    <row r="39" spans="1:14" x14ac:dyDescent="0.35">
      <c r="A39" t="s">
        <v>2017</v>
      </c>
      <c r="B39" t="s">
        <v>19</v>
      </c>
      <c r="C39" t="s">
        <v>1527</v>
      </c>
      <c r="D39" t="s">
        <v>1528</v>
      </c>
      <c r="E39" s="16">
        <v>3.4499200000000001E-2</v>
      </c>
      <c r="F39" s="4">
        <v>0</v>
      </c>
      <c r="G39" s="17">
        <v>3.4499200000000001E-2</v>
      </c>
      <c r="H39" s="4">
        <v>0</v>
      </c>
      <c r="I39" s="4">
        <v>0</v>
      </c>
      <c r="J39" s="4">
        <v>0</v>
      </c>
      <c r="K39" s="4">
        <v>3.4499200000000001E-2</v>
      </c>
      <c r="L39" s="4"/>
      <c r="M39" s="4"/>
      <c r="N39" t="s">
        <v>2010</v>
      </c>
    </row>
    <row r="40" spans="1:14" x14ac:dyDescent="0.35">
      <c r="A40" t="s">
        <v>2019</v>
      </c>
      <c r="B40" t="s">
        <v>24</v>
      </c>
      <c r="C40" t="s">
        <v>1531</v>
      </c>
      <c r="D40" t="s">
        <v>1532</v>
      </c>
      <c r="E40" s="16">
        <v>7.5903600000000002E-2</v>
      </c>
      <c r="F40" s="4">
        <v>0</v>
      </c>
      <c r="G40" s="17">
        <v>7.5903600000000002E-2</v>
      </c>
      <c r="H40" s="4">
        <v>0</v>
      </c>
      <c r="I40" s="4">
        <v>0</v>
      </c>
      <c r="J40" s="4">
        <v>0</v>
      </c>
      <c r="K40" s="4">
        <v>7.5903600000000002E-2</v>
      </c>
      <c r="L40" s="4"/>
      <c r="M40" s="4"/>
      <c r="N40" t="s">
        <v>2010</v>
      </c>
    </row>
    <row r="41" spans="1:14" x14ac:dyDescent="0.35">
      <c r="A41" t="s">
        <v>2017</v>
      </c>
      <c r="B41" t="s">
        <v>36</v>
      </c>
      <c r="C41" t="s">
        <v>1539</v>
      </c>
      <c r="D41" t="s">
        <v>1540</v>
      </c>
      <c r="E41" s="16">
        <v>0.16557479999999999</v>
      </c>
      <c r="F41" s="4">
        <v>0</v>
      </c>
      <c r="G41" s="17">
        <v>0.16557479999999999</v>
      </c>
      <c r="H41" s="4">
        <v>0</v>
      </c>
      <c r="I41" s="4">
        <v>0</v>
      </c>
      <c r="J41" s="4">
        <v>0</v>
      </c>
      <c r="K41" s="4">
        <v>0.16557479999999999</v>
      </c>
      <c r="L41" s="4"/>
      <c r="M41" s="4"/>
      <c r="N41" t="s">
        <v>2011</v>
      </c>
    </row>
    <row r="42" spans="1:14" x14ac:dyDescent="0.35">
      <c r="A42" t="s">
        <v>2016</v>
      </c>
      <c r="B42" t="s">
        <v>100</v>
      </c>
      <c r="C42" t="s">
        <v>1545</v>
      </c>
      <c r="D42" t="s">
        <v>1546</v>
      </c>
      <c r="E42" s="16">
        <v>1.78227E-2</v>
      </c>
      <c r="F42" s="4">
        <v>0</v>
      </c>
      <c r="G42" s="17">
        <v>1.78227E-2</v>
      </c>
      <c r="H42" s="4">
        <v>0</v>
      </c>
      <c r="I42" s="4">
        <v>0</v>
      </c>
      <c r="J42" s="4">
        <v>0</v>
      </c>
      <c r="K42" s="4">
        <v>1.78227E-2</v>
      </c>
      <c r="L42" s="4"/>
      <c r="M42" s="4"/>
      <c r="N42" t="s">
        <v>2010</v>
      </c>
    </row>
    <row r="43" spans="1:14" x14ac:dyDescent="0.35">
      <c r="A43" t="s">
        <v>2016</v>
      </c>
      <c r="B43" t="s">
        <v>93</v>
      </c>
      <c r="C43" t="s">
        <v>1547</v>
      </c>
      <c r="D43" t="s">
        <v>1548</v>
      </c>
      <c r="E43" s="16">
        <v>5.3438999999999993E-2</v>
      </c>
      <c r="F43" s="4">
        <v>0</v>
      </c>
      <c r="G43" s="17">
        <v>5.3438999999999993E-2</v>
      </c>
      <c r="H43" s="4">
        <v>0</v>
      </c>
      <c r="I43" s="4">
        <v>0</v>
      </c>
      <c r="J43" s="4">
        <v>0</v>
      </c>
      <c r="K43" s="4">
        <v>5.3438999999999993E-2</v>
      </c>
      <c r="L43" s="4"/>
      <c r="M43" s="4"/>
      <c r="N43" t="s">
        <v>2010</v>
      </c>
    </row>
    <row r="44" spans="1:14" x14ac:dyDescent="0.35">
      <c r="A44" t="s">
        <v>2019</v>
      </c>
      <c r="B44" t="s">
        <v>24</v>
      </c>
      <c r="C44" t="s">
        <v>1551</v>
      </c>
      <c r="D44" t="s">
        <v>1552</v>
      </c>
      <c r="E44" s="16">
        <v>0.24613810000000003</v>
      </c>
      <c r="F44" s="4">
        <v>0</v>
      </c>
      <c r="G44" s="17">
        <v>0.24613810000000003</v>
      </c>
      <c r="H44" s="4">
        <v>0</v>
      </c>
      <c r="I44" s="4">
        <v>0</v>
      </c>
      <c r="J44" s="4">
        <v>0</v>
      </c>
      <c r="K44" s="4">
        <v>0.24613810000000003</v>
      </c>
      <c r="L44" s="4"/>
      <c r="M44" s="4"/>
      <c r="N44" t="s">
        <v>2010</v>
      </c>
    </row>
    <row r="45" spans="1:14" x14ac:dyDescent="0.35">
      <c r="A45" t="s">
        <v>2019</v>
      </c>
      <c r="B45" t="s">
        <v>30</v>
      </c>
      <c r="C45" t="s">
        <v>1557</v>
      </c>
      <c r="D45" t="s">
        <v>1558</v>
      </c>
      <c r="E45" s="16">
        <v>0.65908610000000001</v>
      </c>
      <c r="F45" s="4">
        <v>0</v>
      </c>
      <c r="G45" s="17">
        <v>0.65908610000000001</v>
      </c>
      <c r="H45" s="4">
        <v>0</v>
      </c>
      <c r="I45" s="4">
        <v>0</v>
      </c>
      <c r="J45" s="4">
        <v>0</v>
      </c>
      <c r="K45" s="4">
        <v>0.65908610000000001</v>
      </c>
      <c r="L45" s="4"/>
      <c r="M45" s="4"/>
      <c r="N45" t="s">
        <v>2011</v>
      </c>
    </row>
    <row r="46" spans="1:14" x14ac:dyDescent="0.35">
      <c r="A46" t="s">
        <v>2019</v>
      </c>
      <c r="B46" t="s">
        <v>16</v>
      </c>
      <c r="C46" t="s">
        <v>1559</v>
      </c>
      <c r="D46" t="s">
        <v>1560</v>
      </c>
      <c r="E46" s="16">
        <v>1.9785808999999999</v>
      </c>
      <c r="F46" s="4">
        <v>0</v>
      </c>
      <c r="G46" s="17">
        <v>1.9785808999999999</v>
      </c>
      <c r="H46" s="4">
        <v>0</v>
      </c>
      <c r="I46" s="4">
        <v>0</v>
      </c>
      <c r="J46" s="4">
        <v>0</v>
      </c>
      <c r="K46" s="4">
        <v>1.9785808999999999</v>
      </c>
      <c r="L46" s="4"/>
      <c r="M46" s="4"/>
      <c r="N46" t="s">
        <v>2011</v>
      </c>
    </row>
    <row r="47" spans="1:14" x14ac:dyDescent="0.35">
      <c r="A47" t="s">
        <v>2019</v>
      </c>
      <c r="B47" t="s">
        <v>27</v>
      </c>
      <c r="C47" t="s">
        <v>1561</v>
      </c>
      <c r="D47" t="s">
        <v>1562</v>
      </c>
      <c r="E47" s="16">
        <v>0.35261169999999997</v>
      </c>
      <c r="F47" s="4">
        <v>0</v>
      </c>
      <c r="G47" s="17">
        <v>0.35261169999999997</v>
      </c>
      <c r="H47" s="4">
        <v>0</v>
      </c>
      <c r="I47" s="4">
        <v>0</v>
      </c>
      <c r="J47" s="4">
        <v>0</v>
      </c>
      <c r="K47" s="4">
        <v>0.35261169999999997</v>
      </c>
      <c r="L47" s="4"/>
      <c r="M47" s="4"/>
      <c r="N47" t="s">
        <v>2011</v>
      </c>
    </row>
    <row r="48" spans="1:14" x14ac:dyDescent="0.35">
      <c r="A48" t="s">
        <v>2017</v>
      </c>
      <c r="B48" t="s">
        <v>210</v>
      </c>
      <c r="C48" t="s">
        <v>1563</v>
      </c>
      <c r="D48" t="s">
        <v>1564</v>
      </c>
      <c r="E48" s="16">
        <v>8.6589242000000013</v>
      </c>
      <c r="F48" s="4">
        <v>0</v>
      </c>
      <c r="G48" s="17">
        <v>8.6589242000000013</v>
      </c>
      <c r="H48" s="4">
        <v>0</v>
      </c>
      <c r="I48" s="4">
        <v>0</v>
      </c>
      <c r="J48" s="4">
        <v>0</v>
      </c>
      <c r="K48" s="4">
        <v>8.6589241999999995</v>
      </c>
      <c r="L48" s="4"/>
      <c r="M48" s="4"/>
      <c r="N48" t="s">
        <v>2011</v>
      </c>
    </row>
    <row r="49" spans="1:14" x14ac:dyDescent="0.35">
      <c r="A49" t="s">
        <v>2017</v>
      </c>
      <c r="B49" t="s">
        <v>210</v>
      </c>
      <c r="C49" t="s">
        <v>1565</v>
      </c>
      <c r="D49" t="s">
        <v>1566</v>
      </c>
      <c r="E49" s="16">
        <v>4.9790235999999997</v>
      </c>
      <c r="F49" s="4">
        <v>0</v>
      </c>
      <c r="G49" s="17">
        <v>4.9790235999999997</v>
      </c>
      <c r="H49" s="4">
        <v>0</v>
      </c>
      <c r="I49" s="4">
        <v>0</v>
      </c>
      <c r="J49" s="4">
        <v>0</v>
      </c>
      <c r="K49" s="4">
        <v>4.9790235999999997</v>
      </c>
      <c r="L49" s="4"/>
      <c r="M49" s="4"/>
      <c r="N49" t="s">
        <v>2011</v>
      </c>
    </row>
    <row r="50" spans="1:14" x14ac:dyDescent="0.35">
      <c r="A50" t="s">
        <v>2017</v>
      </c>
      <c r="B50" t="s">
        <v>33</v>
      </c>
      <c r="C50" t="s">
        <v>1567</v>
      </c>
      <c r="D50" t="s">
        <v>1568</v>
      </c>
      <c r="E50" s="16">
        <v>0.79542919999999995</v>
      </c>
      <c r="F50" s="4">
        <v>0</v>
      </c>
      <c r="G50" s="17">
        <v>0.79542919999999995</v>
      </c>
      <c r="H50" s="4">
        <v>0</v>
      </c>
      <c r="I50" s="4">
        <v>0</v>
      </c>
      <c r="J50" s="4">
        <v>0</v>
      </c>
      <c r="K50" s="4">
        <v>0.79542919999999995</v>
      </c>
      <c r="L50" s="4"/>
      <c r="M50" s="4"/>
      <c r="N50" t="s">
        <v>2010</v>
      </c>
    </row>
    <row r="51" spans="1:14" x14ac:dyDescent="0.35">
      <c r="A51" t="s">
        <v>2017</v>
      </c>
      <c r="B51" t="s">
        <v>88</v>
      </c>
      <c r="C51" t="s">
        <v>1569</v>
      </c>
      <c r="D51" t="s">
        <v>1570</v>
      </c>
      <c r="E51" s="16">
        <v>10.681523</v>
      </c>
      <c r="F51" s="4">
        <v>0</v>
      </c>
      <c r="G51" s="17">
        <v>10.681523</v>
      </c>
      <c r="H51" s="4">
        <v>0</v>
      </c>
      <c r="I51" s="4">
        <v>0</v>
      </c>
      <c r="J51" s="4">
        <v>0</v>
      </c>
      <c r="K51" s="4">
        <v>10.681523</v>
      </c>
      <c r="L51" s="4"/>
      <c r="M51" s="4"/>
      <c r="N51" t="s">
        <v>2011</v>
      </c>
    </row>
    <row r="52" spans="1:14" x14ac:dyDescent="0.35">
      <c r="A52" t="s">
        <v>2018</v>
      </c>
      <c r="B52" t="s">
        <v>169</v>
      </c>
      <c r="C52" t="s">
        <v>1577</v>
      </c>
      <c r="D52" t="s">
        <v>1578</v>
      </c>
      <c r="E52" s="16">
        <v>2.2306734000000001</v>
      </c>
      <c r="F52" s="4">
        <v>0</v>
      </c>
      <c r="G52" s="17">
        <v>2.2306734000000001</v>
      </c>
      <c r="H52" s="4">
        <v>0</v>
      </c>
      <c r="I52" s="4">
        <v>0</v>
      </c>
      <c r="J52" s="4">
        <v>0</v>
      </c>
      <c r="K52" s="4">
        <v>2.2306734000000001</v>
      </c>
      <c r="L52" s="4"/>
      <c r="M52" s="4"/>
      <c r="N52" t="s">
        <v>2011</v>
      </c>
    </row>
    <row r="53" spans="1:14" x14ac:dyDescent="0.35">
      <c r="A53" t="s">
        <v>2018</v>
      </c>
      <c r="B53" t="s">
        <v>169</v>
      </c>
      <c r="C53" t="s">
        <v>1581</v>
      </c>
      <c r="D53" t="s">
        <v>1582</v>
      </c>
      <c r="E53" s="16">
        <v>0.53721529999999995</v>
      </c>
      <c r="F53" s="4">
        <v>0</v>
      </c>
      <c r="G53" s="17">
        <v>0.53721529999999995</v>
      </c>
      <c r="H53" s="4">
        <v>0</v>
      </c>
      <c r="I53" s="4">
        <v>0</v>
      </c>
      <c r="J53" s="4">
        <v>0</v>
      </c>
      <c r="K53" s="4">
        <v>0.53721529999999995</v>
      </c>
      <c r="L53" s="4"/>
      <c r="M53" s="4"/>
      <c r="N53" t="s">
        <v>2011</v>
      </c>
    </row>
    <row r="54" spans="1:14" x14ac:dyDescent="0.35">
      <c r="A54" t="s">
        <v>2018</v>
      </c>
      <c r="B54" t="s">
        <v>169</v>
      </c>
      <c r="C54" t="s">
        <v>1583</v>
      </c>
      <c r="D54" t="s">
        <v>1584</v>
      </c>
      <c r="E54" s="16">
        <v>2.7902807000000003</v>
      </c>
      <c r="F54" s="4">
        <v>0</v>
      </c>
      <c r="G54" s="17">
        <v>2.7902807000000003</v>
      </c>
      <c r="H54" s="4">
        <v>0</v>
      </c>
      <c r="I54" s="4">
        <v>0</v>
      </c>
      <c r="J54" s="4">
        <v>0</v>
      </c>
      <c r="K54" s="4">
        <v>2.7902807000000003</v>
      </c>
      <c r="L54" s="4"/>
      <c r="M54" s="4"/>
      <c r="N54" t="s">
        <v>2011</v>
      </c>
    </row>
    <row r="55" spans="1:14" x14ac:dyDescent="0.35">
      <c r="A55" t="s">
        <v>2018</v>
      </c>
      <c r="B55" t="s">
        <v>169</v>
      </c>
      <c r="C55" t="s">
        <v>1585</v>
      </c>
      <c r="D55" t="s">
        <v>1586</v>
      </c>
      <c r="E55" s="16">
        <v>0.47768120000000003</v>
      </c>
      <c r="F55" s="4">
        <v>0</v>
      </c>
      <c r="G55" s="17">
        <v>0.47768120000000003</v>
      </c>
      <c r="H55" s="4">
        <v>0</v>
      </c>
      <c r="I55" s="4">
        <v>0</v>
      </c>
      <c r="J55" s="4">
        <v>0</v>
      </c>
      <c r="K55" s="4">
        <v>0.47768119999999997</v>
      </c>
      <c r="L55" s="4"/>
      <c r="M55" s="4"/>
      <c r="N55" t="s">
        <v>2011</v>
      </c>
    </row>
    <row r="56" spans="1:14" x14ac:dyDescent="0.35">
      <c r="A56" t="s">
        <v>2018</v>
      </c>
      <c r="B56" t="s">
        <v>275</v>
      </c>
      <c r="C56" t="s">
        <v>1587</v>
      </c>
      <c r="D56" t="s">
        <v>1588</v>
      </c>
      <c r="E56" s="16">
        <v>10.661246799999999</v>
      </c>
      <c r="F56" s="4">
        <v>0</v>
      </c>
      <c r="G56" s="17">
        <v>10.661246799999999</v>
      </c>
      <c r="H56" s="4">
        <v>0</v>
      </c>
      <c r="I56" s="4">
        <v>0</v>
      </c>
      <c r="J56" s="4">
        <v>0</v>
      </c>
      <c r="K56" s="4">
        <v>10.661246799999999</v>
      </c>
      <c r="L56" s="4"/>
      <c r="M56" s="4"/>
      <c r="N56" t="s">
        <v>2011</v>
      </c>
    </row>
    <row r="57" spans="1:14" x14ac:dyDescent="0.35">
      <c r="A57" t="s">
        <v>2018</v>
      </c>
      <c r="B57" t="s">
        <v>275</v>
      </c>
      <c r="C57" t="s">
        <v>1589</v>
      </c>
      <c r="D57" t="s">
        <v>1590</v>
      </c>
      <c r="E57" s="16">
        <v>2.4309162</v>
      </c>
      <c r="F57" s="4">
        <v>0</v>
      </c>
      <c r="G57" s="17">
        <v>2.4309162</v>
      </c>
      <c r="H57" s="4">
        <v>0</v>
      </c>
      <c r="I57" s="4">
        <v>0</v>
      </c>
      <c r="J57" s="4">
        <v>0</v>
      </c>
      <c r="K57" s="4">
        <v>2.4309162</v>
      </c>
      <c r="L57" s="4"/>
      <c r="M57" s="4"/>
      <c r="N57" t="s">
        <v>2011</v>
      </c>
    </row>
    <row r="58" spans="1:14" x14ac:dyDescent="0.35">
      <c r="A58" t="s">
        <v>2017</v>
      </c>
      <c r="B58" t="s">
        <v>19</v>
      </c>
      <c r="C58" t="s">
        <v>1591</v>
      </c>
      <c r="D58" t="s">
        <v>1592</v>
      </c>
      <c r="E58" s="16">
        <v>5.3553999999999997E-3</v>
      </c>
      <c r="F58" s="4">
        <v>0</v>
      </c>
      <c r="G58" s="17">
        <v>5.3553999999999997E-3</v>
      </c>
      <c r="H58" s="4">
        <v>0</v>
      </c>
      <c r="I58" s="4">
        <v>0</v>
      </c>
      <c r="J58" s="4">
        <v>0</v>
      </c>
      <c r="K58" s="4">
        <v>5.3553999999999997E-3</v>
      </c>
      <c r="L58" s="4"/>
      <c r="M58" s="4"/>
      <c r="N58" t="s">
        <v>2010</v>
      </c>
    </row>
    <row r="59" spans="1:14" x14ac:dyDescent="0.35">
      <c r="A59" t="s">
        <v>2017</v>
      </c>
      <c r="B59" t="s">
        <v>36</v>
      </c>
      <c r="C59" t="s">
        <v>1593</v>
      </c>
      <c r="D59" t="s">
        <v>1594</v>
      </c>
      <c r="E59" s="16">
        <v>1.0031399999999999E-2</v>
      </c>
      <c r="F59" s="4">
        <v>0</v>
      </c>
      <c r="G59" s="17">
        <v>1.0031399999999999E-2</v>
      </c>
      <c r="H59" s="4">
        <v>0</v>
      </c>
      <c r="I59" s="4">
        <v>0</v>
      </c>
      <c r="J59" s="4">
        <v>0</v>
      </c>
      <c r="K59" s="4">
        <v>1.0031399999999999E-2</v>
      </c>
      <c r="L59" s="4"/>
      <c r="M59" s="4"/>
      <c r="N59" t="s">
        <v>2010</v>
      </c>
    </row>
    <row r="60" spans="1:14" x14ac:dyDescent="0.35">
      <c r="A60" t="s">
        <v>2017</v>
      </c>
      <c r="B60" t="s">
        <v>36</v>
      </c>
      <c r="C60" t="s">
        <v>1595</v>
      </c>
      <c r="D60" t="s">
        <v>1596</v>
      </c>
      <c r="E60" s="16">
        <v>8.2684999999999995E-2</v>
      </c>
      <c r="F60" s="4">
        <v>0</v>
      </c>
      <c r="G60" s="17">
        <v>8.2684999999999995E-2</v>
      </c>
      <c r="H60" s="4">
        <v>0</v>
      </c>
      <c r="I60" s="4">
        <v>0</v>
      </c>
      <c r="J60" s="4">
        <v>0</v>
      </c>
      <c r="K60" s="4">
        <v>8.2684999999999995E-2</v>
      </c>
      <c r="L60" s="4"/>
      <c r="M60" s="4"/>
      <c r="N60" t="s">
        <v>2010</v>
      </c>
    </row>
    <row r="61" spans="1:14" x14ac:dyDescent="0.35">
      <c r="A61" t="s">
        <v>2016</v>
      </c>
      <c r="B61" t="s">
        <v>41</v>
      </c>
      <c r="C61" t="s">
        <v>1599</v>
      </c>
      <c r="D61" t="s">
        <v>1600</v>
      </c>
      <c r="E61" s="16">
        <v>0.94621699999999997</v>
      </c>
      <c r="F61" s="4">
        <v>0</v>
      </c>
      <c r="G61" s="17">
        <v>0.94621699999999997</v>
      </c>
      <c r="H61" s="4">
        <v>0</v>
      </c>
      <c r="I61" s="4">
        <v>0</v>
      </c>
      <c r="J61" s="4">
        <v>0</v>
      </c>
      <c r="K61" s="4">
        <v>0.94621699999999997</v>
      </c>
      <c r="L61" s="4"/>
      <c r="M61" s="4"/>
      <c r="N61" t="s">
        <v>2011</v>
      </c>
    </row>
    <row r="62" spans="1:14" x14ac:dyDescent="0.35">
      <c r="A62" t="s">
        <v>2016</v>
      </c>
      <c r="B62" t="s">
        <v>93</v>
      </c>
      <c r="C62" t="s">
        <v>1603</v>
      </c>
      <c r="D62" t="s">
        <v>1604</v>
      </c>
      <c r="E62" s="16">
        <v>0.23866130000000002</v>
      </c>
      <c r="F62" s="4">
        <v>0</v>
      </c>
      <c r="G62" s="17">
        <v>0.23866130000000002</v>
      </c>
      <c r="H62" s="4">
        <v>0</v>
      </c>
      <c r="I62" s="4">
        <v>0</v>
      </c>
      <c r="J62" s="4">
        <v>0</v>
      </c>
      <c r="K62" s="4">
        <v>0.23866130000000002</v>
      </c>
      <c r="L62" s="4"/>
      <c r="M62" s="4"/>
      <c r="N62" t="s">
        <v>2011</v>
      </c>
    </row>
    <row r="63" spans="1:14" x14ac:dyDescent="0.35">
      <c r="A63" t="s">
        <v>2016</v>
      </c>
      <c r="B63" t="s">
        <v>100</v>
      </c>
      <c r="C63" t="s">
        <v>1605</v>
      </c>
      <c r="D63" t="s">
        <v>1606</v>
      </c>
      <c r="E63" s="16">
        <v>0.82162270000000004</v>
      </c>
      <c r="F63" s="4">
        <v>0</v>
      </c>
      <c r="G63" s="17">
        <v>0.82162270000000004</v>
      </c>
      <c r="H63" s="4">
        <v>0</v>
      </c>
      <c r="I63" s="4">
        <v>0</v>
      </c>
      <c r="J63" s="4">
        <v>0</v>
      </c>
      <c r="K63" s="4">
        <v>0.82162270000000004</v>
      </c>
      <c r="L63" s="4"/>
      <c r="M63" s="4"/>
      <c r="N63" t="s">
        <v>2011</v>
      </c>
    </row>
    <row r="64" spans="1:14" x14ac:dyDescent="0.35">
      <c r="A64" t="s">
        <v>2019</v>
      </c>
      <c r="B64" t="s">
        <v>16</v>
      </c>
      <c r="C64" t="s">
        <v>1607</v>
      </c>
      <c r="D64" t="s">
        <v>1608</v>
      </c>
      <c r="E64" s="16">
        <v>0.18652869999999999</v>
      </c>
      <c r="F64" s="4">
        <v>0</v>
      </c>
      <c r="G64" s="17">
        <v>0.18652869999999999</v>
      </c>
      <c r="H64" s="4">
        <v>0</v>
      </c>
      <c r="I64" s="4">
        <v>0</v>
      </c>
      <c r="J64" s="4">
        <v>0</v>
      </c>
      <c r="K64" s="4">
        <v>0.18652869999999999</v>
      </c>
      <c r="L64" s="4"/>
      <c r="M64" s="4"/>
      <c r="N64" t="s">
        <v>2011</v>
      </c>
    </row>
    <row r="65" spans="1:14" x14ac:dyDescent="0.35">
      <c r="A65" t="s">
        <v>2017</v>
      </c>
      <c r="B65" t="s">
        <v>33</v>
      </c>
      <c r="C65" t="s">
        <v>1611</v>
      </c>
      <c r="D65" t="s">
        <v>1612</v>
      </c>
      <c r="E65" s="16">
        <v>7.1980999999999998E-3</v>
      </c>
      <c r="F65" s="4">
        <v>0</v>
      </c>
      <c r="G65" s="17">
        <v>7.1980999999999998E-3</v>
      </c>
      <c r="H65" s="4">
        <v>0</v>
      </c>
      <c r="I65" s="4">
        <v>0</v>
      </c>
      <c r="J65" s="4">
        <v>0</v>
      </c>
      <c r="K65" s="4">
        <v>7.1980999999999998E-3</v>
      </c>
      <c r="L65" s="4"/>
      <c r="M65" s="4"/>
      <c r="N65" t="s">
        <v>2010</v>
      </c>
    </row>
    <row r="66" spans="1:14" x14ac:dyDescent="0.35">
      <c r="A66" t="s">
        <v>2017</v>
      </c>
      <c r="B66" t="s">
        <v>88</v>
      </c>
      <c r="C66" t="s">
        <v>1615</v>
      </c>
      <c r="D66" t="s">
        <v>1616</v>
      </c>
      <c r="E66" s="16">
        <v>5.4338599999999994E-2</v>
      </c>
      <c r="F66" s="4">
        <v>0</v>
      </c>
      <c r="G66" s="17">
        <v>5.4338599999999994E-2</v>
      </c>
      <c r="H66" s="4">
        <v>0</v>
      </c>
      <c r="I66" s="4">
        <v>0</v>
      </c>
      <c r="J66" s="4">
        <v>0</v>
      </c>
      <c r="K66" s="4">
        <v>5.4338600000000008E-2</v>
      </c>
      <c r="L66" s="4"/>
      <c r="M66" s="4"/>
      <c r="N66" t="s">
        <v>2010</v>
      </c>
    </row>
    <row r="67" spans="1:14" x14ac:dyDescent="0.35">
      <c r="A67" t="s">
        <v>2016</v>
      </c>
      <c r="B67" t="s">
        <v>100</v>
      </c>
      <c r="C67" t="s">
        <v>1617</v>
      </c>
      <c r="D67" t="s">
        <v>1618</v>
      </c>
      <c r="E67" s="16">
        <v>5.7134999999999998E-3</v>
      </c>
      <c r="F67" s="4">
        <v>0</v>
      </c>
      <c r="G67" s="17">
        <v>5.7134999999999998E-3</v>
      </c>
      <c r="H67" s="4">
        <v>0</v>
      </c>
      <c r="I67" s="4">
        <v>0</v>
      </c>
      <c r="J67" s="4">
        <v>0</v>
      </c>
      <c r="K67" s="4">
        <v>5.7134999999999998E-3</v>
      </c>
      <c r="L67" s="4"/>
      <c r="M67" s="4"/>
      <c r="N67" t="s">
        <v>2010</v>
      </c>
    </row>
    <row r="68" spans="1:14" x14ac:dyDescent="0.35">
      <c r="A68" t="s">
        <v>2016</v>
      </c>
      <c r="B68" t="s">
        <v>41</v>
      </c>
      <c r="C68" t="s">
        <v>1619</v>
      </c>
      <c r="D68" t="s">
        <v>1620</v>
      </c>
      <c r="E68" s="16">
        <v>0.55131229999999998</v>
      </c>
      <c r="F68" s="4">
        <v>0</v>
      </c>
      <c r="G68" s="17">
        <v>0.55131229999999998</v>
      </c>
      <c r="H68" s="4">
        <v>0</v>
      </c>
      <c r="I68" s="4">
        <v>0</v>
      </c>
      <c r="J68" s="4">
        <v>0</v>
      </c>
      <c r="K68" s="4">
        <v>0.55131229999999998</v>
      </c>
      <c r="L68" s="4"/>
      <c r="M68" s="4"/>
      <c r="N68" t="s">
        <v>2011</v>
      </c>
    </row>
    <row r="69" spans="1:14" x14ac:dyDescent="0.35">
      <c r="A69" t="s">
        <v>2018</v>
      </c>
      <c r="B69" t="s">
        <v>275</v>
      </c>
      <c r="C69" t="s">
        <v>1622</v>
      </c>
      <c r="D69" t="s">
        <v>1623</v>
      </c>
      <c r="E69" s="16">
        <v>7.2754270999999999</v>
      </c>
      <c r="F69" s="4">
        <v>0</v>
      </c>
      <c r="G69" s="17">
        <v>7.2754270999999999</v>
      </c>
      <c r="H69" s="4">
        <v>0</v>
      </c>
      <c r="I69" s="4">
        <v>0</v>
      </c>
      <c r="J69" s="4">
        <v>0</v>
      </c>
      <c r="K69" s="4">
        <v>7.2754270999999999</v>
      </c>
      <c r="L69" s="4"/>
      <c r="M69" s="4"/>
      <c r="N69" t="s">
        <v>2011</v>
      </c>
    </row>
    <row r="70" spans="1:14" x14ac:dyDescent="0.35">
      <c r="A70" t="s">
        <v>2019</v>
      </c>
      <c r="B70" t="s">
        <v>24</v>
      </c>
      <c r="C70" t="s">
        <v>1624</v>
      </c>
      <c r="D70" t="s">
        <v>1625</v>
      </c>
      <c r="E70" s="16">
        <v>0.26869749999999998</v>
      </c>
      <c r="F70" s="4">
        <v>0</v>
      </c>
      <c r="G70" s="17">
        <v>0.26869749999999998</v>
      </c>
      <c r="H70" s="4">
        <v>0</v>
      </c>
      <c r="I70" s="4">
        <v>0</v>
      </c>
      <c r="J70" s="4">
        <v>0</v>
      </c>
      <c r="K70" s="4">
        <v>0.26869749999999998</v>
      </c>
      <c r="L70" s="4"/>
      <c r="M70" s="4"/>
      <c r="N70" t="s">
        <v>2011</v>
      </c>
    </row>
    <row r="71" spans="1:14" x14ac:dyDescent="0.35">
      <c r="A71" t="s">
        <v>2016</v>
      </c>
      <c r="B71" t="s">
        <v>100</v>
      </c>
      <c r="C71" t="s">
        <v>1628</v>
      </c>
      <c r="D71" t="s">
        <v>1629</v>
      </c>
      <c r="E71" s="16">
        <v>1.0224E-2</v>
      </c>
      <c r="F71" s="4">
        <v>0</v>
      </c>
      <c r="G71" s="17">
        <v>1.0224E-2</v>
      </c>
      <c r="H71" s="4">
        <v>0</v>
      </c>
      <c r="I71" s="4">
        <v>0</v>
      </c>
      <c r="J71" s="4">
        <v>0</v>
      </c>
      <c r="K71" s="4">
        <v>1.0224E-2</v>
      </c>
      <c r="L71" s="4"/>
      <c r="M71" s="4"/>
      <c r="N71" t="s">
        <v>2010</v>
      </c>
    </row>
    <row r="72" spans="1:14" x14ac:dyDescent="0.35">
      <c r="A72" t="s">
        <v>2019</v>
      </c>
      <c r="B72" t="s">
        <v>16</v>
      </c>
      <c r="C72" t="s">
        <v>1632</v>
      </c>
      <c r="D72" t="s">
        <v>1633</v>
      </c>
      <c r="E72" s="16">
        <v>8.5471800000000001E-2</v>
      </c>
      <c r="F72" s="4">
        <v>0</v>
      </c>
      <c r="G72" s="17">
        <v>8.5471800000000001E-2</v>
      </c>
      <c r="H72" s="4">
        <v>0</v>
      </c>
      <c r="I72" s="4">
        <v>0</v>
      </c>
      <c r="J72" s="4">
        <v>0</v>
      </c>
      <c r="K72" s="4">
        <v>8.5471800000000001E-2</v>
      </c>
      <c r="L72" s="4"/>
      <c r="M72" s="4"/>
      <c r="N72" t="s">
        <v>2010</v>
      </c>
    </row>
    <row r="73" spans="1:14" x14ac:dyDescent="0.35">
      <c r="A73" t="s">
        <v>2016</v>
      </c>
      <c r="B73" t="s">
        <v>41</v>
      </c>
      <c r="C73" t="s">
        <v>1636</v>
      </c>
      <c r="D73" t="s">
        <v>1637</v>
      </c>
      <c r="E73" s="16">
        <v>0.193388</v>
      </c>
      <c r="F73" s="4">
        <v>0</v>
      </c>
      <c r="G73" s="17">
        <v>0.193388</v>
      </c>
      <c r="H73" s="4">
        <v>0</v>
      </c>
      <c r="I73" s="4">
        <v>0</v>
      </c>
      <c r="J73" s="4">
        <v>0</v>
      </c>
      <c r="K73" s="4">
        <v>0.193388</v>
      </c>
      <c r="L73" s="4"/>
      <c r="M73" s="4"/>
      <c r="N73" t="s">
        <v>2011</v>
      </c>
    </row>
    <row r="74" spans="1:14" x14ac:dyDescent="0.35">
      <c r="A74" t="s">
        <v>2017</v>
      </c>
      <c r="B74" t="s">
        <v>33</v>
      </c>
      <c r="C74" t="s">
        <v>1638</v>
      </c>
      <c r="D74" t="s">
        <v>1639</v>
      </c>
      <c r="E74" s="16">
        <v>6.5285291000000001</v>
      </c>
      <c r="F74" s="4">
        <v>0</v>
      </c>
      <c r="G74" s="17">
        <v>6.5285291000000001</v>
      </c>
      <c r="H74" s="4">
        <v>0</v>
      </c>
      <c r="I74" s="4">
        <v>0</v>
      </c>
      <c r="J74" s="4">
        <v>0</v>
      </c>
      <c r="K74" s="4">
        <v>6.5285291000000001</v>
      </c>
      <c r="L74" s="4"/>
      <c r="M74" s="4"/>
      <c r="N74" t="s">
        <v>2011</v>
      </c>
    </row>
    <row r="75" spans="1:14" x14ac:dyDescent="0.35">
      <c r="A75" t="s">
        <v>2017</v>
      </c>
      <c r="B75" t="s">
        <v>88</v>
      </c>
      <c r="C75" t="s">
        <v>1642</v>
      </c>
      <c r="D75" t="s">
        <v>1643</v>
      </c>
      <c r="E75" s="16">
        <v>3.2603164000000002</v>
      </c>
      <c r="F75" s="4">
        <v>0</v>
      </c>
      <c r="G75" s="17">
        <v>3.2603164000000002</v>
      </c>
      <c r="H75" s="4">
        <v>0</v>
      </c>
      <c r="I75" s="4">
        <v>0</v>
      </c>
      <c r="J75" s="4">
        <v>0</v>
      </c>
      <c r="K75" s="4">
        <v>3.2603163999999993</v>
      </c>
      <c r="L75" s="4"/>
      <c r="M75" s="4"/>
      <c r="N75" t="s">
        <v>2011</v>
      </c>
    </row>
    <row r="76" spans="1:14" x14ac:dyDescent="0.35">
      <c r="A76" t="s">
        <v>2017</v>
      </c>
      <c r="B76" t="s">
        <v>210</v>
      </c>
      <c r="C76" t="s">
        <v>1648</v>
      </c>
      <c r="D76" t="s">
        <v>1649</v>
      </c>
      <c r="E76" s="16">
        <v>1.8696025000000001</v>
      </c>
      <c r="F76" s="4">
        <v>0</v>
      </c>
      <c r="G76" s="17">
        <v>1.8696025000000001</v>
      </c>
      <c r="H76" s="4">
        <v>0</v>
      </c>
      <c r="I76" s="4">
        <v>0</v>
      </c>
      <c r="J76" s="4">
        <v>0</v>
      </c>
      <c r="K76" s="4">
        <v>1.8696025000000003</v>
      </c>
      <c r="L76" s="4"/>
      <c r="M76" s="4"/>
      <c r="N76" t="s">
        <v>2011</v>
      </c>
    </row>
    <row r="77" spans="1:14" x14ac:dyDescent="0.35">
      <c r="A77" t="s">
        <v>2017</v>
      </c>
      <c r="B77" t="s">
        <v>36</v>
      </c>
      <c r="C77" t="s">
        <v>1650</v>
      </c>
      <c r="D77" t="s">
        <v>1651</v>
      </c>
      <c r="E77" s="16">
        <v>2.8507600000000001E-2</v>
      </c>
      <c r="F77" s="4">
        <v>0</v>
      </c>
      <c r="G77" s="17">
        <v>2.8507600000000001E-2</v>
      </c>
      <c r="H77" s="4">
        <v>0</v>
      </c>
      <c r="I77" s="4">
        <v>0</v>
      </c>
      <c r="J77" s="4">
        <v>0</v>
      </c>
      <c r="K77" s="4">
        <v>2.8507600000000001E-2</v>
      </c>
      <c r="L77" s="4"/>
      <c r="M77" s="4"/>
      <c r="N77" t="s">
        <v>2010</v>
      </c>
    </row>
    <row r="78" spans="1:14" x14ac:dyDescent="0.35">
      <c r="A78" t="s">
        <v>2017</v>
      </c>
      <c r="B78" t="s">
        <v>55</v>
      </c>
      <c r="C78" t="s">
        <v>1652</v>
      </c>
      <c r="D78" t="s">
        <v>1653</v>
      </c>
      <c r="E78" s="16">
        <v>1.4472043999999999</v>
      </c>
      <c r="F78" s="4">
        <v>0</v>
      </c>
      <c r="G78" s="17">
        <v>1.4472043999999999</v>
      </c>
      <c r="H78" s="4">
        <v>0</v>
      </c>
      <c r="I78" s="4">
        <v>0</v>
      </c>
      <c r="J78" s="4">
        <v>0</v>
      </c>
      <c r="K78" s="4">
        <v>1.4472043999999999</v>
      </c>
      <c r="L78" s="4"/>
      <c r="M78" s="4"/>
      <c r="N78" t="s">
        <v>2011</v>
      </c>
    </row>
    <row r="79" spans="1:14" x14ac:dyDescent="0.35">
      <c r="A79" t="s">
        <v>2017</v>
      </c>
      <c r="B79" t="s">
        <v>55</v>
      </c>
      <c r="C79" t="s">
        <v>1654</v>
      </c>
      <c r="D79" t="s">
        <v>1655</v>
      </c>
      <c r="E79" s="16">
        <v>2.8968000000000001E-2</v>
      </c>
      <c r="F79" s="4">
        <v>0</v>
      </c>
      <c r="G79" s="17">
        <v>2.8968000000000001E-2</v>
      </c>
      <c r="H79" s="4">
        <v>0</v>
      </c>
      <c r="I79" s="4">
        <v>0</v>
      </c>
      <c r="J79" s="4">
        <v>0</v>
      </c>
      <c r="K79" s="4">
        <v>2.8968000000000001E-2</v>
      </c>
      <c r="L79" s="4"/>
      <c r="M79" s="4"/>
      <c r="N79" t="s">
        <v>2010</v>
      </c>
    </row>
    <row r="80" spans="1:14" x14ac:dyDescent="0.35">
      <c r="A80" t="s">
        <v>2017</v>
      </c>
      <c r="B80" t="s">
        <v>55</v>
      </c>
      <c r="C80" t="s">
        <v>1666</v>
      </c>
      <c r="D80" t="s">
        <v>1667</v>
      </c>
      <c r="E80" s="16">
        <v>8.6854999999999988E-3</v>
      </c>
      <c r="F80" s="4">
        <v>0</v>
      </c>
      <c r="G80" s="17">
        <v>8.6854999999999988E-3</v>
      </c>
      <c r="H80" s="4">
        <v>0</v>
      </c>
      <c r="I80" s="4">
        <v>0</v>
      </c>
      <c r="J80" s="4">
        <v>0</v>
      </c>
      <c r="K80" s="4">
        <v>8.6854999999999988E-3</v>
      </c>
      <c r="L80" s="4"/>
      <c r="M80" s="4"/>
      <c r="N80" t="s">
        <v>2010</v>
      </c>
    </row>
    <row r="81" spans="1:14" x14ac:dyDescent="0.35">
      <c r="A81" t="s">
        <v>2016</v>
      </c>
      <c r="B81" t="s">
        <v>41</v>
      </c>
      <c r="C81" t="s">
        <v>1672</v>
      </c>
      <c r="D81" t="s">
        <v>1673</v>
      </c>
      <c r="E81" s="16">
        <v>0.59872009999999998</v>
      </c>
      <c r="F81" s="4">
        <v>0</v>
      </c>
      <c r="G81" s="17">
        <v>0.59872009999999998</v>
      </c>
      <c r="H81" s="4">
        <v>0</v>
      </c>
      <c r="I81" s="4">
        <v>0</v>
      </c>
      <c r="J81" s="4">
        <v>0</v>
      </c>
      <c r="K81" s="4">
        <v>0.59872009999999998</v>
      </c>
      <c r="L81" s="4"/>
      <c r="M81" s="4"/>
      <c r="N81" t="s">
        <v>2011</v>
      </c>
    </row>
    <row r="82" spans="1:14" x14ac:dyDescent="0.35">
      <c r="A82" t="s">
        <v>2017</v>
      </c>
      <c r="B82" t="s">
        <v>36</v>
      </c>
      <c r="C82" t="s">
        <v>1674</v>
      </c>
      <c r="D82" t="s">
        <v>1675</v>
      </c>
      <c r="E82" s="16">
        <v>0.22163470000000002</v>
      </c>
      <c r="F82" s="4">
        <v>0</v>
      </c>
      <c r="G82" s="17">
        <v>0.22163470000000002</v>
      </c>
      <c r="H82" s="4">
        <v>0</v>
      </c>
      <c r="I82" s="4">
        <v>0</v>
      </c>
      <c r="J82" s="4">
        <v>0</v>
      </c>
      <c r="K82" s="4">
        <v>0.22163470000000002</v>
      </c>
      <c r="L82" s="4"/>
      <c r="M82" s="4"/>
      <c r="N82" t="s">
        <v>2011</v>
      </c>
    </row>
    <row r="83" spans="1:14" x14ac:dyDescent="0.35">
      <c r="A83" t="s">
        <v>2019</v>
      </c>
      <c r="B83" t="s">
        <v>27</v>
      </c>
      <c r="C83" t="s">
        <v>1676</v>
      </c>
      <c r="D83" t="s">
        <v>1677</v>
      </c>
      <c r="E83" s="16">
        <v>1.0515190999999999</v>
      </c>
      <c r="F83" s="4">
        <v>0</v>
      </c>
      <c r="G83" s="17">
        <v>1.0515190999999999</v>
      </c>
      <c r="H83" s="4">
        <v>0</v>
      </c>
      <c r="I83" s="4">
        <v>0</v>
      </c>
      <c r="J83" s="4">
        <v>0</v>
      </c>
      <c r="K83" s="4">
        <v>1.0515190999999999</v>
      </c>
      <c r="L83" s="4"/>
      <c r="M83" s="4"/>
      <c r="N83" t="s">
        <v>2011</v>
      </c>
    </row>
    <row r="84" spans="1:14" x14ac:dyDescent="0.35">
      <c r="A84" t="s">
        <v>2018</v>
      </c>
      <c r="B84" t="s">
        <v>169</v>
      </c>
      <c r="C84" t="s">
        <v>1678</v>
      </c>
      <c r="D84" t="s">
        <v>1679</v>
      </c>
      <c r="E84" s="16">
        <v>1.3211582000000002</v>
      </c>
      <c r="F84" s="4">
        <v>0</v>
      </c>
      <c r="G84" s="17">
        <v>1.3211582000000002</v>
      </c>
      <c r="H84" s="4">
        <v>0</v>
      </c>
      <c r="I84" s="4">
        <v>0</v>
      </c>
      <c r="J84" s="4">
        <v>0</v>
      </c>
      <c r="K84" s="4">
        <v>1.3211582000000002</v>
      </c>
      <c r="L84" s="4"/>
      <c r="M84" s="4"/>
      <c r="N84" t="s">
        <v>2011</v>
      </c>
    </row>
    <row r="85" spans="1:14" x14ac:dyDescent="0.35">
      <c r="A85" t="s">
        <v>2017</v>
      </c>
      <c r="B85" t="s">
        <v>33</v>
      </c>
      <c r="C85" t="s">
        <v>1680</v>
      </c>
      <c r="D85" t="s">
        <v>1681</v>
      </c>
      <c r="E85" s="16">
        <v>3.7359815000000003</v>
      </c>
      <c r="F85" s="4">
        <v>0</v>
      </c>
      <c r="G85" s="17">
        <v>3.7359815000000003</v>
      </c>
      <c r="H85" s="4">
        <v>0</v>
      </c>
      <c r="I85" s="4">
        <v>0</v>
      </c>
      <c r="J85" s="4">
        <v>0</v>
      </c>
      <c r="K85" s="4">
        <v>3.7359815000000003</v>
      </c>
      <c r="L85" s="4"/>
      <c r="M85" s="4"/>
      <c r="N85" t="s">
        <v>2010</v>
      </c>
    </row>
    <row r="86" spans="1:14" x14ac:dyDescent="0.35">
      <c r="A86" t="s">
        <v>2019</v>
      </c>
      <c r="B86" t="s">
        <v>46</v>
      </c>
      <c r="C86" t="s">
        <v>1682</v>
      </c>
      <c r="D86" t="s">
        <v>1683</v>
      </c>
      <c r="E86" s="16">
        <v>5.9760000000000001E-2</v>
      </c>
      <c r="F86" s="4">
        <v>0</v>
      </c>
      <c r="G86" s="17">
        <v>5.9760000000000001E-2</v>
      </c>
      <c r="H86" s="4">
        <v>0</v>
      </c>
      <c r="I86" s="4">
        <v>0</v>
      </c>
      <c r="J86" s="4">
        <v>0</v>
      </c>
      <c r="K86" s="4">
        <v>5.9760000000000001E-2</v>
      </c>
      <c r="L86" s="4"/>
      <c r="M86" s="4"/>
      <c r="N86" t="s">
        <v>2010</v>
      </c>
    </row>
    <row r="87" spans="1:14" x14ac:dyDescent="0.35">
      <c r="A87" t="s">
        <v>2017</v>
      </c>
      <c r="B87" t="s">
        <v>19</v>
      </c>
      <c r="C87" t="s">
        <v>1684</v>
      </c>
      <c r="D87" t="s">
        <v>1685</v>
      </c>
      <c r="E87" s="16">
        <v>2.6384000000000001E-2</v>
      </c>
      <c r="F87" s="4">
        <v>0</v>
      </c>
      <c r="G87" s="17">
        <v>2.6384000000000001E-2</v>
      </c>
      <c r="H87" s="4">
        <v>0</v>
      </c>
      <c r="I87" s="4">
        <v>0</v>
      </c>
      <c r="J87" s="4">
        <v>0</v>
      </c>
      <c r="K87" s="4">
        <v>2.6384000000000001E-2</v>
      </c>
      <c r="L87" s="4"/>
      <c r="M87" s="4"/>
      <c r="N87" t="s">
        <v>2010</v>
      </c>
    </row>
    <row r="88" spans="1:14" x14ac:dyDescent="0.35">
      <c r="A88" t="s">
        <v>2017</v>
      </c>
      <c r="B88" t="s">
        <v>210</v>
      </c>
      <c r="C88" t="s">
        <v>1686</v>
      </c>
      <c r="D88" t="s">
        <v>1687</v>
      </c>
      <c r="E88" s="16">
        <v>7.2311881999999992</v>
      </c>
      <c r="F88" s="4">
        <v>0</v>
      </c>
      <c r="G88" s="17">
        <v>7.2311881999999992</v>
      </c>
      <c r="H88" s="4">
        <v>0</v>
      </c>
      <c r="I88" s="4">
        <v>0</v>
      </c>
      <c r="J88" s="4">
        <v>0</v>
      </c>
      <c r="K88" s="4">
        <v>7.231188200000001</v>
      </c>
      <c r="L88" s="4"/>
      <c r="M88" s="4"/>
      <c r="N88" t="s">
        <v>2011</v>
      </c>
    </row>
    <row r="89" spans="1:14" x14ac:dyDescent="0.35">
      <c r="A89" t="s">
        <v>2016</v>
      </c>
      <c r="B89" t="s">
        <v>41</v>
      </c>
      <c r="C89" t="s">
        <v>1688</v>
      </c>
      <c r="D89" t="s">
        <v>1689</v>
      </c>
      <c r="E89" s="16">
        <v>2.2653432000000002</v>
      </c>
      <c r="F89" s="4">
        <v>0</v>
      </c>
      <c r="G89" s="17">
        <v>2.2653432000000002</v>
      </c>
      <c r="H89" s="4">
        <v>0</v>
      </c>
      <c r="I89" s="4">
        <v>0</v>
      </c>
      <c r="J89" s="4">
        <v>0</v>
      </c>
      <c r="K89" s="4">
        <v>2.2653432000000002</v>
      </c>
      <c r="L89" s="4"/>
      <c r="M89" s="4"/>
      <c r="N89" t="s">
        <v>2011</v>
      </c>
    </row>
    <row r="90" spans="1:14" x14ac:dyDescent="0.35">
      <c r="A90" t="s">
        <v>2016</v>
      </c>
      <c r="B90" t="s">
        <v>41</v>
      </c>
      <c r="C90" t="s">
        <v>1690</v>
      </c>
      <c r="D90" t="s">
        <v>1691</v>
      </c>
      <c r="E90" s="16">
        <v>3.1303926</v>
      </c>
      <c r="F90" s="4">
        <v>0</v>
      </c>
      <c r="G90" s="17">
        <v>3.1303926</v>
      </c>
      <c r="H90" s="4">
        <v>0</v>
      </c>
      <c r="I90" s="4">
        <v>0</v>
      </c>
      <c r="J90" s="4">
        <v>0</v>
      </c>
      <c r="K90" s="4">
        <v>3.1303926</v>
      </c>
      <c r="L90" s="4"/>
      <c r="M90" s="4"/>
      <c r="N90" t="s">
        <v>2011</v>
      </c>
    </row>
    <row r="91" spans="1:14" x14ac:dyDescent="0.35">
      <c r="A91" t="s">
        <v>2016</v>
      </c>
      <c r="B91" t="s">
        <v>100</v>
      </c>
      <c r="C91" t="s">
        <v>1698</v>
      </c>
      <c r="D91" t="s">
        <v>1699</v>
      </c>
      <c r="E91" s="16">
        <v>0.57840519999999995</v>
      </c>
      <c r="F91" s="4">
        <v>0</v>
      </c>
      <c r="G91" s="17">
        <v>0.57840519999999995</v>
      </c>
      <c r="H91" s="4">
        <v>0</v>
      </c>
      <c r="I91" s="4">
        <v>0</v>
      </c>
      <c r="J91" s="4">
        <v>0</v>
      </c>
      <c r="K91" s="4">
        <v>0.57840519999999995</v>
      </c>
      <c r="L91" s="4"/>
      <c r="M91" s="4"/>
      <c r="N91" t="s">
        <v>2011</v>
      </c>
    </row>
    <row r="92" spans="1:14" x14ac:dyDescent="0.35">
      <c r="A92" t="s">
        <v>2019</v>
      </c>
      <c r="B92" t="s">
        <v>16</v>
      </c>
      <c r="C92" t="s">
        <v>1706</v>
      </c>
      <c r="D92" t="s">
        <v>1707</v>
      </c>
      <c r="E92" s="16">
        <v>2.5513200000000003E-2</v>
      </c>
      <c r="F92" s="4">
        <v>0</v>
      </c>
      <c r="G92" s="17">
        <v>2.5513200000000003E-2</v>
      </c>
      <c r="H92" s="4">
        <v>0</v>
      </c>
      <c r="I92" s="4">
        <v>0</v>
      </c>
      <c r="J92" s="4">
        <v>0</v>
      </c>
      <c r="K92" s="4">
        <v>2.5513200000000003E-2</v>
      </c>
      <c r="L92" s="4"/>
      <c r="M92" s="4"/>
      <c r="N92" t="s">
        <v>2010</v>
      </c>
    </row>
    <row r="93" spans="1:14" x14ac:dyDescent="0.35">
      <c r="A93" t="s">
        <v>2016</v>
      </c>
      <c r="B93" t="s">
        <v>93</v>
      </c>
      <c r="C93" t="s">
        <v>1710</v>
      </c>
      <c r="D93" t="s">
        <v>1711</v>
      </c>
      <c r="E93" s="16">
        <v>3.9673400000000004E-2</v>
      </c>
      <c r="F93" s="4">
        <v>0</v>
      </c>
      <c r="G93" s="17">
        <v>3.9673400000000004E-2</v>
      </c>
      <c r="H93" s="4">
        <v>0</v>
      </c>
      <c r="I93" s="4">
        <v>0</v>
      </c>
      <c r="J93" s="4">
        <v>0</v>
      </c>
      <c r="K93" s="4">
        <v>3.9673400000000004E-2</v>
      </c>
      <c r="L93" s="4"/>
      <c r="M93" s="4"/>
      <c r="N93" t="s">
        <v>2010</v>
      </c>
    </row>
    <row r="94" spans="1:14" x14ac:dyDescent="0.35">
      <c r="A94" t="s">
        <v>2019</v>
      </c>
      <c r="B94" t="s">
        <v>24</v>
      </c>
      <c r="C94" t="s">
        <v>1712</v>
      </c>
      <c r="D94" t="s">
        <v>1713</v>
      </c>
      <c r="E94" s="16">
        <v>1.1000000000000001E-6</v>
      </c>
      <c r="F94" s="4">
        <v>0</v>
      </c>
      <c r="G94" s="17">
        <v>1.1000000000000001E-6</v>
      </c>
      <c r="H94" s="4">
        <v>0</v>
      </c>
      <c r="I94" s="4">
        <v>0</v>
      </c>
      <c r="J94" s="4">
        <v>0</v>
      </c>
      <c r="K94" s="4">
        <v>1.1000000000000001E-6</v>
      </c>
      <c r="L94" s="4"/>
      <c r="M94" s="4"/>
      <c r="N94" t="s">
        <v>2011</v>
      </c>
    </row>
    <row r="95" spans="1:14" x14ac:dyDescent="0.35">
      <c r="A95" t="s">
        <v>2017</v>
      </c>
      <c r="B95" t="s">
        <v>55</v>
      </c>
      <c r="C95" t="s">
        <v>1714</v>
      </c>
      <c r="D95" t="s">
        <v>1715</v>
      </c>
      <c r="E95" s="16">
        <v>2.3E-6</v>
      </c>
      <c r="F95" s="4">
        <v>0</v>
      </c>
      <c r="G95" s="17">
        <v>2.3E-6</v>
      </c>
      <c r="H95" s="4">
        <v>0</v>
      </c>
      <c r="I95" s="4">
        <v>0</v>
      </c>
      <c r="J95" s="4">
        <v>0</v>
      </c>
      <c r="K95" s="4">
        <v>2.3E-6</v>
      </c>
      <c r="L95" s="4"/>
      <c r="M95" s="4"/>
      <c r="N95" t="s">
        <v>2011</v>
      </c>
    </row>
    <row r="96" spans="1:14" x14ac:dyDescent="0.35">
      <c r="A96" t="s">
        <v>2016</v>
      </c>
      <c r="B96" t="s">
        <v>100</v>
      </c>
      <c r="C96" t="s">
        <v>1722</v>
      </c>
      <c r="D96" t="s">
        <v>1723</v>
      </c>
      <c r="E96" s="16">
        <v>1.1154135000000001</v>
      </c>
      <c r="F96" s="4">
        <v>0</v>
      </c>
      <c r="G96" s="17">
        <v>1.1154135000000001</v>
      </c>
      <c r="H96" s="4">
        <v>0</v>
      </c>
      <c r="I96" s="4">
        <v>0</v>
      </c>
      <c r="J96" s="4">
        <v>0</v>
      </c>
      <c r="K96" s="4">
        <v>1.1154135000000001</v>
      </c>
      <c r="L96" s="4"/>
      <c r="M96" s="4"/>
      <c r="N96" t="s">
        <v>2011</v>
      </c>
    </row>
    <row r="97" spans="1:14" x14ac:dyDescent="0.35">
      <c r="A97" t="s">
        <v>2016</v>
      </c>
      <c r="B97" t="s">
        <v>100</v>
      </c>
      <c r="C97" t="s">
        <v>1726</v>
      </c>
      <c r="D97" t="s">
        <v>1727</v>
      </c>
      <c r="E97" s="16">
        <v>0.19700500000000001</v>
      </c>
      <c r="F97" s="4">
        <v>0</v>
      </c>
      <c r="G97" s="17">
        <v>0.19700500000000001</v>
      </c>
      <c r="H97" s="4">
        <v>0</v>
      </c>
      <c r="I97" s="4">
        <v>0</v>
      </c>
      <c r="J97" s="4">
        <v>0</v>
      </c>
      <c r="K97" s="4">
        <v>0.19700500000000001</v>
      </c>
      <c r="L97" s="4"/>
      <c r="M97" s="4"/>
      <c r="N97" t="s">
        <v>2010</v>
      </c>
    </row>
    <row r="98" spans="1:14" x14ac:dyDescent="0.35">
      <c r="A98" t="s">
        <v>2016</v>
      </c>
      <c r="B98" t="s">
        <v>41</v>
      </c>
      <c r="C98" t="s">
        <v>1728</v>
      </c>
      <c r="D98" t="s">
        <v>1729</v>
      </c>
      <c r="E98" s="16">
        <v>0.20987450000000002</v>
      </c>
      <c r="F98" s="4">
        <v>0</v>
      </c>
      <c r="G98" s="17">
        <v>0.20987450000000002</v>
      </c>
      <c r="H98" s="4">
        <v>0</v>
      </c>
      <c r="I98" s="4">
        <v>0</v>
      </c>
      <c r="J98" s="4">
        <v>0</v>
      </c>
      <c r="K98" s="4">
        <v>0.20987450000000002</v>
      </c>
      <c r="L98" s="4"/>
      <c r="M98" s="4"/>
      <c r="N98" t="s">
        <v>2011</v>
      </c>
    </row>
    <row r="99" spans="1:14" x14ac:dyDescent="0.35">
      <c r="A99" t="s">
        <v>2018</v>
      </c>
      <c r="B99" t="s">
        <v>169</v>
      </c>
      <c r="C99" t="s">
        <v>1732</v>
      </c>
      <c r="D99" t="s">
        <v>1733</v>
      </c>
      <c r="E99" s="16">
        <v>1.4927526999999998</v>
      </c>
      <c r="F99" s="4">
        <v>0</v>
      </c>
      <c r="G99" s="17">
        <v>1.4927526999999998</v>
      </c>
      <c r="H99" s="4">
        <v>0</v>
      </c>
      <c r="I99" s="4">
        <v>0</v>
      </c>
      <c r="J99" s="4">
        <v>0</v>
      </c>
      <c r="K99" s="4">
        <v>1.4927526999999998</v>
      </c>
      <c r="L99" s="4"/>
      <c r="M99" s="4"/>
      <c r="N99" t="s">
        <v>2011</v>
      </c>
    </row>
    <row r="100" spans="1:14" x14ac:dyDescent="0.35">
      <c r="A100" t="s">
        <v>2018</v>
      </c>
      <c r="B100" t="s">
        <v>169</v>
      </c>
      <c r="C100" t="s">
        <v>1734</v>
      </c>
      <c r="D100" t="s">
        <v>1735</v>
      </c>
      <c r="E100" s="16"/>
      <c r="F100" s="4"/>
      <c r="G100" s="17"/>
      <c r="H100" s="4"/>
      <c r="I100" s="4"/>
      <c r="J100" s="4"/>
      <c r="K100" s="4"/>
      <c r="L100" s="4"/>
      <c r="M100" s="4"/>
      <c r="N100" t="s">
        <v>2011</v>
      </c>
    </row>
    <row r="101" spans="1:14" x14ac:dyDescent="0.35">
      <c r="A101" t="s">
        <v>2019</v>
      </c>
      <c r="B101" t="s">
        <v>24</v>
      </c>
      <c r="C101" t="s">
        <v>1738</v>
      </c>
      <c r="D101" t="s">
        <v>1739</v>
      </c>
      <c r="E101" s="16">
        <v>3.3293220000000003</v>
      </c>
      <c r="F101" s="4">
        <v>0</v>
      </c>
      <c r="G101" s="17">
        <v>3.3293220000000003</v>
      </c>
      <c r="H101" s="4">
        <v>0</v>
      </c>
      <c r="I101" s="4">
        <v>0</v>
      </c>
      <c r="J101" s="4">
        <v>0</v>
      </c>
      <c r="K101" s="4">
        <v>3.3293220000000003</v>
      </c>
      <c r="L101" s="4"/>
      <c r="M101" s="4"/>
      <c r="N101" t="s">
        <v>2011</v>
      </c>
    </row>
    <row r="102" spans="1:14" x14ac:dyDescent="0.35">
      <c r="A102" t="s">
        <v>2016</v>
      </c>
      <c r="B102" t="s">
        <v>41</v>
      </c>
      <c r="C102" t="s">
        <v>1744</v>
      </c>
      <c r="D102" t="s">
        <v>1745</v>
      </c>
      <c r="E102" s="16">
        <v>0.23643939999999999</v>
      </c>
      <c r="F102" s="4">
        <v>0</v>
      </c>
      <c r="G102" s="17">
        <v>0.23643939999999999</v>
      </c>
      <c r="H102" s="4">
        <v>0</v>
      </c>
      <c r="I102" s="4">
        <v>0</v>
      </c>
      <c r="J102" s="4">
        <v>0</v>
      </c>
      <c r="K102" s="4">
        <v>0.23643939999999999</v>
      </c>
      <c r="L102" s="4"/>
      <c r="M102" s="4"/>
      <c r="N102" t="s">
        <v>2011</v>
      </c>
    </row>
    <row r="103" spans="1:14" x14ac:dyDescent="0.35">
      <c r="A103" t="s">
        <v>2017</v>
      </c>
      <c r="B103" t="s">
        <v>210</v>
      </c>
      <c r="C103" t="s">
        <v>1748</v>
      </c>
      <c r="D103" t="s">
        <v>1749</v>
      </c>
      <c r="E103" s="16">
        <v>4.8675133000000006</v>
      </c>
      <c r="F103" s="4">
        <v>0</v>
      </c>
      <c r="G103" s="17">
        <v>4.8675133000000006</v>
      </c>
      <c r="H103" s="4">
        <v>0</v>
      </c>
      <c r="I103" s="4">
        <v>0</v>
      </c>
      <c r="J103" s="4">
        <v>0</v>
      </c>
      <c r="K103" s="4">
        <v>4.8675133000000006</v>
      </c>
      <c r="L103" s="4"/>
      <c r="M103" s="4"/>
      <c r="N103" t="s">
        <v>2011</v>
      </c>
    </row>
    <row r="104" spans="1:14" x14ac:dyDescent="0.35">
      <c r="A104" t="s">
        <v>2017</v>
      </c>
      <c r="B104" t="s">
        <v>210</v>
      </c>
      <c r="C104" t="s">
        <v>1750</v>
      </c>
      <c r="D104" t="s">
        <v>1751</v>
      </c>
      <c r="E104" s="16">
        <v>5.2887567000000004</v>
      </c>
      <c r="F104" s="4">
        <v>0</v>
      </c>
      <c r="G104" s="17">
        <v>5.2887567000000004</v>
      </c>
      <c r="H104" s="4">
        <v>0</v>
      </c>
      <c r="I104" s="4">
        <v>0</v>
      </c>
      <c r="J104" s="4">
        <v>0</v>
      </c>
      <c r="K104" s="4">
        <v>5.2887567000000004</v>
      </c>
      <c r="L104" s="4"/>
      <c r="M104" s="4"/>
      <c r="N104" t="s">
        <v>2011</v>
      </c>
    </row>
    <row r="105" spans="1:14" x14ac:dyDescent="0.35">
      <c r="A105" t="s">
        <v>2016</v>
      </c>
      <c r="B105" t="s">
        <v>93</v>
      </c>
      <c r="C105" t="s">
        <v>1754</v>
      </c>
      <c r="D105" t="s">
        <v>1755</v>
      </c>
      <c r="E105" s="16">
        <v>0.2499518</v>
      </c>
      <c r="F105" s="4">
        <v>0</v>
      </c>
      <c r="G105" s="17">
        <v>0.2499518</v>
      </c>
      <c r="H105" s="4">
        <v>0</v>
      </c>
      <c r="I105" s="4">
        <v>0</v>
      </c>
      <c r="J105" s="4">
        <v>0</v>
      </c>
      <c r="K105" s="4">
        <v>0.2499518</v>
      </c>
      <c r="L105" s="4"/>
      <c r="M105" s="4"/>
      <c r="N105" t="s">
        <v>2010</v>
      </c>
    </row>
    <row r="106" spans="1:14" x14ac:dyDescent="0.35">
      <c r="A106" t="s">
        <v>2019</v>
      </c>
      <c r="B106" t="s">
        <v>24</v>
      </c>
      <c r="C106" t="s">
        <v>1756</v>
      </c>
      <c r="D106" t="s">
        <v>1757</v>
      </c>
      <c r="E106" s="16">
        <v>0.85673469999999996</v>
      </c>
      <c r="F106" s="4">
        <v>0</v>
      </c>
      <c r="G106" s="17">
        <v>0.85673469999999996</v>
      </c>
      <c r="H106" s="4">
        <v>0</v>
      </c>
      <c r="I106" s="4">
        <v>0</v>
      </c>
      <c r="J106" s="4">
        <v>0</v>
      </c>
      <c r="K106" s="4">
        <v>0.85673469999999996</v>
      </c>
      <c r="L106" s="4"/>
      <c r="M106" s="4"/>
      <c r="N106" t="s">
        <v>2011</v>
      </c>
    </row>
    <row r="107" spans="1:14" x14ac:dyDescent="0.35">
      <c r="A107" t="s">
        <v>2016</v>
      </c>
      <c r="B107" t="s">
        <v>93</v>
      </c>
      <c r="C107" t="s">
        <v>1758</v>
      </c>
      <c r="D107" t="s">
        <v>1759</v>
      </c>
      <c r="E107" s="16">
        <v>2.5123308999999998</v>
      </c>
      <c r="F107" s="4">
        <v>0</v>
      </c>
      <c r="G107" s="17">
        <v>2.5123308999999998</v>
      </c>
      <c r="H107" s="4">
        <v>0</v>
      </c>
      <c r="I107" s="4">
        <v>0</v>
      </c>
      <c r="J107" s="4">
        <v>0</v>
      </c>
      <c r="K107" s="4">
        <v>2.5123308999999998</v>
      </c>
      <c r="L107" s="4"/>
      <c r="M107" s="4"/>
      <c r="N107" t="s">
        <v>2011</v>
      </c>
    </row>
    <row r="108" spans="1:14" x14ac:dyDescent="0.35">
      <c r="A108" t="s">
        <v>2017</v>
      </c>
      <c r="B108" t="s">
        <v>111</v>
      </c>
      <c r="C108" t="s">
        <v>1760</v>
      </c>
      <c r="D108" t="s">
        <v>1761</v>
      </c>
      <c r="E108" s="16">
        <v>2.1309366000000001</v>
      </c>
      <c r="F108" s="4">
        <v>0</v>
      </c>
      <c r="G108" s="17">
        <v>2.1309366000000001</v>
      </c>
      <c r="H108" s="4">
        <v>0</v>
      </c>
      <c r="I108" s="4">
        <v>0</v>
      </c>
      <c r="J108" s="4">
        <v>0</v>
      </c>
      <c r="K108" s="4">
        <v>2.1309366000000001</v>
      </c>
      <c r="L108" s="4"/>
      <c r="M108" s="4"/>
      <c r="N108" t="s">
        <v>2011</v>
      </c>
    </row>
    <row r="109" spans="1:14" x14ac:dyDescent="0.35">
      <c r="A109" t="s">
        <v>2017</v>
      </c>
      <c r="B109" t="s">
        <v>36</v>
      </c>
      <c r="C109" t="s">
        <v>1774</v>
      </c>
      <c r="D109" t="s">
        <v>1775</v>
      </c>
      <c r="E109" s="16">
        <v>0.16358010000000001</v>
      </c>
      <c r="F109" s="4">
        <v>0</v>
      </c>
      <c r="G109" s="17">
        <v>0.16358010000000001</v>
      </c>
      <c r="H109" s="4">
        <v>0</v>
      </c>
      <c r="I109" s="4">
        <v>0</v>
      </c>
      <c r="J109" s="4">
        <v>0</v>
      </c>
      <c r="K109" s="4">
        <v>0.16358010000000001</v>
      </c>
      <c r="L109" s="4"/>
      <c r="M109" s="4"/>
      <c r="N109" t="s">
        <v>2011</v>
      </c>
    </row>
    <row r="110" spans="1:14" x14ac:dyDescent="0.35">
      <c r="A110" t="s">
        <v>2017</v>
      </c>
      <c r="B110" t="s">
        <v>33</v>
      </c>
      <c r="C110" t="s">
        <v>1782</v>
      </c>
      <c r="D110" t="s">
        <v>1783</v>
      </c>
      <c r="E110" s="16">
        <v>4.6010188000000003</v>
      </c>
      <c r="F110" s="4">
        <v>0</v>
      </c>
      <c r="G110" s="17">
        <v>4.6010188000000003</v>
      </c>
      <c r="H110" s="4">
        <v>0</v>
      </c>
      <c r="I110" s="4">
        <v>0</v>
      </c>
      <c r="J110" s="4">
        <v>0</v>
      </c>
      <c r="K110" s="4">
        <v>4.6010188000000003</v>
      </c>
      <c r="L110" s="4"/>
      <c r="M110" s="4"/>
      <c r="N110" t="s">
        <v>2011</v>
      </c>
    </row>
    <row r="111" spans="1:14" x14ac:dyDescent="0.35">
      <c r="A111" t="s">
        <v>2019</v>
      </c>
      <c r="B111" t="s">
        <v>16</v>
      </c>
      <c r="C111" t="s">
        <v>1788</v>
      </c>
      <c r="D111" t="s">
        <v>1789</v>
      </c>
      <c r="E111" s="16">
        <v>0.29032000000000002</v>
      </c>
      <c r="F111" s="4">
        <v>0</v>
      </c>
      <c r="G111" s="17">
        <v>0.29032000000000002</v>
      </c>
      <c r="H111" s="4">
        <v>0</v>
      </c>
      <c r="I111" s="4">
        <v>0</v>
      </c>
      <c r="J111" s="4">
        <v>0</v>
      </c>
      <c r="K111" s="4">
        <v>0.29032000000000002</v>
      </c>
      <c r="L111" s="4"/>
      <c r="M111" s="4"/>
      <c r="N111" t="s">
        <v>2011</v>
      </c>
    </row>
    <row r="112" spans="1:14" x14ac:dyDescent="0.35">
      <c r="A112" t="s">
        <v>2016</v>
      </c>
      <c r="B112" t="s">
        <v>93</v>
      </c>
      <c r="C112" t="s">
        <v>1790</v>
      </c>
      <c r="D112" t="s">
        <v>1791</v>
      </c>
      <c r="E112" s="16">
        <v>1.1801400000000002E-2</v>
      </c>
      <c r="F112" s="4">
        <v>0</v>
      </c>
      <c r="G112" s="17">
        <v>1.1801400000000002E-2</v>
      </c>
      <c r="H112" s="4">
        <v>0</v>
      </c>
      <c r="I112" s="4">
        <v>0</v>
      </c>
      <c r="J112" s="4">
        <v>0</v>
      </c>
      <c r="K112" s="4">
        <v>1.1801400000000002E-2</v>
      </c>
      <c r="L112" s="4"/>
      <c r="M112" s="4"/>
      <c r="N112" t="s">
        <v>2010</v>
      </c>
    </row>
    <row r="113" spans="1:14" x14ac:dyDescent="0.35">
      <c r="A113" t="s">
        <v>2019</v>
      </c>
      <c r="B113" t="s">
        <v>16</v>
      </c>
      <c r="C113" t="s">
        <v>1800</v>
      </c>
      <c r="D113" t="s">
        <v>1801</v>
      </c>
      <c r="E113" s="16">
        <v>0.16822689999999998</v>
      </c>
      <c r="F113" s="4">
        <v>0</v>
      </c>
      <c r="G113" s="17">
        <v>0.16822689999999998</v>
      </c>
      <c r="H113" s="4">
        <v>0</v>
      </c>
      <c r="I113" s="4">
        <v>0</v>
      </c>
      <c r="J113" s="4">
        <v>0</v>
      </c>
      <c r="K113" s="4">
        <v>0.16822689999999998</v>
      </c>
      <c r="L113" s="4"/>
      <c r="M113" s="4"/>
      <c r="N113" t="s">
        <v>2011</v>
      </c>
    </row>
    <row r="114" spans="1:14" x14ac:dyDescent="0.35">
      <c r="A114" t="s">
        <v>2018</v>
      </c>
      <c r="B114" t="s">
        <v>275</v>
      </c>
      <c r="C114" t="s">
        <v>1802</v>
      </c>
      <c r="D114" t="s">
        <v>1803</v>
      </c>
      <c r="E114" s="16">
        <v>3.4223799999999999E-2</v>
      </c>
      <c r="F114" s="4">
        <v>0</v>
      </c>
      <c r="G114" s="17">
        <v>3.4223799999999999E-2</v>
      </c>
      <c r="H114" s="4">
        <v>0</v>
      </c>
      <c r="I114" s="4">
        <v>0</v>
      </c>
      <c r="J114" s="4">
        <v>0</v>
      </c>
      <c r="K114" s="4">
        <v>3.4223799999999999E-2</v>
      </c>
      <c r="L114" s="4"/>
      <c r="M114" s="4"/>
      <c r="N114" t="s">
        <v>2010</v>
      </c>
    </row>
    <row r="115" spans="1:14" x14ac:dyDescent="0.35">
      <c r="A115" t="s">
        <v>2018</v>
      </c>
      <c r="B115" t="s">
        <v>169</v>
      </c>
      <c r="C115" t="s">
        <v>1806</v>
      </c>
      <c r="D115" t="s">
        <v>1807</v>
      </c>
      <c r="E115" s="16">
        <v>0.17215599999999998</v>
      </c>
      <c r="F115" s="4">
        <v>0</v>
      </c>
      <c r="G115" s="17">
        <v>0.17215599999999998</v>
      </c>
      <c r="H115" s="4">
        <v>0</v>
      </c>
      <c r="I115" s="4">
        <v>0</v>
      </c>
      <c r="J115" s="4">
        <v>0</v>
      </c>
      <c r="K115" s="4">
        <v>0.17215599999999998</v>
      </c>
      <c r="L115" s="4"/>
      <c r="M115" s="4"/>
      <c r="N115" t="s">
        <v>2011</v>
      </c>
    </row>
    <row r="116" spans="1:14" x14ac:dyDescent="0.35">
      <c r="A116" t="s">
        <v>2019</v>
      </c>
      <c r="B116" t="s">
        <v>24</v>
      </c>
      <c r="C116" t="s">
        <v>1812</v>
      </c>
      <c r="D116" t="s">
        <v>1813</v>
      </c>
      <c r="E116" s="16">
        <v>2.1375475000000002</v>
      </c>
      <c r="F116" s="4">
        <v>0</v>
      </c>
      <c r="G116" s="17">
        <v>2.1375475000000002</v>
      </c>
      <c r="H116" s="4">
        <v>0</v>
      </c>
      <c r="I116" s="4">
        <v>0</v>
      </c>
      <c r="J116" s="4">
        <v>0</v>
      </c>
      <c r="K116" s="4">
        <v>2.1375475000000002</v>
      </c>
      <c r="L116" s="4"/>
      <c r="M116" s="4"/>
      <c r="N116" t="s">
        <v>2011</v>
      </c>
    </row>
    <row r="117" spans="1:14" x14ac:dyDescent="0.35">
      <c r="A117" t="s">
        <v>2018</v>
      </c>
      <c r="B117" t="s">
        <v>275</v>
      </c>
      <c r="C117" t="s">
        <v>1822</v>
      </c>
      <c r="D117" t="s">
        <v>1823</v>
      </c>
      <c r="E117" s="16">
        <v>5.2455999999999996E-3</v>
      </c>
      <c r="F117" s="4">
        <v>0</v>
      </c>
      <c r="G117" s="17">
        <v>5.2455999999999996E-3</v>
      </c>
      <c r="H117" s="4">
        <v>0</v>
      </c>
      <c r="I117" s="4">
        <v>0</v>
      </c>
      <c r="J117" s="4">
        <v>0</v>
      </c>
      <c r="K117" s="4">
        <v>5.2455999999999996E-3</v>
      </c>
      <c r="L117" s="4"/>
      <c r="M117" s="4"/>
      <c r="N117" t="s">
        <v>2010</v>
      </c>
    </row>
    <row r="118" spans="1:14" x14ac:dyDescent="0.35">
      <c r="A118" t="s">
        <v>2017</v>
      </c>
      <c r="B118" t="s">
        <v>36</v>
      </c>
      <c r="C118" t="s">
        <v>1828</v>
      </c>
      <c r="D118" t="s">
        <v>1829</v>
      </c>
      <c r="E118" s="16">
        <v>1.8399553</v>
      </c>
      <c r="F118" s="4">
        <v>0</v>
      </c>
      <c r="G118" s="17">
        <v>1.8399553</v>
      </c>
      <c r="H118" s="4">
        <v>0</v>
      </c>
      <c r="I118" s="4">
        <v>0</v>
      </c>
      <c r="J118" s="4">
        <v>0</v>
      </c>
      <c r="K118" s="4">
        <v>1.8399553</v>
      </c>
      <c r="L118" s="4"/>
      <c r="M118" s="4"/>
      <c r="N118" t="s">
        <v>2011</v>
      </c>
    </row>
    <row r="119" spans="1:14" x14ac:dyDescent="0.35">
      <c r="A119" t="s">
        <v>2019</v>
      </c>
      <c r="B119" t="s">
        <v>24</v>
      </c>
      <c r="C119" t="s">
        <v>1830</v>
      </c>
      <c r="D119" t="s">
        <v>1831</v>
      </c>
      <c r="E119" s="16">
        <v>1.1952207000000001</v>
      </c>
      <c r="F119" s="4">
        <v>0</v>
      </c>
      <c r="G119" s="17">
        <v>1.1952207000000001</v>
      </c>
      <c r="H119" s="4">
        <v>0</v>
      </c>
      <c r="I119" s="4">
        <v>0</v>
      </c>
      <c r="J119" s="4">
        <v>0</v>
      </c>
      <c r="K119" s="4">
        <v>1.1952207000000001</v>
      </c>
      <c r="L119" s="4"/>
      <c r="M119" s="4"/>
      <c r="N119" t="s">
        <v>2011</v>
      </c>
    </row>
    <row r="120" spans="1:14" x14ac:dyDescent="0.35">
      <c r="A120" t="s">
        <v>2017</v>
      </c>
      <c r="B120" t="s">
        <v>36</v>
      </c>
      <c r="C120" t="s">
        <v>1838</v>
      </c>
      <c r="D120" t="s">
        <v>1839</v>
      </c>
      <c r="E120" s="16">
        <v>2.2952515999999998</v>
      </c>
      <c r="F120" s="4">
        <v>0</v>
      </c>
      <c r="G120" s="17">
        <v>2.2952515999999998</v>
      </c>
      <c r="H120" s="4">
        <v>0</v>
      </c>
      <c r="I120" s="4">
        <v>0</v>
      </c>
      <c r="J120" s="4">
        <v>0</v>
      </c>
      <c r="K120" s="4">
        <v>2.2952515999999998</v>
      </c>
      <c r="L120" s="4"/>
      <c r="M120" s="4"/>
      <c r="N120" t="s">
        <v>2011</v>
      </c>
    </row>
    <row r="121" spans="1:14" x14ac:dyDescent="0.35">
      <c r="A121" t="s">
        <v>2016</v>
      </c>
      <c r="B121" t="s">
        <v>41</v>
      </c>
      <c r="C121" t="s">
        <v>1842</v>
      </c>
      <c r="D121" t="s">
        <v>1843</v>
      </c>
      <c r="E121" s="16">
        <v>5.9016722999999995</v>
      </c>
      <c r="F121" s="4">
        <v>0</v>
      </c>
      <c r="G121" s="17">
        <v>5.9016722999999995</v>
      </c>
      <c r="H121" s="4">
        <v>0</v>
      </c>
      <c r="I121" s="4">
        <v>0</v>
      </c>
      <c r="J121" s="4">
        <v>0</v>
      </c>
      <c r="K121" s="4">
        <v>5.9016722999999995</v>
      </c>
      <c r="L121" s="4"/>
      <c r="M121" s="4"/>
      <c r="N121" t="s">
        <v>2011</v>
      </c>
    </row>
    <row r="122" spans="1:14" x14ac:dyDescent="0.35">
      <c r="A122" t="s">
        <v>2019</v>
      </c>
      <c r="B122" t="s">
        <v>16</v>
      </c>
      <c r="C122" t="s">
        <v>1850</v>
      </c>
      <c r="D122" t="s">
        <v>1851</v>
      </c>
      <c r="E122" s="16">
        <v>3.9882637999999999</v>
      </c>
      <c r="F122" s="4">
        <v>0</v>
      </c>
      <c r="G122" s="17">
        <v>3.9882637999999999</v>
      </c>
      <c r="H122" s="4">
        <v>0</v>
      </c>
      <c r="I122" s="4">
        <v>0</v>
      </c>
      <c r="J122" s="4">
        <v>0</v>
      </c>
      <c r="K122" s="4">
        <v>3.9882638000000008</v>
      </c>
      <c r="L122" s="4"/>
      <c r="M122" s="4"/>
      <c r="N122" t="s">
        <v>2011</v>
      </c>
    </row>
    <row r="123" spans="1:14" x14ac:dyDescent="0.35">
      <c r="A123" t="s">
        <v>2017</v>
      </c>
      <c r="B123" t="s">
        <v>19</v>
      </c>
      <c r="C123" t="s">
        <v>1854</v>
      </c>
      <c r="D123" t="s">
        <v>1855</v>
      </c>
      <c r="E123" s="16">
        <v>1.0668371000000001</v>
      </c>
      <c r="F123" s="4">
        <v>0</v>
      </c>
      <c r="G123" s="17">
        <v>1.0668371000000001</v>
      </c>
      <c r="H123" s="4">
        <v>0</v>
      </c>
      <c r="I123" s="4">
        <v>0</v>
      </c>
      <c r="J123" s="4">
        <v>0</v>
      </c>
      <c r="K123" s="4">
        <v>1.0668371000000001</v>
      </c>
      <c r="L123" s="4"/>
      <c r="M123" s="4"/>
      <c r="N123" t="s">
        <v>2011</v>
      </c>
    </row>
    <row r="124" spans="1:14" x14ac:dyDescent="0.35">
      <c r="A124" t="s">
        <v>2017</v>
      </c>
      <c r="B124" t="s">
        <v>36</v>
      </c>
      <c r="C124" t="s">
        <v>1856</v>
      </c>
      <c r="D124" t="s">
        <v>1857</v>
      </c>
      <c r="E124" s="16">
        <v>0.35566050000000005</v>
      </c>
      <c r="F124" s="4">
        <v>0</v>
      </c>
      <c r="G124" s="17">
        <v>0.35566050000000005</v>
      </c>
      <c r="H124" s="4">
        <v>0</v>
      </c>
      <c r="I124" s="4">
        <v>0</v>
      </c>
      <c r="J124" s="4">
        <v>0</v>
      </c>
      <c r="K124" s="4">
        <v>0.35566050000000005</v>
      </c>
      <c r="L124" s="4"/>
      <c r="M124" s="4"/>
      <c r="N124" t="s">
        <v>2011</v>
      </c>
    </row>
    <row r="125" spans="1:14" x14ac:dyDescent="0.35">
      <c r="A125" t="s">
        <v>2016</v>
      </c>
      <c r="B125" t="s">
        <v>93</v>
      </c>
      <c r="C125" t="s">
        <v>1860</v>
      </c>
      <c r="D125" t="s">
        <v>1861</v>
      </c>
      <c r="E125" s="16">
        <v>5.9389999999999996E-4</v>
      </c>
      <c r="F125" s="4">
        <v>0</v>
      </c>
      <c r="G125" s="17">
        <v>5.9389999999999996E-4</v>
      </c>
      <c r="H125" s="4">
        <v>0</v>
      </c>
      <c r="I125" s="4">
        <v>0</v>
      </c>
      <c r="J125" s="4">
        <v>0</v>
      </c>
      <c r="K125" s="4">
        <v>5.9389999999999996E-4</v>
      </c>
      <c r="L125" s="4"/>
      <c r="M125" s="4"/>
      <c r="N125" t="s">
        <v>2011</v>
      </c>
    </row>
    <row r="126" spans="1:14" x14ac:dyDescent="0.35">
      <c r="A126" t="s">
        <v>2017</v>
      </c>
      <c r="B126" t="s">
        <v>36</v>
      </c>
      <c r="C126" t="s">
        <v>1864</v>
      </c>
      <c r="D126" t="s">
        <v>1865</v>
      </c>
      <c r="E126" s="16">
        <v>0.40745300000000001</v>
      </c>
      <c r="F126" s="4">
        <v>0</v>
      </c>
      <c r="G126" s="17">
        <v>0.40745300000000001</v>
      </c>
      <c r="H126" s="4">
        <v>0</v>
      </c>
      <c r="I126" s="4">
        <v>0</v>
      </c>
      <c r="J126" s="4">
        <v>0</v>
      </c>
      <c r="K126" s="4">
        <v>0.40745300000000001</v>
      </c>
      <c r="L126" s="4"/>
      <c r="M126" s="4"/>
      <c r="N126" t="s">
        <v>2011</v>
      </c>
    </row>
    <row r="127" spans="1:14" x14ac:dyDescent="0.35">
      <c r="A127" t="s">
        <v>2016</v>
      </c>
      <c r="B127" t="s">
        <v>93</v>
      </c>
      <c r="C127" t="s">
        <v>1874</v>
      </c>
      <c r="D127" t="s">
        <v>1875</v>
      </c>
      <c r="E127" s="16">
        <v>7.2222000000000007E-3</v>
      </c>
      <c r="F127" s="4">
        <v>0</v>
      </c>
      <c r="G127" s="17">
        <v>7.2222000000000007E-3</v>
      </c>
      <c r="H127" s="4">
        <v>0</v>
      </c>
      <c r="I127" s="4">
        <v>0</v>
      </c>
      <c r="J127" s="4">
        <v>0</v>
      </c>
      <c r="K127" s="4">
        <v>7.2222000000000007E-3</v>
      </c>
      <c r="L127" s="4"/>
      <c r="M127" s="4"/>
      <c r="N127" t="s">
        <v>2010</v>
      </c>
    </row>
    <row r="128" spans="1:14" x14ac:dyDescent="0.35">
      <c r="A128" t="s">
        <v>2019</v>
      </c>
      <c r="B128" t="s">
        <v>24</v>
      </c>
      <c r="C128" t="s">
        <v>1878</v>
      </c>
      <c r="D128" t="s">
        <v>1879</v>
      </c>
      <c r="E128" s="16">
        <v>1.2550999</v>
      </c>
      <c r="F128" s="4">
        <v>0</v>
      </c>
      <c r="G128" s="17">
        <v>1.2550999</v>
      </c>
      <c r="H128" s="4">
        <v>0</v>
      </c>
      <c r="I128" s="4">
        <v>0</v>
      </c>
      <c r="J128" s="4">
        <v>0</v>
      </c>
      <c r="K128" s="4">
        <v>1.2550999</v>
      </c>
      <c r="L128" s="4"/>
      <c r="M128" s="4"/>
      <c r="N128" t="s">
        <v>2011</v>
      </c>
    </row>
    <row r="129" spans="1:14" x14ac:dyDescent="0.35">
      <c r="A129" t="s">
        <v>2017</v>
      </c>
      <c r="B129" t="s">
        <v>36</v>
      </c>
      <c r="C129" t="s">
        <v>1888</v>
      </c>
      <c r="D129" t="s">
        <v>1889</v>
      </c>
      <c r="E129" s="16">
        <v>0.28119810000000001</v>
      </c>
      <c r="F129" s="4">
        <v>0</v>
      </c>
      <c r="G129" s="17">
        <v>0.28119810000000001</v>
      </c>
      <c r="H129" s="4">
        <v>0</v>
      </c>
      <c r="I129" s="4">
        <v>0</v>
      </c>
      <c r="J129" s="4">
        <v>0</v>
      </c>
      <c r="K129" s="4">
        <v>0.28119810000000001</v>
      </c>
      <c r="L129" s="4"/>
      <c r="M129" s="4"/>
      <c r="N129" t="s">
        <v>2011</v>
      </c>
    </row>
    <row r="130" spans="1:14" x14ac:dyDescent="0.35">
      <c r="A130" t="s">
        <v>2016</v>
      </c>
      <c r="B130" t="s">
        <v>93</v>
      </c>
      <c r="C130" t="s">
        <v>1890</v>
      </c>
      <c r="D130" t="s">
        <v>1891</v>
      </c>
      <c r="E130" s="16">
        <v>1.9310899999999999E-2</v>
      </c>
      <c r="F130" s="4">
        <v>0</v>
      </c>
      <c r="G130" s="17">
        <v>1.9310899999999999E-2</v>
      </c>
      <c r="H130" s="4">
        <v>0</v>
      </c>
      <c r="I130" s="4">
        <v>0</v>
      </c>
      <c r="J130" s="4">
        <v>0</v>
      </c>
      <c r="K130" s="4">
        <v>1.9310899999999999E-2</v>
      </c>
      <c r="L130" s="4"/>
      <c r="M130" s="4"/>
      <c r="N130" t="s">
        <v>2010</v>
      </c>
    </row>
    <row r="131" spans="1:14" x14ac:dyDescent="0.35">
      <c r="A131" t="s">
        <v>2019</v>
      </c>
      <c r="B131" t="s">
        <v>24</v>
      </c>
      <c r="C131" t="s">
        <v>1892</v>
      </c>
      <c r="D131" t="s">
        <v>1893</v>
      </c>
      <c r="E131" s="16">
        <v>1.9620898</v>
      </c>
      <c r="F131" s="4">
        <v>0</v>
      </c>
      <c r="G131" s="17">
        <v>1.9620898</v>
      </c>
      <c r="H131" s="4">
        <v>0</v>
      </c>
      <c r="I131" s="4">
        <v>0</v>
      </c>
      <c r="J131" s="4">
        <v>0</v>
      </c>
      <c r="K131" s="4">
        <v>1.9620898</v>
      </c>
      <c r="L131" s="4"/>
      <c r="M131" s="4"/>
      <c r="N131" t="s">
        <v>2011</v>
      </c>
    </row>
    <row r="132" spans="1:14" x14ac:dyDescent="0.35">
      <c r="A132" t="s">
        <v>2017</v>
      </c>
      <c r="B132" t="s">
        <v>19</v>
      </c>
      <c r="C132" t="s">
        <v>1898</v>
      </c>
      <c r="D132" t="s">
        <v>1899</v>
      </c>
      <c r="E132" s="16">
        <v>7.8835730000000002</v>
      </c>
      <c r="F132" s="4">
        <v>0</v>
      </c>
      <c r="G132" s="17">
        <v>7.8835730000000002</v>
      </c>
      <c r="H132" s="4">
        <v>0</v>
      </c>
      <c r="I132" s="4">
        <v>0</v>
      </c>
      <c r="J132" s="4">
        <v>0</v>
      </c>
      <c r="K132" s="4">
        <v>7.8835730000000002</v>
      </c>
      <c r="L132" s="4"/>
      <c r="M132" s="4"/>
      <c r="N132" t="s">
        <v>2011</v>
      </c>
    </row>
    <row r="133" spans="1:14" x14ac:dyDescent="0.35">
      <c r="A133" t="s">
        <v>2017</v>
      </c>
      <c r="B133" t="s">
        <v>111</v>
      </c>
      <c r="C133" t="s">
        <v>1908</v>
      </c>
      <c r="D133" t="s">
        <v>1909</v>
      </c>
      <c r="E133" s="16">
        <v>6.0176175000000001</v>
      </c>
      <c r="F133" s="4">
        <v>0</v>
      </c>
      <c r="G133" s="17">
        <v>6.0176175000000001</v>
      </c>
      <c r="H133" s="4">
        <v>0</v>
      </c>
      <c r="I133" s="4">
        <v>0</v>
      </c>
      <c r="J133" s="4">
        <v>0</v>
      </c>
      <c r="K133" s="4">
        <v>6.0176175000000001</v>
      </c>
      <c r="L133" s="4"/>
      <c r="M133" s="4"/>
      <c r="N133" t="s">
        <v>2011</v>
      </c>
    </row>
    <row r="134" spans="1:14" x14ac:dyDescent="0.35">
      <c r="A134" t="s">
        <v>2016</v>
      </c>
      <c r="B134" t="s">
        <v>93</v>
      </c>
      <c r="C134" t="s">
        <v>1912</v>
      </c>
      <c r="D134" t="s">
        <v>1913</v>
      </c>
      <c r="E134" s="16">
        <v>1.4099999999999999E-5</v>
      </c>
      <c r="F134" s="4">
        <v>0</v>
      </c>
      <c r="G134" s="17">
        <v>1.4099999999999999E-5</v>
      </c>
      <c r="H134" s="4">
        <v>0</v>
      </c>
      <c r="I134" s="4">
        <v>0</v>
      </c>
      <c r="J134" s="4">
        <v>0</v>
      </c>
      <c r="K134" s="4">
        <v>1.4099999999999999E-5</v>
      </c>
      <c r="L134" s="4"/>
      <c r="M134" s="4"/>
      <c r="N134" t="s">
        <v>2010</v>
      </c>
    </row>
    <row r="135" spans="1:14" x14ac:dyDescent="0.35">
      <c r="A135" t="s">
        <v>2016</v>
      </c>
      <c r="B135" t="s">
        <v>41</v>
      </c>
      <c r="C135" t="s">
        <v>1918</v>
      </c>
      <c r="D135" t="s">
        <v>1919</v>
      </c>
      <c r="E135" s="16">
        <v>7.9305E-3</v>
      </c>
      <c r="F135" s="4">
        <v>0</v>
      </c>
      <c r="G135" s="17">
        <v>7.9305E-3</v>
      </c>
      <c r="H135" s="4">
        <v>0</v>
      </c>
      <c r="I135" s="4">
        <v>0</v>
      </c>
      <c r="J135" s="4">
        <v>0</v>
      </c>
      <c r="K135" s="4">
        <v>7.9305E-3</v>
      </c>
      <c r="L135" s="4"/>
      <c r="M135" s="4"/>
      <c r="N135" t="s">
        <v>2010</v>
      </c>
    </row>
    <row r="136" spans="1:14" x14ac:dyDescent="0.35">
      <c r="A136" t="s">
        <v>2017</v>
      </c>
      <c r="B136" t="s">
        <v>36</v>
      </c>
      <c r="C136" t="s">
        <v>1920</v>
      </c>
      <c r="D136" t="s">
        <v>1921</v>
      </c>
      <c r="E136" s="16">
        <v>1.4519753</v>
      </c>
      <c r="F136" s="4">
        <v>0</v>
      </c>
      <c r="G136" s="17">
        <v>1.4519753</v>
      </c>
      <c r="H136" s="4">
        <v>0</v>
      </c>
      <c r="I136" s="4">
        <v>0</v>
      </c>
      <c r="J136" s="4">
        <v>0</v>
      </c>
      <c r="K136" s="4">
        <v>1.4519753</v>
      </c>
      <c r="L136" s="4"/>
      <c r="M136" s="4"/>
      <c r="N136" t="s">
        <v>2011</v>
      </c>
    </row>
    <row r="137" spans="1:14" x14ac:dyDescent="0.35">
      <c r="A137" t="s">
        <v>2017</v>
      </c>
      <c r="B137" t="s">
        <v>33</v>
      </c>
      <c r="C137" t="s">
        <v>1928</v>
      </c>
      <c r="D137" t="s">
        <v>1929</v>
      </c>
      <c r="E137" s="16">
        <v>3.1999999999999999E-6</v>
      </c>
      <c r="F137" s="4">
        <v>0</v>
      </c>
      <c r="G137" s="17">
        <v>3.1999999999999999E-6</v>
      </c>
      <c r="H137" s="4">
        <v>0</v>
      </c>
      <c r="I137" s="4">
        <v>0</v>
      </c>
      <c r="J137" s="4">
        <v>0</v>
      </c>
      <c r="K137" s="4">
        <v>3.1999999999999999E-6</v>
      </c>
      <c r="L137" s="4"/>
      <c r="M137" s="4"/>
      <c r="N137" t="s">
        <v>2011</v>
      </c>
    </row>
    <row r="138" spans="1:14" x14ac:dyDescent="0.35">
      <c r="A138" t="s">
        <v>2017</v>
      </c>
      <c r="B138" t="s">
        <v>33</v>
      </c>
      <c r="C138" t="s">
        <v>1930</v>
      </c>
      <c r="D138" t="s">
        <v>1931</v>
      </c>
      <c r="E138" s="16">
        <v>5.0226701</v>
      </c>
      <c r="F138" s="4">
        <v>0</v>
      </c>
      <c r="G138" s="17">
        <v>5.0226701</v>
      </c>
      <c r="H138" s="4">
        <v>0</v>
      </c>
      <c r="I138" s="4">
        <v>0</v>
      </c>
      <c r="J138" s="4">
        <v>0</v>
      </c>
      <c r="K138" s="4">
        <v>5.0226701</v>
      </c>
      <c r="L138" s="4"/>
      <c r="M138" s="4"/>
      <c r="N138" t="s">
        <v>2011</v>
      </c>
    </row>
    <row r="139" spans="1:14" x14ac:dyDescent="0.35">
      <c r="A139" t="s">
        <v>2019</v>
      </c>
      <c r="B139" t="s">
        <v>24</v>
      </c>
      <c r="C139" t="s">
        <v>1932</v>
      </c>
      <c r="D139" t="s">
        <v>1933</v>
      </c>
      <c r="E139" s="16">
        <v>2.3E-6</v>
      </c>
      <c r="F139" s="4">
        <v>0</v>
      </c>
      <c r="G139" s="17">
        <v>2.3E-6</v>
      </c>
      <c r="H139" s="4">
        <v>0</v>
      </c>
      <c r="I139" s="4">
        <v>0</v>
      </c>
      <c r="J139" s="4">
        <v>0</v>
      </c>
      <c r="K139" s="4">
        <v>2.3E-6</v>
      </c>
      <c r="L139" s="4"/>
      <c r="M139" s="4"/>
      <c r="N139" t="s">
        <v>2011</v>
      </c>
    </row>
    <row r="140" spans="1:14" x14ac:dyDescent="0.35">
      <c r="A140" t="s">
        <v>2017</v>
      </c>
      <c r="B140" t="s">
        <v>36</v>
      </c>
      <c r="C140" t="s">
        <v>1936</v>
      </c>
      <c r="D140" t="s">
        <v>1937</v>
      </c>
      <c r="E140" s="16">
        <v>7.9999999999999996E-7</v>
      </c>
      <c r="F140" s="4">
        <v>0</v>
      </c>
      <c r="G140" s="17">
        <v>7.9999999999999996E-7</v>
      </c>
      <c r="H140" s="4">
        <v>0</v>
      </c>
      <c r="I140" s="4">
        <v>0</v>
      </c>
      <c r="J140" s="4">
        <v>0</v>
      </c>
      <c r="K140" s="4">
        <v>7.9999999999999996E-7</v>
      </c>
      <c r="L140" s="4"/>
      <c r="M140" s="4"/>
      <c r="N140" t="s">
        <v>2011</v>
      </c>
    </row>
    <row r="141" spans="1:14" x14ac:dyDescent="0.35">
      <c r="A141" t="s">
        <v>2019</v>
      </c>
      <c r="B141" t="s">
        <v>30</v>
      </c>
      <c r="C141" t="s">
        <v>1940</v>
      </c>
      <c r="D141" t="s">
        <v>1941</v>
      </c>
      <c r="E141" s="16">
        <v>6.6552999999999994E-3</v>
      </c>
      <c r="F141" s="4">
        <v>0</v>
      </c>
      <c r="G141" s="17">
        <v>6.6552999999999994E-3</v>
      </c>
      <c r="H141" s="4">
        <v>0</v>
      </c>
      <c r="I141" s="4">
        <v>0</v>
      </c>
      <c r="J141" s="4">
        <v>0</v>
      </c>
      <c r="K141" s="4">
        <v>6.6552999999999994E-3</v>
      </c>
      <c r="L141" s="4"/>
      <c r="M141" s="4"/>
      <c r="N141" t="s">
        <v>2010</v>
      </c>
    </row>
    <row r="142" spans="1:14" x14ac:dyDescent="0.35">
      <c r="A142" t="s">
        <v>2017</v>
      </c>
      <c r="B142" t="s">
        <v>36</v>
      </c>
      <c r="C142" t="s">
        <v>1952</v>
      </c>
      <c r="D142" t="s">
        <v>1953</v>
      </c>
      <c r="E142" s="16">
        <v>5.9000000000000003E-4</v>
      </c>
      <c r="F142" s="4">
        <v>0</v>
      </c>
      <c r="G142" s="17">
        <v>5.9000000000000003E-4</v>
      </c>
      <c r="H142" s="4">
        <v>0</v>
      </c>
      <c r="I142" s="4">
        <v>0</v>
      </c>
      <c r="J142" s="4">
        <v>0</v>
      </c>
      <c r="K142" s="4">
        <v>5.9000000000000003E-4</v>
      </c>
      <c r="L142" s="4"/>
      <c r="M142" s="4"/>
      <c r="N142" t="s">
        <v>2011</v>
      </c>
    </row>
    <row r="143" spans="1:14" x14ac:dyDescent="0.35">
      <c r="A143" t="s">
        <v>2019</v>
      </c>
      <c r="B143" t="s">
        <v>27</v>
      </c>
      <c r="C143" t="s">
        <v>1958</v>
      </c>
      <c r="D143" t="s">
        <v>1959</v>
      </c>
      <c r="E143" s="16">
        <v>1.4000000000000001E-6</v>
      </c>
      <c r="F143" s="4">
        <v>0</v>
      </c>
      <c r="G143" s="17">
        <v>1.4000000000000001E-6</v>
      </c>
      <c r="H143" s="4">
        <v>0</v>
      </c>
      <c r="I143" s="4">
        <v>0</v>
      </c>
      <c r="J143" s="4">
        <v>0</v>
      </c>
      <c r="K143" s="4">
        <v>1.4000000000000001E-6</v>
      </c>
      <c r="L143" s="4"/>
      <c r="M143" s="4"/>
      <c r="N143" t="s">
        <v>2011</v>
      </c>
    </row>
    <row r="144" spans="1:14" x14ac:dyDescent="0.35">
      <c r="A144" t="s">
        <v>2019</v>
      </c>
      <c r="B144" t="s">
        <v>30</v>
      </c>
      <c r="C144" t="s">
        <v>1966</v>
      </c>
      <c r="D144" t="s">
        <v>1967</v>
      </c>
      <c r="E144" s="16">
        <v>6.0472E-3</v>
      </c>
      <c r="F144" s="4">
        <v>0</v>
      </c>
      <c r="G144" s="17">
        <v>6.0472E-3</v>
      </c>
      <c r="H144" s="4">
        <v>0</v>
      </c>
      <c r="I144" s="4">
        <v>0</v>
      </c>
      <c r="J144" s="4">
        <v>0</v>
      </c>
      <c r="K144" s="4">
        <v>6.0472E-3</v>
      </c>
      <c r="L144" s="4"/>
      <c r="M144" s="4"/>
      <c r="N144" t="s">
        <v>2010</v>
      </c>
    </row>
    <row r="145" spans="1:14" x14ac:dyDescent="0.35">
      <c r="A145" t="s">
        <v>2017</v>
      </c>
      <c r="B145" t="s">
        <v>19</v>
      </c>
      <c r="C145" t="s">
        <v>1994</v>
      </c>
      <c r="D145" t="s">
        <v>1995</v>
      </c>
      <c r="E145" s="16">
        <v>5.6692999999999995E-3</v>
      </c>
      <c r="F145" s="4">
        <v>0</v>
      </c>
      <c r="G145" s="17">
        <v>5.6692999999999995E-3</v>
      </c>
      <c r="H145" s="4">
        <v>0</v>
      </c>
      <c r="I145" s="4">
        <v>0</v>
      </c>
      <c r="J145" s="4">
        <v>0</v>
      </c>
      <c r="K145" s="4">
        <v>5.6692999999999995E-3</v>
      </c>
      <c r="L145" s="4"/>
      <c r="M145" s="4"/>
      <c r="N145" t="s">
        <v>2010</v>
      </c>
    </row>
    <row r="146" spans="1:14" x14ac:dyDescent="0.35">
      <c r="A146" t="s">
        <v>2019</v>
      </c>
      <c r="B146" t="s">
        <v>30</v>
      </c>
      <c r="C146" t="s">
        <v>1998</v>
      </c>
      <c r="D146" t="s">
        <v>1999</v>
      </c>
      <c r="E146" s="16">
        <v>6.4584000000000004E-3</v>
      </c>
      <c r="F146" s="4">
        <v>0</v>
      </c>
      <c r="G146" s="17">
        <v>6.4584000000000004E-3</v>
      </c>
      <c r="H146" s="4">
        <v>0</v>
      </c>
      <c r="I146" s="4">
        <v>0</v>
      </c>
      <c r="J146" s="4">
        <v>0</v>
      </c>
      <c r="K146" s="4">
        <v>6.4584000000000004E-3</v>
      </c>
      <c r="L146" s="4"/>
      <c r="M146" s="4"/>
      <c r="N146" t="s">
        <v>2010</v>
      </c>
    </row>
    <row r="147" spans="1:14" x14ac:dyDescent="0.35">
      <c r="A147" t="s">
        <v>3509</v>
      </c>
      <c r="B147" t="s">
        <v>3287</v>
      </c>
      <c r="C147" t="s">
        <v>3443</v>
      </c>
      <c r="D147" t="s">
        <v>3444</v>
      </c>
    </row>
    <row r="148" spans="1:14" x14ac:dyDescent="0.35">
      <c r="A148" t="s">
        <v>3509</v>
      </c>
      <c r="B148" t="s">
        <v>3287</v>
      </c>
      <c r="C148" t="s">
        <v>3445</v>
      </c>
      <c r="D148" t="s">
        <v>3446</v>
      </c>
    </row>
    <row r="149" spans="1:14" x14ac:dyDescent="0.35">
      <c r="A149" t="s">
        <v>3509</v>
      </c>
      <c r="B149" t="s">
        <v>3287</v>
      </c>
      <c r="C149" t="s">
        <v>3298</v>
      </c>
      <c r="D149" t="s">
        <v>3299</v>
      </c>
    </row>
    <row r="150" spans="1:14" x14ac:dyDescent="0.35">
      <c r="A150" t="s">
        <v>3509</v>
      </c>
      <c r="B150" t="s">
        <v>3287</v>
      </c>
      <c r="C150" t="s">
        <v>3300</v>
      </c>
      <c r="D150" t="s">
        <v>3301</v>
      </c>
    </row>
    <row r="151" spans="1:14" x14ac:dyDescent="0.35">
      <c r="A151" t="s">
        <v>3509</v>
      </c>
      <c r="B151" t="s">
        <v>3287</v>
      </c>
      <c r="C151" t="s">
        <v>3304</v>
      </c>
      <c r="D151" t="s">
        <v>3305</v>
      </c>
    </row>
    <row r="152" spans="1:14" x14ac:dyDescent="0.35">
      <c r="A152" t="s">
        <v>3509</v>
      </c>
      <c r="B152" t="s">
        <v>3287</v>
      </c>
      <c r="C152" t="s">
        <v>3447</v>
      </c>
      <c r="D152" t="s">
        <v>3448</v>
      </c>
    </row>
    <row r="153" spans="1:14" x14ac:dyDescent="0.35">
      <c r="A153" t="s">
        <v>3509</v>
      </c>
      <c r="B153" t="s">
        <v>3287</v>
      </c>
      <c r="C153" t="s">
        <v>3449</v>
      </c>
      <c r="D153" t="s">
        <v>3450</v>
      </c>
    </row>
    <row r="154" spans="1:14" x14ac:dyDescent="0.35">
      <c r="A154" t="s">
        <v>3509</v>
      </c>
      <c r="B154" t="s">
        <v>3229</v>
      </c>
      <c r="C154" t="s">
        <v>3451</v>
      </c>
      <c r="D154" t="s">
        <v>3452</v>
      </c>
    </row>
    <row r="155" spans="1:14" x14ac:dyDescent="0.35">
      <c r="A155" t="s">
        <v>3509</v>
      </c>
      <c r="B155" t="s">
        <v>3229</v>
      </c>
      <c r="C155" t="s">
        <v>3453</v>
      </c>
      <c r="D155" t="s">
        <v>3454</v>
      </c>
    </row>
    <row r="156" spans="1:14" x14ac:dyDescent="0.35">
      <c r="A156" t="s">
        <v>3509</v>
      </c>
      <c r="B156" t="s">
        <v>3229</v>
      </c>
      <c r="C156" t="s">
        <v>3455</v>
      </c>
      <c r="D156" t="s">
        <v>3456</v>
      </c>
    </row>
    <row r="157" spans="1:14" x14ac:dyDescent="0.35">
      <c r="A157" t="s">
        <v>3509</v>
      </c>
      <c r="B157" t="s">
        <v>3229</v>
      </c>
      <c r="C157" t="s">
        <v>3457</v>
      </c>
      <c r="D157" t="s">
        <v>3458</v>
      </c>
    </row>
    <row r="158" spans="1:14" x14ac:dyDescent="0.35">
      <c r="A158" t="s">
        <v>3509</v>
      </c>
      <c r="B158" t="s">
        <v>3229</v>
      </c>
      <c r="C158" t="s">
        <v>3459</v>
      </c>
      <c r="D158" t="s">
        <v>3460</v>
      </c>
    </row>
    <row r="159" spans="1:14" x14ac:dyDescent="0.35">
      <c r="A159" t="s">
        <v>3509</v>
      </c>
      <c r="B159" t="s">
        <v>3229</v>
      </c>
      <c r="C159" t="s">
        <v>3461</v>
      </c>
      <c r="D159" t="s">
        <v>3462</v>
      </c>
    </row>
    <row r="160" spans="1:14" x14ac:dyDescent="0.35">
      <c r="A160" t="s">
        <v>3509</v>
      </c>
      <c r="B160" t="s">
        <v>3229</v>
      </c>
      <c r="C160" t="s">
        <v>3238</v>
      </c>
      <c r="D160" t="s">
        <v>3239</v>
      </c>
    </row>
    <row r="161" spans="1:4" x14ac:dyDescent="0.35">
      <c r="A161" t="s">
        <v>3509</v>
      </c>
      <c r="B161" t="s">
        <v>3229</v>
      </c>
      <c r="C161" t="s">
        <v>3240</v>
      </c>
      <c r="D161" t="s">
        <v>3241</v>
      </c>
    </row>
    <row r="162" spans="1:4" x14ac:dyDescent="0.35">
      <c r="A162" t="s">
        <v>3509</v>
      </c>
      <c r="B162" t="s">
        <v>3229</v>
      </c>
      <c r="C162" t="s">
        <v>3463</v>
      </c>
      <c r="D162" t="s">
        <v>3464</v>
      </c>
    </row>
    <row r="163" spans="1:4" x14ac:dyDescent="0.35">
      <c r="A163" t="s">
        <v>3509</v>
      </c>
      <c r="B163" t="s">
        <v>3229</v>
      </c>
      <c r="C163" t="s">
        <v>3244</v>
      </c>
      <c r="D163" t="s">
        <v>3245</v>
      </c>
    </row>
    <row r="164" spans="1:4" x14ac:dyDescent="0.35">
      <c r="A164" t="s">
        <v>3509</v>
      </c>
      <c r="B164" t="s">
        <v>3229</v>
      </c>
      <c r="C164" t="s">
        <v>3465</v>
      </c>
      <c r="D164" t="s">
        <v>3466</v>
      </c>
    </row>
    <row r="165" spans="1:4" x14ac:dyDescent="0.35">
      <c r="A165" t="s">
        <v>3509</v>
      </c>
      <c r="B165" t="s">
        <v>3229</v>
      </c>
      <c r="C165" t="s">
        <v>3467</v>
      </c>
      <c r="D165" t="s">
        <v>3468</v>
      </c>
    </row>
    <row r="166" spans="1:4" x14ac:dyDescent="0.35">
      <c r="A166" t="s">
        <v>3509</v>
      </c>
      <c r="B166" t="s">
        <v>3251</v>
      </c>
      <c r="C166" t="s">
        <v>3469</v>
      </c>
      <c r="D166" t="s">
        <v>3470</v>
      </c>
    </row>
    <row r="167" spans="1:4" x14ac:dyDescent="0.35">
      <c r="A167" t="s">
        <v>3509</v>
      </c>
      <c r="B167" t="s">
        <v>3251</v>
      </c>
      <c r="C167" t="s">
        <v>3256</v>
      </c>
      <c r="D167" t="s">
        <v>3257</v>
      </c>
    </row>
    <row r="168" spans="1:4" x14ac:dyDescent="0.35">
      <c r="A168" t="s">
        <v>3509</v>
      </c>
      <c r="B168" t="s">
        <v>3251</v>
      </c>
      <c r="C168" t="s">
        <v>3471</v>
      </c>
      <c r="D168" t="s">
        <v>3472</v>
      </c>
    </row>
    <row r="169" spans="1:4" x14ac:dyDescent="0.35">
      <c r="A169" t="s">
        <v>3509</v>
      </c>
      <c r="B169" t="s">
        <v>3251</v>
      </c>
      <c r="C169" t="s">
        <v>3266</v>
      </c>
      <c r="D169" t="s">
        <v>3267</v>
      </c>
    </row>
    <row r="170" spans="1:4" x14ac:dyDescent="0.35">
      <c r="A170" t="s">
        <v>3509</v>
      </c>
      <c r="B170" t="s">
        <v>3251</v>
      </c>
      <c r="C170" t="s">
        <v>3268</v>
      </c>
      <c r="D170" t="s">
        <v>3269</v>
      </c>
    </row>
    <row r="171" spans="1:4" x14ac:dyDescent="0.35">
      <c r="A171" t="s">
        <v>3509</v>
      </c>
      <c r="B171" t="s">
        <v>3356</v>
      </c>
      <c r="C171" t="s">
        <v>3473</v>
      </c>
      <c r="D171" t="s">
        <v>3474</v>
      </c>
    </row>
    <row r="172" spans="1:4" x14ac:dyDescent="0.35">
      <c r="A172" t="s">
        <v>3509</v>
      </c>
      <c r="B172" t="s">
        <v>3272</v>
      </c>
      <c r="C172" t="s">
        <v>3475</v>
      </c>
      <c r="D172" t="s">
        <v>3476</v>
      </c>
    </row>
    <row r="173" spans="1:4" x14ac:dyDescent="0.35">
      <c r="A173" t="s">
        <v>3509</v>
      </c>
      <c r="B173" t="s">
        <v>3272</v>
      </c>
      <c r="C173" t="s">
        <v>3477</v>
      </c>
      <c r="D173" t="s">
        <v>3478</v>
      </c>
    </row>
    <row r="174" spans="1:4" x14ac:dyDescent="0.35">
      <c r="A174" t="s">
        <v>3509</v>
      </c>
      <c r="B174" t="s">
        <v>3272</v>
      </c>
      <c r="C174" t="s">
        <v>3283</v>
      </c>
      <c r="D174" t="s">
        <v>3284</v>
      </c>
    </row>
    <row r="175" spans="1:4" x14ac:dyDescent="0.35">
      <c r="A175" t="s">
        <v>3509</v>
      </c>
      <c r="B175" t="s">
        <v>3325</v>
      </c>
      <c r="C175" t="s">
        <v>3479</v>
      </c>
      <c r="D175" t="s">
        <v>3480</v>
      </c>
    </row>
    <row r="176" spans="1:4" x14ac:dyDescent="0.35">
      <c r="A176" t="s">
        <v>3509</v>
      </c>
      <c r="B176" t="s">
        <v>3325</v>
      </c>
      <c r="C176" t="s">
        <v>3481</v>
      </c>
      <c r="D176" t="s">
        <v>3482</v>
      </c>
    </row>
    <row r="177" spans="1:4" x14ac:dyDescent="0.35">
      <c r="A177" t="s">
        <v>3509</v>
      </c>
      <c r="B177" t="s">
        <v>3325</v>
      </c>
      <c r="C177" t="s">
        <v>3483</v>
      </c>
      <c r="D177" t="s">
        <v>3484</v>
      </c>
    </row>
    <row r="178" spans="1:4" x14ac:dyDescent="0.35">
      <c r="A178" t="s">
        <v>3509</v>
      </c>
      <c r="B178" t="s">
        <v>3325</v>
      </c>
      <c r="C178" t="s">
        <v>3485</v>
      </c>
      <c r="D178" t="s">
        <v>3486</v>
      </c>
    </row>
    <row r="179" spans="1:4" x14ac:dyDescent="0.35">
      <c r="A179" t="s">
        <v>3509</v>
      </c>
      <c r="B179" t="s">
        <v>3325</v>
      </c>
      <c r="C179" t="s">
        <v>3487</v>
      </c>
      <c r="D179" t="s">
        <v>3488</v>
      </c>
    </row>
    <row r="180" spans="1:4" x14ac:dyDescent="0.35">
      <c r="A180" t="s">
        <v>3509</v>
      </c>
      <c r="B180" t="s">
        <v>3325</v>
      </c>
      <c r="C180" t="s">
        <v>3489</v>
      </c>
      <c r="D180" t="s">
        <v>3490</v>
      </c>
    </row>
    <row r="181" spans="1:4" x14ac:dyDescent="0.35">
      <c r="A181" t="s">
        <v>3509</v>
      </c>
      <c r="B181" t="s">
        <v>3361</v>
      </c>
      <c r="C181" t="s">
        <v>3491</v>
      </c>
      <c r="D181" t="s">
        <v>3492</v>
      </c>
    </row>
    <row r="182" spans="1:4" x14ac:dyDescent="0.35">
      <c r="A182" t="s">
        <v>3509</v>
      </c>
      <c r="B182" t="s">
        <v>3361</v>
      </c>
      <c r="C182" t="s">
        <v>3493</v>
      </c>
      <c r="D182" t="s">
        <v>3494</v>
      </c>
    </row>
    <row r="183" spans="1:4" x14ac:dyDescent="0.35">
      <c r="A183" t="s">
        <v>3509</v>
      </c>
      <c r="B183" t="s">
        <v>3248</v>
      </c>
      <c r="C183" t="s">
        <v>3495</v>
      </c>
      <c r="D183" t="s">
        <v>3496</v>
      </c>
    </row>
    <row r="184" spans="1:4" x14ac:dyDescent="0.35">
      <c r="A184" t="s">
        <v>3509</v>
      </c>
      <c r="B184" t="s">
        <v>3248</v>
      </c>
      <c r="C184" t="s">
        <v>3497</v>
      </c>
      <c r="D184" t="s">
        <v>3498</v>
      </c>
    </row>
    <row r="185" spans="1:4" x14ac:dyDescent="0.35">
      <c r="A185" t="s">
        <v>3509</v>
      </c>
      <c r="B185" t="s">
        <v>3248</v>
      </c>
      <c r="C185" t="s">
        <v>3499</v>
      </c>
      <c r="D185" t="s">
        <v>3500</v>
      </c>
    </row>
    <row r="186" spans="1:4" x14ac:dyDescent="0.35">
      <c r="A186" t="s">
        <v>3509</v>
      </c>
      <c r="B186" t="s">
        <v>3248</v>
      </c>
      <c r="C186" t="s">
        <v>3501</v>
      </c>
      <c r="D186" t="s">
        <v>3502</v>
      </c>
    </row>
    <row r="187" spans="1:4" x14ac:dyDescent="0.35">
      <c r="A187" t="s">
        <v>3509</v>
      </c>
      <c r="B187" t="s">
        <v>3312</v>
      </c>
      <c r="C187" t="s">
        <v>3315</v>
      </c>
      <c r="D187" t="s">
        <v>3316</v>
      </c>
    </row>
    <row r="188" spans="1:4" x14ac:dyDescent="0.35">
      <c r="A188" t="s">
        <v>3509</v>
      </c>
      <c r="B188" t="s">
        <v>3312</v>
      </c>
      <c r="C188" t="s">
        <v>3503</v>
      </c>
      <c r="D188" t="s">
        <v>3504</v>
      </c>
    </row>
    <row r="189" spans="1:4" x14ac:dyDescent="0.35">
      <c r="A189" t="s">
        <v>3509</v>
      </c>
      <c r="B189" t="s">
        <v>3312</v>
      </c>
      <c r="C189" t="s">
        <v>3505</v>
      </c>
      <c r="D189" t="s">
        <v>3506</v>
      </c>
    </row>
    <row r="190" spans="1:4" x14ac:dyDescent="0.35">
      <c r="A190" t="s">
        <v>3509</v>
      </c>
      <c r="B190" t="s">
        <v>3312</v>
      </c>
      <c r="C190" t="s">
        <v>3507</v>
      </c>
      <c r="D190" t="s">
        <v>3508</v>
      </c>
    </row>
    <row r="191" spans="1:4" x14ac:dyDescent="0.35">
      <c r="A191" t="s">
        <v>3509</v>
      </c>
      <c r="B191" t="s">
        <v>3312</v>
      </c>
      <c r="C191" t="s">
        <v>3321</v>
      </c>
      <c r="D191" t="s">
        <v>3322</v>
      </c>
    </row>
  </sheetData>
  <autoFilter ref="A2:N191" xr:uid="{2CD018D7-14F5-4E03-864E-30DCC10013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E3C0B-0178-4F96-A5E8-A2F6730F20F3}">
  <sheetPr codeName="Sheet5"/>
  <dimension ref="A1:D31"/>
  <sheetViews>
    <sheetView workbookViewId="0">
      <selection activeCell="E13" sqref="E13"/>
    </sheetView>
  </sheetViews>
  <sheetFormatPr defaultRowHeight="14.5" x14ac:dyDescent="0.35"/>
  <cols>
    <col min="1" max="1" width="34.90625" customWidth="1"/>
  </cols>
  <sheetData>
    <row r="1" spans="1:4" x14ac:dyDescent="0.35">
      <c r="A1" t="s">
        <v>2009</v>
      </c>
    </row>
    <row r="2" spans="1:4" x14ac:dyDescent="0.35">
      <c r="A2" t="s">
        <v>2012</v>
      </c>
      <c r="C2" t="s">
        <v>164</v>
      </c>
      <c r="D2" t="s">
        <v>2016</v>
      </c>
    </row>
    <row r="3" spans="1:4" x14ac:dyDescent="0.35">
      <c r="A3" t="s">
        <v>2013</v>
      </c>
      <c r="C3" t="s">
        <v>100</v>
      </c>
      <c r="D3" t="s">
        <v>2016</v>
      </c>
    </row>
    <row r="4" spans="1:4" x14ac:dyDescent="0.35">
      <c r="A4" t="s">
        <v>2007</v>
      </c>
      <c r="C4" t="s">
        <v>93</v>
      </c>
      <c r="D4" t="s">
        <v>2016</v>
      </c>
    </row>
    <row r="5" spans="1:4" x14ac:dyDescent="0.35">
      <c r="A5" t="s">
        <v>2008</v>
      </c>
      <c r="C5" t="s">
        <v>41</v>
      </c>
      <c r="D5" t="s">
        <v>2016</v>
      </c>
    </row>
    <row r="6" spans="1:4" x14ac:dyDescent="0.35">
      <c r="A6" t="s">
        <v>2014</v>
      </c>
      <c r="C6" t="s">
        <v>111</v>
      </c>
      <c r="D6" t="s">
        <v>2017</v>
      </c>
    </row>
    <row r="7" spans="1:4" x14ac:dyDescent="0.35">
      <c r="A7" t="s">
        <v>3115</v>
      </c>
      <c r="C7" t="s">
        <v>55</v>
      </c>
      <c r="D7" t="s">
        <v>2017</v>
      </c>
    </row>
    <row r="8" spans="1:4" x14ac:dyDescent="0.35">
      <c r="A8" t="s">
        <v>3116</v>
      </c>
      <c r="C8" t="s">
        <v>36</v>
      </c>
      <c r="D8" t="s">
        <v>2017</v>
      </c>
    </row>
    <row r="9" spans="1:4" x14ac:dyDescent="0.35">
      <c r="A9" t="s">
        <v>3117</v>
      </c>
      <c r="C9" t="s">
        <v>19</v>
      </c>
      <c r="D9" t="s">
        <v>2017</v>
      </c>
    </row>
    <row r="10" spans="1:4" x14ac:dyDescent="0.35">
      <c r="A10" t="s">
        <v>3118</v>
      </c>
      <c r="C10" t="s">
        <v>88</v>
      </c>
      <c r="D10" t="s">
        <v>2017</v>
      </c>
    </row>
    <row r="11" spans="1:4" x14ac:dyDescent="0.35">
      <c r="A11" t="s">
        <v>3187</v>
      </c>
      <c r="C11" t="s">
        <v>33</v>
      </c>
      <c r="D11" t="s">
        <v>2017</v>
      </c>
    </row>
    <row r="12" spans="1:4" x14ac:dyDescent="0.35">
      <c r="A12" t="s">
        <v>2010</v>
      </c>
      <c r="C12" t="s">
        <v>210</v>
      </c>
      <c r="D12" t="s">
        <v>2017</v>
      </c>
    </row>
    <row r="13" spans="1:4" x14ac:dyDescent="0.35">
      <c r="A13" t="s">
        <v>3408</v>
      </c>
      <c r="C13" t="s">
        <v>328</v>
      </c>
      <c r="D13" t="s">
        <v>2018</v>
      </c>
    </row>
    <row r="14" spans="1:4" x14ac:dyDescent="0.35">
      <c r="C14" t="s">
        <v>275</v>
      </c>
      <c r="D14" t="s">
        <v>2018</v>
      </c>
    </row>
    <row r="15" spans="1:4" x14ac:dyDescent="0.35">
      <c r="C15" t="s">
        <v>169</v>
      </c>
      <c r="D15" t="s">
        <v>2018</v>
      </c>
    </row>
    <row r="16" spans="1:4" x14ac:dyDescent="0.35">
      <c r="C16" t="s">
        <v>3528</v>
      </c>
      <c r="D16" t="s">
        <v>2017</v>
      </c>
    </row>
    <row r="17" spans="3:4" x14ac:dyDescent="0.35">
      <c r="C17" t="s">
        <v>27</v>
      </c>
      <c r="D17" t="s">
        <v>2019</v>
      </c>
    </row>
    <row r="18" spans="3:4" x14ac:dyDescent="0.35">
      <c r="C18" t="s">
        <v>46</v>
      </c>
      <c r="D18" t="s">
        <v>2019</v>
      </c>
    </row>
    <row r="19" spans="3:4" x14ac:dyDescent="0.35">
      <c r="C19" t="s">
        <v>16</v>
      </c>
      <c r="D19" t="s">
        <v>2019</v>
      </c>
    </row>
    <row r="20" spans="3:4" x14ac:dyDescent="0.35">
      <c r="C20" t="s">
        <v>24</v>
      </c>
      <c r="D20" t="s">
        <v>2019</v>
      </c>
    </row>
    <row r="21" spans="3:4" x14ac:dyDescent="0.35">
      <c r="C21" t="s">
        <v>30</v>
      </c>
      <c r="D21" t="s">
        <v>2019</v>
      </c>
    </row>
    <row r="22" spans="3:4" x14ac:dyDescent="0.35">
      <c r="C22" t="s">
        <v>3312</v>
      </c>
      <c r="D22" t="s">
        <v>3509</v>
      </c>
    </row>
    <row r="23" spans="3:4" x14ac:dyDescent="0.35">
      <c r="C23" t="s">
        <v>3248</v>
      </c>
      <c r="D23" t="s">
        <v>3509</v>
      </c>
    </row>
    <row r="24" spans="3:4" x14ac:dyDescent="0.35">
      <c r="C24" t="s">
        <v>3361</v>
      </c>
      <c r="D24" t="s">
        <v>3509</v>
      </c>
    </row>
    <row r="25" spans="3:4" x14ac:dyDescent="0.35">
      <c r="C25" t="s">
        <v>3325</v>
      </c>
      <c r="D25" t="s">
        <v>3509</v>
      </c>
    </row>
    <row r="26" spans="3:4" x14ac:dyDescent="0.35">
      <c r="C26" t="s">
        <v>3272</v>
      </c>
      <c r="D26" t="s">
        <v>3509</v>
      </c>
    </row>
    <row r="27" spans="3:4" x14ac:dyDescent="0.35">
      <c r="C27" t="s">
        <v>3356</v>
      </c>
      <c r="D27" t="s">
        <v>3509</v>
      </c>
    </row>
    <row r="28" spans="3:4" x14ac:dyDescent="0.35">
      <c r="C28" t="s">
        <v>3251</v>
      </c>
      <c r="D28" t="s">
        <v>3509</v>
      </c>
    </row>
    <row r="29" spans="3:4" x14ac:dyDescent="0.35">
      <c r="C29" t="s">
        <v>3229</v>
      </c>
      <c r="D29" t="s">
        <v>3509</v>
      </c>
    </row>
    <row r="30" spans="3:4" x14ac:dyDescent="0.35">
      <c r="C30" t="s">
        <v>3287</v>
      </c>
      <c r="D30" t="s">
        <v>3509</v>
      </c>
    </row>
    <row r="31" spans="3:4" x14ac:dyDescent="0.35">
      <c r="C31" t="s">
        <v>3214</v>
      </c>
      <c r="D31" t="s">
        <v>3675</v>
      </c>
    </row>
  </sheetData>
  <sortState xmlns:xlrd2="http://schemas.microsoft.com/office/spreadsheetml/2017/richdata2" ref="A1:A408">
    <sortCondition ref="A1:A40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Review Data</vt:lpstr>
      <vt:lpstr>Agewise </vt:lpstr>
      <vt:lpstr>Billwise Details</vt:lpstr>
      <vt:lpstr>Legal &amp; Wrt.off</vt:lpstr>
      <vt:lpstr>Sheet2</vt:lpstr>
      <vt:lpstr>Region</vt:lpstr>
      <vt:lpstr>Remarks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Pillai</dc:creator>
  <cp:lastModifiedBy>Vinod Pillai</cp:lastModifiedBy>
  <dcterms:created xsi:type="dcterms:W3CDTF">2026-05-19T20:50:57Z</dcterms:created>
  <dcterms:modified xsi:type="dcterms:W3CDTF">2026-06-06T10:24:26Z</dcterms:modified>
</cp:coreProperties>
</file>